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1b6010e8abd5cde5/Desktop/Courses 2025/Copilot - Work Smarter/Resources/"/>
    </mc:Choice>
  </mc:AlternateContent>
  <xr:revisionPtr revIDLastSave="0" documentId="8_{9C8D5C25-56C0-40E3-B534-E1DC4905D57B}" xr6:coauthVersionLast="47" xr6:coauthVersionMax="47" xr10:uidLastSave="{00000000-0000-0000-0000-000000000000}"/>
  <bookViews>
    <workbookView xWindow="41910" yWindow="5130" windowWidth="15225" windowHeight="10680" xr2:uid="{00000000-000D-0000-FFFF-FFFF00000000}"/>
  </bookViews>
  <sheets>
    <sheet name="README" sheetId="1" r:id="rId1"/>
    <sheet name="SalesReps" sheetId="2" r:id="rId2"/>
    <sheet name="Customers" sheetId="3" r:id="rId3"/>
    <sheet name="Products" sheetId="4" r:id="rId4"/>
    <sheet name="Transaction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1001" i="5" l="1"/>
  <c r="AE1001" i="5"/>
  <c r="Y1001" i="5"/>
  <c r="X1001" i="5"/>
  <c r="Z1001" i="5" s="1"/>
  <c r="AF1000" i="5"/>
  <c r="AE1000" i="5"/>
  <c r="Y1000" i="5"/>
  <c r="X1000" i="5"/>
  <c r="Z1000" i="5" s="1"/>
  <c r="AF999" i="5"/>
  <c r="AE999" i="5"/>
  <c r="Z999" i="5"/>
  <c r="Y999" i="5"/>
  <c r="X999" i="5"/>
  <c r="AF998" i="5"/>
  <c r="AE998" i="5"/>
  <c r="Y998" i="5"/>
  <c r="Z998" i="5" s="1"/>
  <c r="X998" i="5"/>
  <c r="AF997" i="5"/>
  <c r="AE997" i="5"/>
  <c r="Y997" i="5"/>
  <c r="X997" i="5"/>
  <c r="Z997" i="5" s="1"/>
  <c r="AF996" i="5"/>
  <c r="AE996" i="5"/>
  <c r="Y996" i="5"/>
  <c r="X996" i="5"/>
  <c r="Z996" i="5" s="1"/>
  <c r="AF995" i="5"/>
  <c r="AE995" i="5"/>
  <c r="Y995" i="5"/>
  <c r="X995" i="5"/>
  <c r="Z995" i="5" s="1"/>
  <c r="AF994" i="5"/>
  <c r="AE994" i="5"/>
  <c r="Y994" i="5"/>
  <c r="Z994" i="5" s="1"/>
  <c r="X994" i="5"/>
  <c r="AF993" i="5"/>
  <c r="AE993" i="5"/>
  <c r="Z993" i="5"/>
  <c r="Y993" i="5"/>
  <c r="X993" i="5"/>
  <c r="AF992" i="5"/>
  <c r="AE992" i="5"/>
  <c r="Y992" i="5"/>
  <c r="X992" i="5"/>
  <c r="Z992" i="5" s="1"/>
  <c r="AF991" i="5"/>
  <c r="AE991" i="5"/>
  <c r="Z991" i="5"/>
  <c r="Y991" i="5"/>
  <c r="X991" i="5"/>
  <c r="AF990" i="5"/>
  <c r="AE990" i="5"/>
  <c r="Z990" i="5"/>
  <c r="Y990" i="5"/>
  <c r="X990" i="5"/>
  <c r="AF989" i="5"/>
  <c r="AE989" i="5"/>
  <c r="Y989" i="5"/>
  <c r="X989" i="5"/>
  <c r="Z989" i="5" s="1"/>
  <c r="AF988" i="5"/>
  <c r="AE988" i="5"/>
  <c r="Y988" i="5"/>
  <c r="X988" i="5"/>
  <c r="Z988" i="5" s="1"/>
  <c r="AF987" i="5"/>
  <c r="AE987" i="5"/>
  <c r="Z987" i="5"/>
  <c r="Y987" i="5"/>
  <c r="X987" i="5"/>
  <c r="AF986" i="5"/>
  <c r="AE986" i="5"/>
  <c r="Y986" i="5"/>
  <c r="Z986" i="5" s="1"/>
  <c r="X986" i="5"/>
  <c r="AF985" i="5"/>
  <c r="AE985" i="5"/>
  <c r="Y985" i="5"/>
  <c r="X985" i="5"/>
  <c r="Z985" i="5" s="1"/>
  <c r="AF984" i="5"/>
  <c r="AE984" i="5"/>
  <c r="Y984" i="5"/>
  <c r="X984" i="5"/>
  <c r="Z984" i="5" s="1"/>
  <c r="AF983" i="5"/>
  <c r="AE983" i="5"/>
  <c r="Y983" i="5"/>
  <c r="X983" i="5"/>
  <c r="Z983" i="5" s="1"/>
  <c r="AF982" i="5"/>
  <c r="AE982" i="5"/>
  <c r="Y982" i="5"/>
  <c r="Z982" i="5" s="1"/>
  <c r="X982" i="5"/>
  <c r="AF981" i="5"/>
  <c r="AE981" i="5"/>
  <c r="Z981" i="5"/>
  <c r="Y981" i="5"/>
  <c r="X981" i="5"/>
  <c r="AF980" i="5"/>
  <c r="AE980" i="5"/>
  <c r="Y980" i="5"/>
  <c r="Z980" i="5" s="1"/>
  <c r="X980" i="5"/>
  <c r="AF979" i="5"/>
  <c r="AE979" i="5"/>
  <c r="Z979" i="5"/>
  <c r="Y979" i="5"/>
  <c r="X979" i="5"/>
  <c r="AF978" i="5"/>
  <c r="AE978" i="5"/>
  <c r="Y978" i="5"/>
  <c r="Z978" i="5" s="1"/>
  <c r="X978" i="5"/>
  <c r="AF977" i="5"/>
  <c r="AE977" i="5"/>
  <c r="Y977" i="5"/>
  <c r="X977" i="5"/>
  <c r="Z977" i="5" s="1"/>
  <c r="AF976" i="5"/>
  <c r="AE976" i="5"/>
  <c r="Y976" i="5"/>
  <c r="X976" i="5"/>
  <c r="Z976" i="5" s="1"/>
  <c r="AF975" i="5"/>
  <c r="AE975" i="5"/>
  <c r="Z975" i="5"/>
  <c r="Y975" i="5"/>
  <c r="X975" i="5"/>
  <c r="AF974" i="5"/>
  <c r="AE974" i="5"/>
  <c r="Y974" i="5"/>
  <c r="Z974" i="5" s="1"/>
  <c r="X974" i="5"/>
  <c r="AF973" i="5"/>
  <c r="AE973" i="5"/>
  <c r="Y973" i="5"/>
  <c r="X973" i="5"/>
  <c r="Z973" i="5" s="1"/>
  <c r="AF972" i="5"/>
  <c r="AE972" i="5"/>
  <c r="Y972" i="5"/>
  <c r="X972" i="5"/>
  <c r="Z972" i="5" s="1"/>
  <c r="AF971" i="5"/>
  <c r="AE971" i="5"/>
  <c r="Y971" i="5"/>
  <c r="X971" i="5"/>
  <c r="Z971" i="5" s="1"/>
  <c r="AF970" i="5"/>
  <c r="AE970" i="5"/>
  <c r="Y970" i="5"/>
  <c r="Z970" i="5" s="1"/>
  <c r="X970" i="5"/>
  <c r="AF969" i="5"/>
  <c r="AE969" i="5"/>
  <c r="Z969" i="5"/>
  <c r="Y969" i="5"/>
  <c r="X969" i="5"/>
  <c r="AF968" i="5"/>
  <c r="AE968" i="5"/>
  <c r="Y968" i="5"/>
  <c r="Z968" i="5" s="1"/>
  <c r="X968" i="5"/>
  <c r="AF967" i="5"/>
  <c r="AE967" i="5"/>
  <c r="Z967" i="5"/>
  <c r="Y967" i="5"/>
  <c r="X967" i="5"/>
  <c r="AF966" i="5"/>
  <c r="AE966" i="5"/>
  <c r="Y966" i="5"/>
  <c r="X966" i="5"/>
  <c r="Z966" i="5" s="1"/>
  <c r="AF965" i="5"/>
  <c r="AE965" i="5"/>
  <c r="Y965" i="5"/>
  <c r="X965" i="5"/>
  <c r="Z965" i="5" s="1"/>
  <c r="AF964" i="5"/>
  <c r="AE964" i="5"/>
  <c r="Y964" i="5"/>
  <c r="X964" i="5"/>
  <c r="Z964" i="5" s="1"/>
  <c r="AF963" i="5"/>
  <c r="AE963" i="5"/>
  <c r="Z963" i="5"/>
  <c r="Y963" i="5"/>
  <c r="X963" i="5"/>
  <c r="AF962" i="5"/>
  <c r="AE962" i="5"/>
  <c r="Y962" i="5"/>
  <c r="Z962" i="5" s="1"/>
  <c r="X962" i="5"/>
  <c r="AF961" i="5"/>
  <c r="AE961" i="5"/>
  <c r="Y961" i="5"/>
  <c r="X961" i="5"/>
  <c r="Z961" i="5" s="1"/>
  <c r="AF960" i="5"/>
  <c r="AE960" i="5"/>
  <c r="Y960" i="5"/>
  <c r="X960" i="5"/>
  <c r="Z960" i="5" s="1"/>
  <c r="AF959" i="5"/>
  <c r="AE959" i="5"/>
  <c r="Y959" i="5"/>
  <c r="X959" i="5"/>
  <c r="Z959" i="5" s="1"/>
  <c r="AF958" i="5"/>
  <c r="AE958" i="5"/>
  <c r="Y958" i="5"/>
  <c r="X958" i="5"/>
  <c r="Z958" i="5" s="1"/>
  <c r="AF957" i="5"/>
  <c r="AE957" i="5"/>
  <c r="Z957" i="5"/>
  <c r="Y957" i="5"/>
  <c r="X957" i="5"/>
  <c r="AF956" i="5"/>
  <c r="AE956" i="5"/>
  <c r="Y956" i="5"/>
  <c r="Z956" i="5" s="1"/>
  <c r="X956" i="5"/>
  <c r="AF955" i="5"/>
  <c r="AE955" i="5"/>
  <c r="Z955" i="5"/>
  <c r="Y955" i="5"/>
  <c r="X955" i="5"/>
  <c r="AF954" i="5"/>
  <c r="AE954" i="5"/>
  <c r="Y954" i="5"/>
  <c r="X954" i="5"/>
  <c r="Z954" i="5" s="1"/>
  <c r="AF953" i="5"/>
  <c r="AE953" i="5"/>
  <c r="Y953" i="5"/>
  <c r="X953" i="5"/>
  <c r="Z953" i="5" s="1"/>
  <c r="AF952" i="5"/>
  <c r="AE952" i="5"/>
  <c r="Y952" i="5"/>
  <c r="X952" i="5"/>
  <c r="Z952" i="5" s="1"/>
  <c r="AF951" i="5"/>
  <c r="AE951" i="5"/>
  <c r="Z951" i="5"/>
  <c r="Y951" i="5"/>
  <c r="X951" i="5"/>
  <c r="AF950" i="5"/>
  <c r="AE950" i="5"/>
  <c r="Y950" i="5"/>
  <c r="Z950" i="5" s="1"/>
  <c r="X950" i="5"/>
  <c r="AF949" i="5"/>
  <c r="AE949" i="5"/>
  <c r="Y949" i="5"/>
  <c r="X949" i="5"/>
  <c r="Z949" i="5" s="1"/>
  <c r="AF948" i="5"/>
  <c r="AE948" i="5"/>
  <c r="Y948" i="5"/>
  <c r="Z948" i="5" s="1"/>
  <c r="X948" i="5"/>
  <c r="AF947" i="5"/>
  <c r="AE947" i="5"/>
  <c r="Y947" i="5"/>
  <c r="X947" i="5"/>
  <c r="Z947" i="5" s="1"/>
  <c r="AF946" i="5"/>
  <c r="AE946" i="5"/>
  <c r="Y946" i="5"/>
  <c r="X946" i="5"/>
  <c r="Z946" i="5" s="1"/>
  <c r="AF945" i="5"/>
  <c r="AE945" i="5"/>
  <c r="Z945" i="5"/>
  <c r="Y945" i="5"/>
  <c r="X945" i="5"/>
  <c r="AF944" i="5"/>
  <c r="AE944" i="5"/>
  <c r="Y944" i="5"/>
  <c r="Z944" i="5" s="1"/>
  <c r="X944" i="5"/>
  <c r="AF943" i="5"/>
  <c r="AE943" i="5"/>
  <c r="Z943" i="5"/>
  <c r="Y943" i="5"/>
  <c r="X943" i="5"/>
  <c r="AF942" i="5"/>
  <c r="AE942" i="5"/>
  <c r="Y942" i="5"/>
  <c r="X942" i="5"/>
  <c r="Z942" i="5" s="1"/>
  <c r="AF941" i="5"/>
  <c r="AE941" i="5"/>
  <c r="Y941" i="5"/>
  <c r="X941" i="5"/>
  <c r="Z941" i="5" s="1"/>
  <c r="AF940" i="5"/>
  <c r="AE940" i="5"/>
  <c r="Z940" i="5"/>
  <c r="Y940" i="5"/>
  <c r="X940" i="5"/>
  <c r="AF939" i="5"/>
  <c r="AE939" i="5"/>
  <c r="Z939" i="5"/>
  <c r="Y939" i="5"/>
  <c r="X939" i="5"/>
  <c r="AF938" i="5"/>
  <c r="AE938" i="5"/>
  <c r="Y938" i="5"/>
  <c r="X938" i="5"/>
  <c r="Z938" i="5" s="1"/>
  <c r="AF937" i="5"/>
  <c r="AE937" i="5"/>
  <c r="Y937" i="5"/>
  <c r="X937" i="5"/>
  <c r="Z937" i="5" s="1"/>
  <c r="AF936" i="5"/>
  <c r="AE936" i="5"/>
  <c r="Y936" i="5"/>
  <c r="Z936" i="5" s="1"/>
  <c r="X936" i="5"/>
  <c r="AF935" i="5"/>
  <c r="AE935" i="5"/>
  <c r="Y935" i="5"/>
  <c r="X935" i="5"/>
  <c r="Z935" i="5" s="1"/>
  <c r="AF934" i="5"/>
  <c r="AE934" i="5"/>
  <c r="Y934" i="5"/>
  <c r="X934" i="5"/>
  <c r="Z934" i="5" s="1"/>
  <c r="AF933" i="5"/>
  <c r="AE933" i="5"/>
  <c r="Z933" i="5"/>
  <c r="Y933" i="5"/>
  <c r="X933" i="5"/>
  <c r="AF932" i="5"/>
  <c r="AE932" i="5"/>
  <c r="Y932" i="5"/>
  <c r="Z932" i="5" s="1"/>
  <c r="X932" i="5"/>
  <c r="AF931" i="5"/>
  <c r="AE931" i="5"/>
  <c r="Z931" i="5"/>
  <c r="Y931" i="5"/>
  <c r="X931" i="5"/>
  <c r="AF930" i="5"/>
  <c r="AE930" i="5"/>
  <c r="Y930" i="5"/>
  <c r="X930" i="5"/>
  <c r="Z930" i="5" s="1"/>
  <c r="AF929" i="5"/>
  <c r="AE929" i="5"/>
  <c r="Y929" i="5"/>
  <c r="X929" i="5"/>
  <c r="Z929" i="5" s="1"/>
  <c r="AF928" i="5"/>
  <c r="AE928" i="5"/>
  <c r="Z928" i="5"/>
  <c r="Y928" i="5"/>
  <c r="X928" i="5"/>
  <c r="AF927" i="5"/>
  <c r="AE927" i="5"/>
  <c r="Z927" i="5"/>
  <c r="Y927" i="5"/>
  <c r="X927" i="5"/>
  <c r="AF926" i="5"/>
  <c r="AE926" i="5"/>
  <c r="Y926" i="5"/>
  <c r="X926" i="5"/>
  <c r="Z926" i="5" s="1"/>
  <c r="AF925" i="5"/>
  <c r="AE925" i="5"/>
  <c r="Y925" i="5"/>
  <c r="X925" i="5"/>
  <c r="Z925" i="5" s="1"/>
  <c r="AF924" i="5"/>
  <c r="AE924" i="5"/>
  <c r="Y924" i="5"/>
  <c r="Z924" i="5" s="1"/>
  <c r="X924" i="5"/>
  <c r="AF923" i="5"/>
  <c r="AE923" i="5"/>
  <c r="Y923" i="5"/>
  <c r="X923" i="5"/>
  <c r="Z923" i="5" s="1"/>
  <c r="AF922" i="5"/>
  <c r="AE922" i="5"/>
  <c r="Y922" i="5"/>
  <c r="X922" i="5"/>
  <c r="Z922" i="5" s="1"/>
  <c r="AF921" i="5"/>
  <c r="AE921" i="5"/>
  <c r="Z921" i="5"/>
  <c r="Y921" i="5"/>
  <c r="X921" i="5"/>
  <c r="AF920" i="5"/>
  <c r="AE920" i="5"/>
  <c r="Y920" i="5"/>
  <c r="Z920" i="5" s="1"/>
  <c r="X920" i="5"/>
  <c r="AF919" i="5"/>
  <c r="AE919" i="5"/>
  <c r="Z919" i="5"/>
  <c r="Y919" i="5"/>
  <c r="X919" i="5"/>
  <c r="AF918" i="5"/>
  <c r="AE918" i="5"/>
  <c r="Y918" i="5"/>
  <c r="X918" i="5"/>
  <c r="Z918" i="5" s="1"/>
  <c r="AF917" i="5"/>
  <c r="AE917" i="5"/>
  <c r="Y917" i="5"/>
  <c r="X917" i="5"/>
  <c r="Z917" i="5" s="1"/>
  <c r="AF916" i="5"/>
  <c r="AE916" i="5"/>
  <c r="Y916" i="5"/>
  <c r="X916" i="5"/>
  <c r="Z916" i="5" s="1"/>
  <c r="AF915" i="5"/>
  <c r="AE915" i="5"/>
  <c r="Z915" i="5"/>
  <c r="Y915" i="5"/>
  <c r="X915" i="5"/>
  <c r="AF914" i="5"/>
  <c r="AE914" i="5"/>
  <c r="Y914" i="5"/>
  <c r="X914" i="5"/>
  <c r="Z914" i="5" s="1"/>
  <c r="AF913" i="5"/>
  <c r="AE913" i="5"/>
  <c r="Y913" i="5"/>
  <c r="X913" i="5"/>
  <c r="Z913" i="5" s="1"/>
  <c r="AF912" i="5"/>
  <c r="AE912" i="5"/>
  <c r="Y912" i="5"/>
  <c r="Z912" i="5" s="1"/>
  <c r="X912" i="5"/>
  <c r="AF911" i="5"/>
  <c r="AE911" i="5"/>
  <c r="Y911" i="5"/>
  <c r="X911" i="5"/>
  <c r="Z911" i="5" s="1"/>
  <c r="AF910" i="5"/>
  <c r="AE910" i="5"/>
  <c r="Y910" i="5"/>
  <c r="X910" i="5"/>
  <c r="Z910" i="5" s="1"/>
  <c r="AF909" i="5"/>
  <c r="AE909" i="5"/>
  <c r="Z909" i="5"/>
  <c r="Y909" i="5"/>
  <c r="X909" i="5"/>
  <c r="AF908" i="5"/>
  <c r="AE908" i="5"/>
  <c r="Y908" i="5"/>
  <c r="Z908" i="5" s="1"/>
  <c r="X908" i="5"/>
  <c r="AF907" i="5"/>
  <c r="AE907" i="5"/>
  <c r="Z907" i="5"/>
  <c r="Y907" i="5"/>
  <c r="X907" i="5"/>
  <c r="AF906" i="5"/>
  <c r="AE906" i="5"/>
  <c r="Y906" i="5"/>
  <c r="X906" i="5"/>
  <c r="Z906" i="5" s="1"/>
  <c r="AF905" i="5"/>
  <c r="AE905" i="5"/>
  <c r="Y905" i="5"/>
  <c r="X905" i="5"/>
  <c r="Z905" i="5" s="1"/>
  <c r="AF904" i="5"/>
  <c r="AE904" i="5"/>
  <c r="Y904" i="5"/>
  <c r="X904" i="5"/>
  <c r="Z904" i="5" s="1"/>
  <c r="AF903" i="5"/>
  <c r="AE903" i="5"/>
  <c r="Z903" i="5"/>
  <c r="Y903" i="5"/>
  <c r="X903" i="5"/>
  <c r="AF902" i="5"/>
  <c r="AE902" i="5"/>
  <c r="Y902" i="5"/>
  <c r="X902" i="5"/>
  <c r="Z902" i="5" s="1"/>
  <c r="AF901" i="5"/>
  <c r="AE901" i="5"/>
  <c r="Y901" i="5"/>
  <c r="X901" i="5"/>
  <c r="Z901" i="5" s="1"/>
  <c r="AF900" i="5"/>
  <c r="AE900" i="5"/>
  <c r="Y900" i="5"/>
  <c r="Z900" i="5" s="1"/>
  <c r="X900" i="5"/>
  <c r="AF899" i="5"/>
  <c r="AE899" i="5"/>
  <c r="Y899" i="5"/>
  <c r="X899" i="5"/>
  <c r="Z899" i="5" s="1"/>
  <c r="AF898" i="5"/>
  <c r="AE898" i="5"/>
  <c r="Y898" i="5"/>
  <c r="X898" i="5"/>
  <c r="Z898" i="5" s="1"/>
  <c r="AF897" i="5"/>
  <c r="AE897" i="5"/>
  <c r="Z897" i="5"/>
  <c r="Y897" i="5"/>
  <c r="X897" i="5"/>
  <c r="AF896" i="5"/>
  <c r="AE896" i="5"/>
  <c r="Y896" i="5"/>
  <c r="Z896" i="5" s="1"/>
  <c r="X896" i="5"/>
  <c r="AF895" i="5"/>
  <c r="AE895" i="5"/>
  <c r="Z895" i="5"/>
  <c r="Y895" i="5"/>
  <c r="X895" i="5"/>
  <c r="AF894" i="5"/>
  <c r="AE894" i="5"/>
  <c r="Y894" i="5"/>
  <c r="X894" i="5"/>
  <c r="Z894" i="5" s="1"/>
  <c r="AF893" i="5"/>
  <c r="AE893" i="5"/>
  <c r="Y893" i="5"/>
  <c r="X893" i="5"/>
  <c r="Z893" i="5" s="1"/>
  <c r="AF892" i="5"/>
  <c r="AE892" i="5"/>
  <c r="Y892" i="5"/>
  <c r="X892" i="5"/>
  <c r="Z892" i="5" s="1"/>
  <c r="AF891" i="5"/>
  <c r="AE891" i="5"/>
  <c r="Z891" i="5"/>
  <c r="Y891" i="5"/>
  <c r="X891" i="5"/>
  <c r="AF890" i="5"/>
  <c r="AE890" i="5"/>
  <c r="Y890" i="5"/>
  <c r="X890" i="5"/>
  <c r="Z890" i="5" s="1"/>
  <c r="AF889" i="5"/>
  <c r="AE889" i="5"/>
  <c r="Y889" i="5"/>
  <c r="X889" i="5"/>
  <c r="Z889" i="5" s="1"/>
  <c r="AF888" i="5"/>
  <c r="AE888" i="5"/>
  <c r="Y888" i="5"/>
  <c r="Z888" i="5" s="1"/>
  <c r="X888" i="5"/>
  <c r="AF887" i="5"/>
  <c r="AE887" i="5"/>
  <c r="Y887" i="5"/>
  <c r="X887" i="5"/>
  <c r="Z887" i="5" s="1"/>
  <c r="AF886" i="5"/>
  <c r="AE886" i="5"/>
  <c r="Y886" i="5"/>
  <c r="X886" i="5"/>
  <c r="Z886" i="5" s="1"/>
  <c r="AF885" i="5"/>
  <c r="AE885" i="5"/>
  <c r="Z885" i="5"/>
  <c r="Y885" i="5"/>
  <c r="X885" i="5"/>
  <c r="AF884" i="5"/>
  <c r="AE884" i="5"/>
  <c r="Y884" i="5"/>
  <c r="Z884" i="5" s="1"/>
  <c r="X884" i="5"/>
  <c r="AF883" i="5"/>
  <c r="AE883" i="5"/>
  <c r="Z883" i="5"/>
  <c r="Y883" i="5"/>
  <c r="X883" i="5"/>
  <c r="AF882" i="5"/>
  <c r="AE882" i="5"/>
  <c r="Y882" i="5"/>
  <c r="X882" i="5"/>
  <c r="Z882" i="5" s="1"/>
  <c r="AF881" i="5"/>
  <c r="AE881" i="5"/>
  <c r="Y881" i="5"/>
  <c r="X881" i="5"/>
  <c r="Z881" i="5" s="1"/>
  <c r="AF880" i="5"/>
  <c r="AE880" i="5"/>
  <c r="Y880" i="5"/>
  <c r="X880" i="5"/>
  <c r="Z880" i="5" s="1"/>
  <c r="AF879" i="5"/>
  <c r="AE879" i="5"/>
  <c r="Z879" i="5"/>
  <c r="Y879" i="5"/>
  <c r="X879" i="5"/>
  <c r="AF878" i="5"/>
  <c r="AE878" i="5"/>
  <c r="Y878" i="5"/>
  <c r="X878" i="5"/>
  <c r="Z878" i="5" s="1"/>
  <c r="AF877" i="5"/>
  <c r="AE877" i="5"/>
  <c r="Z877" i="5"/>
  <c r="Y877" i="5"/>
  <c r="X877" i="5"/>
  <c r="AF876" i="5"/>
  <c r="AE876" i="5"/>
  <c r="Y876" i="5"/>
  <c r="Z876" i="5" s="1"/>
  <c r="X876" i="5"/>
  <c r="AF875" i="5"/>
  <c r="AE875" i="5"/>
  <c r="Y875" i="5"/>
  <c r="X875" i="5"/>
  <c r="Z875" i="5" s="1"/>
  <c r="AF874" i="5"/>
  <c r="AE874" i="5"/>
  <c r="Y874" i="5"/>
  <c r="X874" i="5"/>
  <c r="Z874" i="5" s="1"/>
  <c r="AF873" i="5"/>
  <c r="AE873" i="5"/>
  <c r="Z873" i="5"/>
  <c r="Y873" i="5"/>
  <c r="X873" i="5"/>
  <c r="AF872" i="5"/>
  <c r="AE872" i="5"/>
  <c r="Y872" i="5"/>
  <c r="Z872" i="5" s="1"/>
  <c r="X872" i="5"/>
  <c r="AF871" i="5"/>
  <c r="AE871" i="5"/>
  <c r="Z871" i="5"/>
  <c r="Y871" i="5"/>
  <c r="X871" i="5"/>
  <c r="AF870" i="5"/>
  <c r="AE870" i="5"/>
  <c r="Y870" i="5"/>
  <c r="X870" i="5"/>
  <c r="Z870" i="5" s="1"/>
  <c r="AF869" i="5"/>
  <c r="AE869" i="5"/>
  <c r="Y869" i="5"/>
  <c r="X869" i="5"/>
  <c r="Z869" i="5" s="1"/>
  <c r="AF868" i="5"/>
  <c r="AE868" i="5"/>
  <c r="Y868" i="5"/>
  <c r="X868" i="5"/>
  <c r="Z868" i="5" s="1"/>
  <c r="AF867" i="5"/>
  <c r="AE867" i="5"/>
  <c r="Z867" i="5"/>
  <c r="Y867" i="5"/>
  <c r="X867" i="5"/>
  <c r="AF866" i="5"/>
  <c r="AE866" i="5"/>
  <c r="Y866" i="5"/>
  <c r="X866" i="5"/>
  <c r="Z866" i="5" s="1"/>
  <c r="AF865" i="5"/>
  <c r="AE865" i="5"/>
  <c r="Z865" i="5"/>
  <c r="Y865" i="5"/>
  <c r="X865" i="5"/>
  <c r="AF864" i="5"/>
  <c r="AE864" i="5"/>
  <c r="Y864" i="5"/>
  <c r="Z864" i="5" s="1"/>
  <c r="X864" i="5"/>
  <c r="AF863" i="5"/>
  <c r="AE863" i="5"/>
  <c r="Y863" i="5"/>
  <c r="X863" i="5"/>
  <c r="Z863" i="5" s="1"/>
  <c r="AF862" i="5"/>
  <c r="AE862" i="5"/>
  <c r="Y862" i="5"/>
  <c r="X862" i="5"/>
  <c r="Z862" i="5" s="1"/>
  <c r="AF861" i="5"/>
  <c r="AE861" i="5"/>
  <c r="Z861" i="5"/>
  <c r="Y861" i="5"/>
  <c r="X861" i="5"/>
  <c r="AF860" i="5"/>
  <c r="AE860" i="5"/>
  <c r="Y860" i="5"/>
  <c r="Z860" i="5" s="1"/>
  <c r="X860" i="5"/>
  <c r="AF859" i="5"/>
  <c r="AE859" i="5"/>
  <c r="Z859" i="5"/>
  <c r="Y859" i="5"/>
  <c r="X859" i="5"/>
  <c r="AF858" i="5"/>
  <c r="AE858" i="5"/>
  <c r="Y858" i="5"/>
  <c r="X858" i="5"/>
  <c r="Z858" i="5" s="1"/>
  <c r="AF857" i="5"/>
  <c r="AE857" i="5"/>
  <c r="Y857" i="5"/>
  <c r="X857" i="5"/>
  <c r="Z857" i="5" s="1"/>
  <c r="AF856" i="5"/>
  <c r="AE856" i="5"/>
  <c r="Y856" i="5"/>
  <c r="X856" i="5"/>
  <c r="Z856" i="5" s="1"/>
  <c r="AF855" i="5"/>
  <c r="AE855" i="5"/>
  <c r="Z855" i="5"/>
  <c r="Y855" i="5"/>
  <c r="X855" i="5"/>
  <c r="AF854" i="5"/>
  <c r="AE854" i="5"/>
  <c r="Y854" i="5"/>
  <c r="X854" i="5"/>
  <c r="Z854" i="5" s="1"/>
  <c r="AF853" i="5"/>
  <c r="AE853" i="5"/>
  <c r="Z853" i="5"/>
  <c r="Y853" i="5"/>
  <c r="X853" i="5"/>
  <c r="AF852" i="5"/>
  <c r="AE852" i="5"/>
  <c r="Y852" i="5"/>
  <c r="Z852" i="5" s="1"/>
  <c r="X852" i="5"/>
  <c r="AF851" i="5"/>
  <c r="AE851" i="5"/>
  <c r="Y851" i="5"/>
  <c r="X851" i="5"/>
  <c r="Z851" i="5" s="1"/>
  <c r="AF850" i="5"/>
  <c r="AE850" i="5"/>
  <c r="Y850" i="5"/>
  <c r="X850" i="5"/>
  <c r="Z850" i="5" s="1"/>
  <c r="AF849" i="5"/>
  <c r="AE849" i="5"/>
  <c r="Z849" i="5"/>
  <c r="Y849" i="5"/>
  <c r="X849" i="5"/>
  <c r="AF848" i="5"/>
  <c r="AE848" i="5"/>
  <c r="Y848" i="5"/>
  <c r="Z848" i="5" s="1"/>
  <c r="X848" i="5"/>
  <c r="AF847" i="5"/>
  <c r="AE847" i="5"/>
  <c r="Z847" i="5"/>
  <c r="Y847" i="5"/>
  <c r="X847" i="5"/>
  <c r="AF846" i="5"/>
  <c r="AE846" i="5"/>
  <c r="Y846" i="5"/>
  <c r="X846" i="5"/>
  <c r="Z846" i="5" s="1"/>
  <c r="AF845" i="5"/>
  <c r="AE845" i="5"/>
  <c r="Y845" i="5"/>
  <c r="X845" i="5"/>
  <c r="Z845" i="5" s="1"/>
  <c r="AF844" i="5"/>
  <c r="AE844" i="5"/>
  <c r="Y844" i="5"/>
  <c r="X844" i="5"/>
  <c r="Z844" i="5" s="1"/>
  <c r="AF843" i="5"/>
  <c r="AE843" i="5"/>
  <c r="Z843" i="5"/>
  <c r="Y843" i="5"/>
  <c r="X843" i="5"/>
  <c r="AF842" i="5"/>
  <c r="AE842" i="5"/>
  <c r="Y842" i="5"/>
  <c r="X842" i="5"/>
  <c r="Z842" i="5" s="1"/>
  <c r="AF841" i="5"/>
  <c r="AE841" i="5"/>
  <c r="Z841" i="5"/>
  <c r="Y841" i="5"/>
  <c r="X841" i="5"/>
  <c r="AF840" i="5"/>
  <c r="AE840" i="5"/>
  <c r="Y840" i="5"/>
  <c r="Z840" i="5" s="1"/>
  <c r="X840" i="5"/>
  <c r="AF839" i="5"/>
  <c r="AE839" i="5"/>
  <c r="Y839" i="5"/>
  <c r="X839" i="5"/>
  <c r="Z839" i="5" s="1"/>
  <c r="AF838" i="5"/>
  <c r="AE838" i="5"/>
  <c r="Y838" i="5"/>
  <c r="X838" i="5"/>
  <c r="Z838" i="5" s="1"/>
  <c r="AF837" i="5"/>
  <c r="AE837" i="5"/>
  <c r="Z837" i="5"/>
  <c r="Y837" i="5"/>
  <c r="X837" i="5"/>
  <c r="AF836" i="5"/>
  <c r="AE836" i="5"/>
  <c r="Y836" i="5"/>
  <c r="Z836" i="5" s="1"/>
  <c r="X836" i="5"/>
  <c r="AF835" i="5"/>
  <c r="AE835" i="5"/>
  <c r="Z835" i="5"/>
  <c r="Y835" i="5"/>
  <c r="X835" i="5"/>
  <c r="AF834" i="5"/>
  <c r="AE834" i="5"/>
  <c r="Y834" i="5"/>
  <c r="X834" i="5"/>
  <c r="Z834" i="5" s="1"/>
  <c r="AF833" i="5"/>
  <c r="AE833" i="5"/>
  <c r="Y833" i="5"/>
  <c r="X833" i="5"/>
  <c r="Z833" i="5" s="1"/>
  <c r="AF832" i="5"/>
  <c r="AE832" i="5"/>
  <c r="Y832" i="5"/>
  <c r="X832" i="5"/>
  <c r="Z832" i="5" s="1"/>
  <c r="AF831" i="5"/>
  <c r="AE831" i="5"/>
  <c r="Z831" i="5"/>
  <c r="Y831" i="5"/>
  <c r="X831" i="5"/>
  <c r="AF830" i="5"/>
  <c r="AE830" i="5"/>
  <c r="Y830" i="5"/>
  <c r="X830" i="5"/>
  <c r="Z830" i="5" s="1"/>
  <c r="AF829" i="5"/>
  <c r="AE829" i="5"/>
  <c r="Z829" i="5"/>
  <c r="Y829" i="5"/>
  <c r="X829" i="5"/>
  <c r="AF828" i="5"/>
  <c r="AE828" i="5"/>
  <c r="Y828" i="5"/>
  <c r="Z828" i="5" s="1"/>
  <c r="X828" i="5"/>
  <c r="AF827" i="5"/>
  <c r="AE827" i="5"/>
  <c r="Y827" i="5"/>
  <c r="X827" i="5"/>
  <c r="Z827" i="5" s="1"/>
  <c r="AF826" i="5"/>
  <c r="AE826" i="5"/>
  <c r="Y826" i="5"/>
  <c r="X826" i="5"/>
  <c r="Z826" i="5" s="1"/>
  <c r="AF825" i="5"/>
  <c r="AE825" i="5"/>
  <c r="Z825" i="5"/>
  <c r="Y825" i="5"/>
  <c r="X825" i="5"/>
  <c r="AF824" i="5"/>
  <c r="AE824" i="5"/>
  <c r="Y824" i="5"/>
  <c r="Z824" i="5" s="1"/>
  <c r="X824" i="5"/>
  <c r="AF823" i="5"/>
  <c r="AE823" i="5"/>
  <c r="Z823" i="5"/>
  <c r="Y823" i="5"/>
  <c r="X823" i="5"/>
  <c r="AF822" i="5"/>
  <c r="AE822" i="5"/>
  <c r="Y822" i="5"/>
  <c r="X822" i="5"/>
  <c r="Z822" i="5" s="1"/>
  <c r="AF821" i="5"/>
  <c r="AE821" i="5"/>
  <c r="Y821" i="5"/>
  <c r="X821" i="5"/>
  <c r="Z821" i="5" s="1"/>
  <c r="AF820" i="5"/>
  <c r="AE820" i="5"/>
  <c r="Y820" i="5"/>
  <c r="X820" i="5"/>
  <c r="Z820" i="5" s="1"/>
  <c r="AF819" i="5"/>
  <c r="AE819" i="5"/>
  <c r="Z819" i="5"/>
  <c r="Y819" i="5"/>
  <c r="X819" i="5"/>
  <c r="AF818" i="5"/>
  <c r="AE818" i="5"/>
  <c r="Y818" i="5"/>
  <c r="X818" i="5"/>
  <c r="Z818" i="5" s="1"/>
  <c r="AF817" i="5"/>
  <c r="AE817" i="5"/>
  <c r="Z817" i="5"/>
  <c r="Y817" i="5"/>
  <c r="X817" i="5"/>
  <c r="AF816" i="5"/>
  <c r="AE816" i="5"/>
  <c r="Y816" i="5"/>
  <c r="Z816" i="5" s="1"/>
  <c r="X816" i="5"/>
  <c r="AF815" i="5"/>
  <c r="AE815" i="5"/>
  <c r="Y815" i="5"/>
  <c r="X815" i="5"/>
  <c r="Z815" i="5" s="1"/>
  <c r="AF814" i="5"/>
  <c r="AE814" i="5"/>
  <c r="Y814" i="5"/>
  <c r="X814" i="5"/>
  <c r="Z814" i="5" s="1"/>
  <c r="AF813" i="5"/>
  <c r="AE813" i="5"/>
  <c r="Z813" i="5"/>
  <c r="Y813" i="5"/>
  <c r="X813" i="5"/>
  <c r="AF812" i="5"/>
  <c r="AE812" i="5"/>
  <c r="Y812" i="5"/>
  <c r="Z812" i="5" s="1"/>
  <c r="X812" i="5"/>
  <c r="AF811" i="5"/>
  <c r="AE811" i="5"/>
  <c r="Z811" i="5"/>
  <c r="Y811" i="5"/>
  <c r="X811" i="5"/>
  <c r="AF810" i="5"/>
  <c r="AE810" i="5"/>
  <c r="Y810" i="5"/>
  <c r="X810" i="5"/>
  <c r="Z810" i="5" s="1"/>
  <c r="AF809" i="5"/>
  <c r="AE809" i="5"/>
  <c r="Y809" i="5"/>
  <c r="X809" i="5"/>
  <c r="Z809" i="5" s="1"/>
  <c r="AF808" i="5"/>
  <c r="AE808" i="5"/>
  <c r="Y808" i="5"/>
  <c r="X808" i="5"/>
  <c r="Z808" i="5" s="1"/>
  <c r="AF807" i="5"/>
  <c r="AE807" i="5"/>
  <c r="Z807" i="5"/>
  <c r="Y807" i="5"/>
  <c r="X807" i="5"/>
  <c r="AF806" i="5"/>
  <c r="AE806" i="5"/>
  <c r="Y806" i="5"/>
  <c r="X806" i="5"/>
  <c r="Z806" i="5" s="1"/>
  <c r="AF805" i="5"/>
  <c r="AE805" i="5"/>
  <c r="Z805" i="5"/>
  <c r="Y805" i="5"/>
  <c r="X805" i="5"/>
  <c r="AF804" i="5"/>
  <c r="AE804" i="5"/>
  <c r="Y804" i="5"/>
  <c r="Z804" i="5" s="1"/>
  <c r="X804" i="5"/>
  <c r="AF803" i="5"/>
  <c r="AE803" i="5"/>
  <c r="Y803" i="5"/>
  <c r="X803" i="5"/>
  <c r="Z803" i="5" s="1"/>
  <c r="AF802" i="5"/>
  <c r="AE802" i="5"/>
  <c r="Y802" i="5"/>
  <c r="X802" i="5"/>
  <c r="Z802" i="5" s="1"/>
  <c r="AF801" i="5"/>
  <c r="AE801" i="5"/>
  <c r="Z801" i="5"/>
  <c r="Y801" i="5"/>
  <c r="X801" i="5"/>
  <c r="AF800" i="5"/>
  <c r="AE800" i="5"/>
  <c r="Y800" i="5"/>
  <c r="Z800" i="5" s="1"/>
  <c r="X800" i="5"/>
  <c r="AF799" i="5"/>
  <c r="AE799" i="5"/>
  <c r="Z799" i="5"/>
  <c r="Y799" i="5"/>
  <c r="X799" i="5"/>
  <c r="AF798" i="5"/>
  <c r="AE798" i="5"/>
  <c r="Y798" i="5"/>
  <c r="X798" i="5"/>
  <c r="Z798" i="5" s="1"/>
  <c r="AF797" i="5"/>
  <c r="AE797" i="5"/>
  <c r="Y797" i="5"/>
  <c r="X797" i="5"/>
  <c r="Z797" i="5" s="1"/>
  <c r="AF796" i="5"/>
  <c r="AE796" i="5"/>
  <c r="Y796" i="5"/>
  <c r="X796" i="5"/>
  <c r="Z796" i="5" s="1"/>
  <c r="AF795" i="5"/>
  <c r="AE795" i="5"/>
  <c r="Z795" i="5"/>
  <c r="Y795" i="5"/>
  <c r="X795" i="5"/>
  <c r="AF794" i="5"/>
  <c r="AE794" i="5"/>
  <c r="Y794" i="5"/>
  <c r="X794" i="5"/>
  <c r="Z794" i="5" s="1"/>
  <c r="AF793" i="5"/>
  <c r="AE793" i="5"/>
  <c r="Z793" i="5"/>
  <c r="Y793" i="5"/>
  <c r="X793" i="5"/>
  <c r="AF792" i="5"/>
  <c r="AE792" i="5"/>
  <c r="Y792" i="5"/>
  <c r="Z792" i="5" s="1"/>
  <c r="X792" i="5"/>
  <c r="AF791" i="5"/>
  <c r="AE791" i="5"/>
  <c r="Y791" i="5"/>
  <c r="X791" i="5"/>
  <c r="Z791" i="5" s="1"/>
  <c r="AF790" i="5"/>
  <c r="AE790" i="5"/>
  <c r="Y790" i="5"/>
  <c r="X790" i="5"/>
  <c r="Z790" i="5" s="1"/>
  <c r="AF789" i="5"/>
  <c r="AE789" i="5"/>
  <c r="Z789" i="5"/>
  <c r="Y789" i="5"/>
  <c r="X789" i="5"/>
  <c r="AF788" i="5"/>
  <c r="AE788" i="5"/>
  <c r="Y788" i="5"/>
  <c r="Z788" i="5" s="1"/>
  <c r="X788" i="5"/>
  <c r="AF787" i="5"/>
  <c r="AE787" i="5"/>
  <c r="Z787" i="5"/>
  <c r="Y787" i="5"/>
  <c r="X787" i="5"/>
  <c r="AF786" i="5"/>
  <c r="AE786" i="5"/>
  <c r="Y786" i="5"/>
  <c r="X786" i="5"/>
  <c r="Z786" i="5" s="1"/>
  <c r="AF785" i="5"/>
  <c r="AE785" i="5"/>
  <c r="Y785" i="5"/>
  <c r="X785" i="5"/>
  <c r="Z785" i="5" s="1"/>
  <c r="AF784" i="5"/>
  <c r="AE784" i="5"/>
  <c r="Y784" i="5"/>
  <c r="X784" i="5"/>
  <c r="Z784" i="5" s="1"/>
  <c r="AF783" i="5"/>
  <c r="AE783" i="5"/>
  <c r="Z783" i="5"/>
  <c r="Y783" i="5"/>
  <c r="X783" i="5"/>
  <c r="AF782" i="5"/>
  <c r="AE782" i="5"/>
  <c r="Y782" i="5"/>
  <c r="X782" i="5"/>
  <c r="Z782" i="5" s="1"/>
  <c r="AF781" i="5"/>
  <c r="AE781" i="5"/>
  <c r="Z781" i="5"/>
  <c r="Y781" i="5"/>
  <c r="X781" i="5"/>
  <c r="AF780" i="5"/>
  <c r="AE780" i="5"/>
  <c r="Y780" i="5"/>
  <c r="Z780" i="5" s="1"/>
  <c r="X780" i="5"/>
  <c r="AF779" i="5"/>
  <c r="AE779" i="5"/>
  <c r="Y779" i="5"/>
  <c r="X779" i="5"/>
  <c r="Z779" i="5" s="1"/>
  <c r="AF778" i="5"/>
  <c r="AE778" i="5"/>
  <c r="Y778" i="5"/>
  <c r="X778" i="5"/>
  <c r="Z778" i="5" s="1"/>
  <c r="AF777" i="5"/>
  <c r="AE777" i="5"/>
  <c r="Z777" i="5"/>
  <c r="Y777" i="5"/>
  <c r="X777" i="5"/>
  <c r="AF776" i="5"/>
  <c r="AE776" i="5"/>
  <c r="Y776" i="5"/>
  <c r="Z776" i="5" s="1"/>
  <c r="X776" i="5"/>
  <c r="AF775" i="5"/>
  <c r="AE775" i="5"/>
  <c r="Z775" i="5"/>
  <c r="Y775" i="5"/>
  <c r="X775" i="5"/>
  <c r="AF774" i="5"/>
  <c r="AE774" i="5"/>
  <c r="Y774" i="5"/>
  <c r="X774" i="5"/>
  <c r="Z774" i="5" s="1"/>
  <c r="AF773" i="5"/>
  <c r="AE773" i="5"/>
  <c r="Y773" i="5"/>
  <c r="X773" i="5"/>
  <c r="Z773" i="5" s="1"/>
  <c r="AF772" i="5"/>
  <c r="AE772" i="5"/>
  <c r="Y772" i="5"/>
  <c r="X772" i="5"/>
  <c r="Z772" i="5" s="1"/>
  <c r="AF771" i="5"/>
  <c r="AE771" i="5"/>
  <c r="Z771" i="5"/>
  <c r="Y771" i="5"/>
  <c r="X771" i="5"/>
  <c r="AF770" i="5"/>
  <c r="AE770" i="5"/>
  <c r="Y770" i="5"/>
  <c r="X770" i="5"/>
  <c r="Z770" i="5" s="1"/>
  <c r="AF769" i="5"/>
  <c r="AE769" i="5"/>
  <c r="Z769" i="5"/>
  <c r="Y769" i="5"/>
  <c r="X769" i="5"/>
  <c r="AF768" i="5"/>
  <c r="AE768" i="5"/>
  <c r="Y768" i="5"/>
  <c r="Z768" i="5" s="1"/>
  <c r="X768" i="5"/>
  <c r="AF767" i="5"/>
  <c r="AE767" i="5"/>
  <c r="Y767" i="5"/>
  <c r="X767" i="5"/>
  <c r="Z767" i="5" s="1"/>
  <c r="AF766" i="5"/>
  <c r="AE766" i="5"/>
  <c r="Y766" i="5"/>
  <c r="X766" i="5"/>
  <c r="Z766" i="5" s="1"/>
  <c r="AF765" i="5"/>
  <c r="AE765" i="5"/>
  <c r="Z765" i="5"/>
  <c r="Y765" i="5"/>
  <c r="X765" i="5"/>
  <c r="AF764" i="5"/>
  <c r="AE764" i="5"/>
  <c r="Y764" i="5"/>
  <c r="Z764" i="5" s="1"/>
  <c r="X764" i="5"/>
  <c r="AF763" i="5"/>
  <c r="AE763" i="5"/>
  <c r="Z763" i="5"/>
  <c r="Y763" i="5"/>
  <c r="X763" i="5"/>
  <c r="AF762" i="5"/>
  <c r="AE762" i="5"/>
  <c r="Y762" i="5"/>
  <c r="X762" i="5"/>
  <c r="Z762" i="5" s="1"/>
  <c r="AF761" i="5"/>
  <c r="AE761" i="5"/>
  <c r="Y761" i="5"/>
  <c r="X761" i="5"/>
  <c r="Z761" i="5" s="1"/>
  <c r="AF760" i="5"/>
  <c r="AE760" i="5"/>
  <c r="Y760" i="5"/>
  <c r="X760" i="5"/>
  <c r="Z760" i="5" s="1"/>
  <c r="AF759" i="5"/>
  <c r="AE759" i="5"/>
  <c r="Z759" i="5"/>
  <c r="Y759" i="5"/>
  <c r="X759" i="5"/>
  <c r="AF758" i="5"/>
  <c r="AE758" i="5"/>
  <c r="Y758" i="5"/>
  <c r="X758" i="5"/>
  <c r="Z758" i="5" s="1"/>
  <c r="AF757" i="5"/>
  <c r="AE757" i="5"/>
  <c r="Z757" i="5"/>
  <c r="Y757" i="5"/>
  <c r="X757" i="5"/>
  <c r="AF756" i="5"/>
  <c r="AE756" i="5"/>
  <c r="Y756" i="5"/>
  <c r="Z756" i="5" s="1"/>
  <c r="X756" i="5"/>
  <c r="AF755" i="5"/>
  <c r="AE755" i="5"/>
  <c r="Y755" i="5"/>
  <c r="X755" i="5"/>
  <c r="Z755" i="5" s="1"/>
  <c r="AF754" i="5"/>
  <c r="AE754" i="5"/>
  <c r="Y754" i="5"/>
  <c r="X754" i="5"/>
  <c r="Z754" i="5" s="1"/>
  <c r="AF753" i="5"/>
  <c r="AE753" i="5"/>
  <c r="Z753" i="5"/>
  <c r="Y753" i="5"/>
  <c r="X753" i="5"/>
  <c r="AF752" i="5"/>
  <c r="AE752" i="5"/>
  <c r="Y752" i="5"/>
  <c r="Z752" i="5" s="1"/>
  <c r="X752" i="5"/>
  <c r="AF751" i="5"/>
  <c r="AE751" i="5"/>
  <c r="Z751" i="5"/>
  <c r="Y751" i="5"/>
  <c r="X751" i="5"/>
  <c r="AF750" i="5"/>
  <c r="AE750" i="5"/>
  <c r="Y750" i="5"/>
  <c r="X750" i="5"/>
  <c r="Z750" i="5" s="1"/>
  <c r="AF749" i="5"/>
  <c r="AE749" i="5"/>
  <c r="Y749" i="5"/>
  <c r="X749" i="5"/>
  <c r="Z749" i="5" s="1"/>
  <c r="AF748" i="5"/>
  <c r="AE748" i="5"/>
  <c r="Y748" i="5"/>
  <c r="X748" i="5"/>
  <c r="Z748" i="5" s="1"/>
  <c r="AF747" i="5"/>
  <c r="AE747" i="5"/>
  <c r="Z747" i="5"/>
  <c r="Y747" i="5"/>
  <c r="X747" i="5"/>
  <c r="AF746" i="5"/>
  <c r="AE746" i="5"/>
  <c r="Y746" i="5"/>
  <c r="X746" i="5"/>
  <c r="Z746" i="5" s="1"/>
  <c r="AF745" i="5"/>
  <c r="AE745" i="5"/>
  <c r="Z745" i="5"/>
  <c r="Y745" i="5"/>
  <c r="X745" i="5"/>
  <c r="AF744" i="5"/>
  <c r="AE744" i="5"/>
  <c r="Y744" i="5"/>
  <c r="Z744" i="5" s="1"/>
  <c r="X744" i="5"/>
  <c r="AF743" i="5"/>
  <c r="AE743" i="5"/>
  <c r="Y743" i="5"/>
  <c r="X743" i="5"/>
  <c r="Z743" i="5" s="1"/>
  <c r="AF742" i="5"/>
  <c r="AE742" i="5"/>
  <c r="Y742" i="5"/>
  <c r="X742" i="5"/>
  <c r="Z742" i="5" s="1"/>
  <c r="AF741" i="5"/>
  <c r="AE741" i="5"/>
  <c r="Z741" i="5"/>
  <c r="Y741" i="5"/>
  <c r="X741" i="5"/>
  <c r="AF740" i="5"/>
  <c r="AE740" i="5"/>
  <c r="Y740" i="5"/>
  <c r="Z740" i="5" s="1"/>
  <c r="X740" i="5"/>
  <c r="AF739" i="5"/>
  <c r="AE739" i="5"/>
  <c r="Z739" i="5"/>
  <c r="Y739" i="5"/>
  <c r="X739" i="5"/>
  <c r="AF738" i="5"/>
  <c r="AE738" i="5"/>
  <c r="Y738" i="5"/>
  <c r="X738" i="5"/>
  <c r="Z738" i="5" s="1"/>
  <c r="AF737" i="5"/>
  <c r="AE737" i="5"/>
  <c r="Y737" i="5"/>
  <c r="X737" i="5"/>
  <c r="Z737" i="5" s="1"/>
  <c r="AF736" i="5"/>
  <c r="AE736" i="5"/>
  <c r="Y736" i="5"/>
  <c r="X736" i="5"/>
  <c r="Z736" i="5" s="1"/>
  <c r="AF735" i="5"/>
  <c r="AE735" i="5"/>
  <c r="Z735" i="5"/>
  <c r="Y735" i="5"/>
  <c r="X735" i="5"/>
  <c r="AF734" i="5"/>
  <c r="AE734" i="5"/>
  <c r="Y734" i="5"/>
  <c r="X734" i="5"/>
  <c r="Z734" i="5" s="1"/>
  <c r="AF733" i="5"/>
  <c r="AE733" i="5"/>
  <c r="Z733" i="5"/>
  <c r="Y733" i="5"/>
  <c r="X733" i="5"/>
  <c r="AF732" i="5"/>
  <c r="AE732" i="5"/>
  <c r="Y732" i="5"/>
  <c r="Z732" i="5" s="1"/>
  <c r="X732" i="5"/>
  <c r="AF731" i="5"/>
  <c r="AE731" i="5"/>
  <c r="Y731" i="5"/>
  <c r="X731" i="5"/>
  <c r="Z731" i="5" s="1"/>
  <c r="AF730" i="5"/>
  <c r="AE730" i="5"/>
  <c r="Y730" i="5"/>
  <c r="X730" i="5"/>
  <c r="Z730" i="5" s="1"/>
  <c r="AF729" i="5"/>
  <c r="AE729" i="5"/>
  <c r="Z729" i="5"/>
  <c r="Y729" i="5"/>
  <c r="X729" i="5"/>
  <c r="AF728" i="5"/>
  <c r="AE728" i="5"/>
  <c r="Y728" i="5"/>
  <c r="Z728" i="5" s="1"/>
  <c r="X728" i="5"/>
  <c r="AF727" i="5"/>
  <c r="AE727" i="5"/>
  <c r="Z727" i="5"/>
  <c r="Y727" i="5"/>
  <c r="X727" i="5"/>
  <c r="AF726" i="5"/>
  <c r="AE726" i="5"/>
  <c r="Y726" i="5"/>
  <c r="X726" i="5"/>
  <c r="Z726" i="5" s="1"/>
  <c r="AF725" i="5"/>
  <c r="AE725" i="5"/>
  <c r="Y725" i="5"/>
  <c r="X725" i="5"/>
  <c r="Z725" i="5" s="1"/>
  <c r="AF724" i="5"/>
  <c r="AE724" i="5"/>
  <c r="Y724" i="5"/>
  <c r="X724" i="5"/>
  <c r="Z724" i="5" s="1"/>
  <c r="AF723" i="5"/>
  <c r="AE723" i="5"/>
  <c r="Z723" i="5"/>
  <c r="Y723" i="5"/>
  <c r="X723" i="5"/>
  <c r="AF722" i="5"/>
  <c r="AE722" i="5"/>
  <c r="Y722" i="5"/>
  <c r="X722" i="5"/>
  <c r="Z722" i="5" s="1"/>
  <c r="AF721" i="5"/>
  <c r="AE721" i="5"/>
  <c r="Z721" i="5"/>
  <c r="Y721" i="5"/>
  <c r="X721" i="5"/>
  <c r="AF720" i="5"/>
  <c r="AE720" i="5"/>
  <c r="Y720" i="5"/>
  <c r="Z720" i="5" s="1"/>
  <c r="X720" i="5"/>
  <c r="AF719" i="5"/>
  <c r="AE719" i="5"/>
  <c r="Y719" i="5"/>
  <c r="X719" i="5"/>
  <c r="Z719" i="5" s="1"/>
  <c r="AF718" i="5"/>
  <c r="AE718" i="5"/>
  <c r="Y718" i="5"/>
  <c r="X718" i="5"/>
  <c r="Z718" i="5" s="1"/>
  <c r="AF717" i="5"/>
  <c r="AE717" i="5"/>
  <c r="Z717" i="5"/>
  <c r="Y717" i="5"/>
  <c r="X717" i="5"/>
  <c r="AF716" i="5"/>
  <c r="AE716" i="5"/>
  <c r="Y716" i="5"/>
  <c r="Z716" i="5" s="1"/>
  <c r="X716" i="5"/>
  <c r="AF715" i="5"/>
  <c r="AE715" i="5"/>
  <c r="Z715" i="5"/>
  <c r="Y715" i="5"/>
  <c r="X715" i="5"/>
  <c r="AF714" i="5"/>
  <c r="AE714" i="5"/>
  <c r="Y714" i="5"/>
  <c r="X714" i="5"/>
  <c r="Z714" i="5" s="1"/>
  <c r="AF713" i="5"/>
  <c r="AE713" i="5"/>
  <c r="Y713" i="5"/>
  <c r="X713" i="5"/>
  <c r="Z713" i="5" s="1"/>
  <c r="AF712" i="5"/>
  <c r="AE712" i="5"/>
  <c r="Y712" i="5"/>
  <c r="X712" i="5"/>
  <c r="Z712" i="5" s="1"/>
  <c r="AF711" i="5"/>
  <c r="AE711" i="5"/>
  <c r="Z711" i="5"/>
  <c r="Y711" i="5"/>
  <c r="X711" i="5"/>
  <c r="AF710" i="5"/>
  <c r="AE710" i="5"/>
  <c r="Y710" i="5"/>
  <c r="X710" i="5"/>
  <c r="Z710" i="5" s="1"/>
  <c r="AF709" i="5"/>
  <c r="AE709" i="5"/>
  <c r="Z709" i="5"/>
  <c r="Y709" i="5"/>
  <c r="X709" i="5"/>
  <c r="AF708" i="5"/>
  <c r="AE708" i="5"/>
  <c r="Y708" i="5"/>
  <c r="Z708" i="5" s="1"/>
  <c r="X708" i="5"/>
  <c r="AF707" i="5"/>
  <c r="AE707" i="5"/>
  <c r="Y707" i="5"/>
  <c r="X707" i="5"/>
  <c r="Z707" i="5" s="1"/>
  <c r="AF706" i="5"/>
  <c r="AE706" i="5"/>
  <c r="Y706" i="5"/>
  <c r="X706" i="5"/>
  <c r="Z706" i="5" s="1"/>
  <c r="AF705" i="5"/>
  <c r="AE705" i="5"/>
  <c r="Z705" i="5"/>
  <c r="Y705" i="5"/>
  <c r="X705" i="5"/>
  <c r="AF704" i="5"/>
  <c r="AE704" i="5"/>
  <c r="Y704" i="5"/>
  <c r="Z704" i="5" s="1"/>
  <c r="X704" i="5"/>
  <c r="AF703" i="5"/>
  <c r="AE703" i="5"/>
  <c r="Z703" i="5"/>
  <c r="Y703" i="5"/>
  <c r="X703" i="5"/>
  <c r="AF702" i="5"/>
  <c r="AE702" i="5"/>
  <c r="Y702" i="5"/>
  <c r="X702" i="5"/>
  <c r="Z702" i="5" s="1"/>
  <c r="AF701" i="5"/>
  <c r="AE701" i="5"/>
  <c r="Y701" i="5"/>
  <c r="X701" i="5"/>
  <c r="Z701" i="5" s="1"/>
  <c r="AF700" i="5"/>
  <c r="AE700" i="5"/>
  <c r="Y700" i="5"/>
  <c r="X700" i="5"/>
  <c r="Z700" i="5" s="1"/>
  <c r="AF699" i="5"/>
  <c r="AE699" i="5"/>
  <c r="Z699" i="5"/>
  <c r="Y699" i="5"/>
  <c r="X699" i="5"/>
  <c r="AF698" i="5"/>
  <c r="AE698" i="5"/>
  <c r="Y698" i="5"/>
  <c r="X698" i="5"/>
  <c r="Z698" i="5" s="1"/>
  <c r="AF697" i="5"/>
  <c r="AE697" i="5"/>
  <c r="Z697" i="5"/>
  <c r="Y697" i="5"/>
  <c r="X697" i="5"/>
  <c r="AF696" i="5"/>
  <c r="AE696" i="5"/>
  <c r="Y696" i="5"/>
  <c r="Z696" i="5" s="1"/>
  <c r="X696" i="5"/>
  <c r="AF695" i="5"/>
  <c r="AE695" i="5"/>
  <c r="Y695" i="5"/>
  <c r="X695" i="5"/>
  <c r="Z695" i="5" s="1"/>
  <c r="AF694" i="5"/>
  <c r="AE694" i="5"/>
  <c r="Y694" i="5"/>
  <c r="X694" i="5"/>
  <c r="Z694" i="5" s="1"/>
  <c r="AF693" i="5"/>
  <c r="AE693" i="5"/>
  <c r="Z693" i="5"/>
  <c r="Y693" i="5"/>
  <c r="X693" i="5"/>
  <c r="AF692" i="5"/>
  <c r="AE692" i="5"/>
  <c r="Y692" i="5"/>
  <c r="Z692" i="5" s="1"/>
  <c r="X692" i="5"/>
  <c r="AF691" i="5"/>
  <c r="AE691" i="5"/>
  <c r="Z691" i="5"/>
  <c r="Y691" i="5"/>
  <c r="X691" i="5"/>
  <c r="AF690" i="5"/>
  <c r="AE690" i="5"/>
  <c r="Y690" i="5"/>
  <c r="X690" i="5"/>
  <c r="Z690" i="5" s="1"/>
  <c r="AF689" i="5"/>
  <c r="AE689" i="5"/>
  <c r="Y689" i="5"/>
  <c r="X689" i="5"/>
  <c r="Z689" i="5" s="1"/>
  <c r="AF688" i="5"/>
  <c r="AE688" i="5"/>
  <c r="Y688" i="5"/>
  <c r="X688" i="5"/>
  <c r="Z688" i="5" s="1"/>
  <c r="AF687" i="5"/>
  <c r="AE687" i="5"/>
  <c r="Z687" i="5"/>
  <c r="Y687" i="5"/>
  <c r="X687" i="5"/>
  <c r="AF686" i="5"/>
  <c r="AE686" i="5"/>
  <c r="Y686" i="5"/>
  <c r="X686" i="5"/>
  <c r="Z686" i="5" s="1"/>
  <c r="AF685" i="5"/>
  <c r="AE685" i="5"/>
  <c r="Z685" i="5"/>
  <c r="Y685" i="5"/>
  <c r="X685" i="5"/>
  <c r="AF684" i="5"/>
  <c r="AE684" i="5"/>
  <c r="Y684" i="5"/>
  <c r="Z684" i="5" s="1"/>
  <c r="X684" i="5"/>
  <c r="AF683" i="5"/>
  <c r="AE683" i="5"/>
  <c r="Y683" i="5"/>
  <c r="X683" i="5"/>
  <c r="Z683" i="5" s="1"/>
  <c r="AF682" i="5"/>
  <c r="AE682" i="5"/>
  <c r="Y682" i="5"/>
  <c r="X682" i="5"/>
  <c r="Z682" i="5" s="1"/>
  <c r="AF681" i="5"/>
  <c r="AE681" i="5"/>
  <c r="Z681" i="5"/>
  <c r="Y681" i="5"/>
  <c r="X681" i="5"/>
  <c r="AF680" i="5"/>
  <c r="AE680" i="5"/>
  <c r="Y680" i="5"/>
  <c r="Z680" i="5" s="1"/>
  <c r="X680" i="5"/>
  <c r="AF679" i="5"/>
  <c r="AE679" i="5"/>
  <c r="Z679" i="5"/>
  <c r="Y679" i="5"/>
  <c r="X679" i="5"/>
  <c r="AF678" i="5"/>
  <c r="AE678" i="5"/>
  <c r="Y678" i="5"/>
  <c r="X678" i="5"/>
  <c r="Z678" i="5" s="1"/>
  <c r="AF677" i="5"/>
  <c r="AE677" i="5"/>
  <c r="Y677" i="5"/>
  <c r="X677" i="5"/>
  <c r="Z677" i="5" s="1"/>
  <c r="AF676" i="5"/>
  <c r="AE676" i="5"/>
  <c r="Y676" i="5"/>
  <c r="X676" i="5"/>
  <c r="Z676" i="5" s="1"/>
  <c r="AF675" i="5"/>
  <c r="AE675" i="5"/>
  <c r="Z675" i="5"/>
  <c r="Y675" i="5"/>
  <c r="X675" i="5"/>
  <c r="AF674" i="5"/>
  <c r="AE674" i="5"/>
  <c r="Y674" i="5"/>
  <c r="X674" i="5"/>
  <c r="Z674" i="5" s="1"/>
  <c r="AF673" i="5"/>
  <c r="AE673" i="5"/>
  <c r="Z673" i="5"/>
  <c r="Y673" i="5"/>
  <c r="X673" i="5"/>
  <c r="AF672" i="5"/>
  <c r="AE672" i="5"/>
  <c r="Y672" i="5"/>
  <c r="Z672" i="5" s="1"/>
  <c r="X672" i="5"/>
  <c r="AF671" i="5"/>
  <c r="AE671" i="5"/>
  <c r="Y671" i="5"/>
  <c r="X671" i="5"/>
  <c r="Z671" i="5" s="1"/>
  <c r="AF670" i="5"/>
  <c r="AE670" i="5"/>
  <c r="Y670" i="5"/>
  <c r="X670" i="5"/>
  <c r="Z670" i="5" s="1"/>
  <c r="AF669" i="5"/>
  <c r="AE669" i="5"/>
  <c r="Z669" i="5"/>
  <c r="Y669" i="5"/>
  <c r="X669" i="5"/>
  <c r="AF668" i="5"/>
  <c r="AE668" i="5"/>
  <c r="Y668" i="5"/>
  <c r="Z668" i="5" s="1"/>
  <c r="X668" i="5"/>
  <c r="AF667" i="5"/>
  <c r="AE667" i="5"/>
  <c r="Z667" i="5"/>
  <c r="Y667" i="5"/>
  <c r="X667" i="5"/>
  <c r="AF666" i="5"/>
  <c r="AE666" i="5"/>
  <c r="Y666" i="5"/>
  <c r="X666" i="5"/>
  <c r="Z666" i="5" s="1"/>
  <c r="AF665" i="5"/>
  <c r="AE665" i="5"/>
  <c r="Y665" i="5"/>
  <c r="X665" i="5"/>
  <c r="Z665" i="5" s="1"/>
  <c r="AF664" i="5"/>
  <c r="AE664" i="5"/>
  <c r="Y664" i="5"/>
  <c r="X664" i="5"/>
  <c r="Z664" i="5" s="1"/>
  <c r="AF663" i="5"/>
  <c r="AE663" i="5"/>
  <c r="Z663" i="5"/>
  <c r="Y663" i="5"/>
  <c r="X663" i="5"/>
  <c r="AF662" i="5"/>
  <c r="AE662" i="5"/>
  <c r="Y662" i="5"/>
  <c r="X662" i="5"/>
  <c r="Z662" i="5" s="1"/>
  <c r="AF661" i="5"/>
  <c r="AE661" i="5"/>
  <c r="Z661" i="5"/>
  <c r="Y661" i="5"/>
  <c r="X661" i="5"/>
  <c r="AF660" i="5"/>
  <c r="AE660" i="5"/>
  <c r="Y660" i="5"/>
  <c r="Z660" i="5" s="1"/>
  <c r="X660" i="5"/>
  <c r="AF659" i="5"/>
  <c r="AE659" i="5"/>
  <c r="Y659" i="5"/>
  <c r="X659" i="5"/>
  <c r="Z659" i="5" s="1"/>
  <c r="AF658" i="5"/>
  <c r="AE658" i="5"/>
  <c r="Y658" i="5"/>
  <c r="X658" i="5"/>
  <c r="Z658" i="5" s="1"/>
  <c r="AF657" i="5"/>
  <c r="AE657" i="5"/>
  <c r="Z657" i="5"/>
  <c r="Y657" i="5"/>
  <c r="X657" i="5"/>
  <c r="AF656" i="5"/>
  <c r="AE656" i="5"/>
  <c r="Y656" i="5"/>
  <c r="Z656" i="5" s="1"/>
  <c r="X656" i="5"/>
  <c r="AF655" i="5"/>
  <c r="AE655" i="5"/>
  <c r="Z655" i="5"/>
  <c r="Y655" i="5"/>
  <c r="X655" i="5"/>
  <c r="AF654" i="5"/>
  <c r="AE654" i="5"/>
  <c r="Y654" i="5"/>
  <c r="X654" i="5"/>
  <c r="Z654" i="5" s="1"/>
  <c r="AF653" i="5"/>
  <c r="AE653" i="5"/>
  <c r="Y653" i="5"/>
  <c r="X653" i="5"/>
  <c r="Z653" i="5" s="1"/>
  <c r="AF652" i="5"/>
  <c r="AE652" i="5"/>
  <c r="Y652" i="5"/>
  <c r="X652" i="5"/>
  <c r="Z652" i="5" s="1"/>
  <c r="AF651" i="5"/>
  <c r="AE651" i="5"/>
  <c r="Z651" i="5"/>
  <c r="Y651" i="5"/>
  <c r="X651" i="5"/>
  <c r="AF650" i="5"/>
  <c r="AE650" i="5"/>
  <c r="Y650" i="5"/>
  <c r="X650" i="5"/>
  <c r="Z650" i="5" s="1"/>
  <c r="AF649" i="5"/>
  <c r="AE649" i="5"/>
  <c r="Z649" i="5"/>
  <c r="Y649" i="5"/>
  <c r="X649" i="5"/>
  <c r="AF648" i="5"/>
  <c r="AE648" i="5"/>
  <c r="Y648" i="5"/>
  <c r="Z648" i="5" s="1"/>
  <c r="X648" i="5"/>
  <c r="AF647" i="5"/>
  <c r="AE647" i="5"/>
  <c r="Y647" i="5"/>
  <c r="X647" i="5"/>
  <c r="Z647" i="5" s="1"/>
  <c r="AF646" i="5"/>
  <c r="AE646" i="5"/>
  <c r="Y646" i="5"/>
  <c r="X646" i="5"/>
  <c r="Z646" i="5" s="1"/>
  <c r="AF645" i="5"/>
  <c r="AE645" i="5"/>
  <c r="Z645" i="5"/>
  <c r="Y645" i="5"/>
  <c r="X645" i="5"/>
  <c r="AF644" i="5"/>
  <c r="AE644" i="5"/>
  <c r="Y644" i="5"/>
  <c r="Z644" i="5" s="1"/>
  <c r="X644" i="5"/>
  <c r="AF643" i="5"/>
  <c r="AE643" i="5"/>
  <c r="Z643" i="5"/>
  <c r="Y643" i="5"/>
  <c r="X643" i="5"/>
  <c r="AF642" i="5"/>
  <c r="AE642" i="5"/>
  <c r="Y642" i="5"/>
  <c r="X642" i="5"/>
  <c r="Z642" i="5" s="1"/>
  <c r="AF641" i="5"/>
  <c r="AE641" i="5"/>
  <c r="Y641" i="5"/>
  <c r="X641" i="5"/>
  <c r="Z641" i="5" s="1"/>
  <c r="AF640" i="5"/>
  <c r="AE640" i="5"/>
  <c r="Y640" i="5"/>
  <c r="X640" i="5"/>
  <c r="Z640" i="5" s="1"/>
  <c r="AF639" i="5"/>
  <c r="AE639" i="5"/>
  <c r="Z639" i="5"/>
  <c r="Y639" i="5"/>
  <c r="X639" i="5"/>
  <c r="AF638" i="5"/>
  <c r="AE638" i="5"/>
  <c r="Y638" i="5"/>
  <c r="X638" i="5"/>
  <c r="Z638" i="5" s="1"/>
  <c r="AF637" i="5"/>
  <c r="AE637" i="5"/>
  <c r="Z637" i="5"/>
  <c r="Y637" i="5"/>
  <c r="X637" i="5"/>
  <c r="AF636" i="5"/>
  <c r="AE636" i="5"/>
  <c r="Y636" i="5"/>
  <c r="Z636" i="5" s="1"/>
  <c r="X636" i="5"/>
  <c r="AF635" i="5"/>
  <c r="AE635" i="5"/>
  <c r="Y635" i="5"/>
  <c r="X635" i="5"/>
  <c r="Z635" i="5" s="1"/>
  <c r="AF634" i="5"/>
  <c r="AE634" i="5"/>
  <c r="Y634" i="5"/>
  <c r="X634" i="5"/>
  <c r="Z634" i="5" s="1"/>
  <c r="AF633" i="5"/>
  <c r="AE633" i="5"/>
  <c r="Z633" i="5"/>
  <c r="Y633" i="5"/>
  <c r="X633" i="5"/>
  <c r="AF632" i="5"/>
  <c r="AE632" i="5"/>
  <c r="Y632" i="5"/>
  <c r="Z632" i="5" s="1"/>
  <c r="X632" i="5"/>
  <c r="AF631" i="5"/>
  <c r="AE631" i="5"/>
  <c r="Z631" i="5"/>
  <c r="Y631" i="5"/>
  <c r="X631" i="5"/>
  <c r="AF630" i="5"/>
  <c r="AE630" i="5"/>
  <c r="Y630" i="5"/>
  <c r="X630" i="5"/>
  <c r="Z630" i="5" s="1"/>
  <c r="AF629" i="5"/>
  <c r="AE629" i="5"/>
  <c r="Y629" i="5"/>
  <c r="X629" i="5"/>
  <c r="Z629" i="5" s="1"/>
  <c r="AF628" i="5"/>
  <c r="AE628" i="5"/>
  <c r="Z628" i="5"/>
  <c r="Y628" i="5"/>
  <c r="X628" i="5"/>
  <c r="AF627" i="5"/>
  <c r="AE627" i="5"/>
  <c r="Z627" i="5"/>
  <c r="Y627" i="5"/>
  <c r="X627" i="5"/>
  <c r="AF626" i="5"/>
  <c r="AE626" i="5"/>
  <c r="Y626" i="5"/>
  <c r="X626" i="5"/>
  <c r="Z626" i="5" s="1"/>
  <c r="AF625" i="5"/>
  <c r="AE625" i="5"/>
  <c r="Z625" i="5"/>
  <c r="Y625" i="5"/>
  <c r="X625" i="5"/>
  <c r="AF624" i="5"/>
  <c r="AE624" i="5"/>
  <c r="Y624" i="5"/>
  <c r="Z624" i="5" s="1"/>
  <c r="X624" i="5"/>
  <c r="AF623" i="5"/>
  <c r="AE623" i="5"/>
  <c r="Y623" i="5"/>
  <c r="X623" i="5"/>
  <c r="Z623" i="5" s="1"/>
  <c r="AF622" i="5"/>
  <c r="AE622" i="5"/>
  <c r="Y622" i="5"/>
  <c r="X622" i="5"/>
  <c r="Z622" i="5" s="1"/>
  <c r="AF621" i="5"/>
  <c r="AE621" i="5"/>
  <c r="Z621" i="5"/>
  <c r="Y621" i="5"/>
  <c r="X621" i="5"/>
  <c r="AF620" i="5"/>
  <c r="AE620" i="5"/>
  <c r="Y620" i="5"/>
  <c r="Z620" i="5" s="1"/>
  <c r="X620" i="5"/>
  <c r="AF619" i="5"/>
  <c r="AE619" i="5"/>
  <c r="Z619" i="5"/>
  <c r="Y619" i="5"/>
  <c r="X619" i="5"/>
  <c r="AF618" i="5"/>
  <c r="AE618" i="5"/>
  <c r="Y618" i="5"/>
  <c r="X618" i="5"/>
  <c r="Z618" i="5" s="1"/>
  <c r="AF617" i="5"/>
  <c r="AE617" i="5"/>
  <c r="Y617" i="5"/>
  <c r="X617" i="5"/>
  <c r="Z617" i="5" s="1"/>
  <c r="AF616" i="5"/>
  <c r="AE616" i="5"/>
  <c r="Z616" i="5"/>
  <c r="Y616" i="5"/>
  <c r="X616" i="5"/>
  <c r="AF615" i="5"/>
  <c r="AE615" i="5"/>
  <c r="Z615" i="5"/>
  <c r="Y615" i="5"/>
  <c r="X615" i="5"/>
  <c r="AF614" i="5"/>
  <c r="AE614" i="5"/>
  <c r="Y614" i="5"/>
  <c r="X614" i="5"/>
  <c r="Z614" i="5" s="1"/>
  <c r="AF613" i="5"/>
  <c r="AE613" i="5"/>
  <c r="Z613" i="5"/>
  <c r="Y613" i="5"/>
  <c r="X613" i="5"/>
  <c r="AF612" i="5"/>
  <c r="AE612" i="5"/>
  <c r="Y612" i="5"/>
  <c r="Z612" i="5" s="1"/>
  <c r="X612" i="5"/>
  <c r="AF611" i="5"/>
  <c r="AE611" i="5"/>
  <c r="Y611" i="5"/>
  <c r="X611" i="5"/>
  <c r="Z611" i="5" s="1"/>
  <c r="AF610" i="5"/>
  <c r="AE610" i="5"/>
  <c r="Y610" i="5"/>
  <c r="X610" i="5"/>
  <c r="Z610" i="5" s="1"/>
  <c r="AF609" i="5"/>
  <c r="AE609" i="5"/>
  <c r="Z609" i="5"/>
  <c r="Y609" i="5"/>
  <c r="X609" i="5"/>
  <c r="AF608" i="5"/>
  <c r="AE608" i="5"/>
  <c r="Y608" i="5"/>
  <c r="Z608" i="5" s="1"/>
  <c r="X608" i="5"/>
  <c r="AF607" i="5"/>
  <c r="AE607" i="5"/>
  <c r="Z607" i="5"/>
  <c r="Y607" i="5"/>
  <c r="X607" i="5"/>
  <c r="AF606" i="5"/>
  <c r="AE606" i="5"/>
  <c r="Y606" i="5"/>
  <c r="X606" i="5"/>
  <c r="Z606" i="5" s="1"/>
  <c r="AF605" i="5"/>
  <c r="AE605" i="5"/>
  <c r="Y605" i="5"/>
  <c r="X605" i="5"/>
  <c r="Z605" i="5" s="1"/>
  <c r="AF604" i="5"/>
  <c r="AE604" i="5"/>
  <c r="Z604" i="5"/>
  <c r="Y604" i="5"/>
  <c r="X604" i="5"/>
  <c r="AF603" i="5"/>
  <c r="AE603" i="5"/>
  <c r="Z603" i="5"/>
  <c r="Y603" i="5"/>
  <c r="X603" i="5"/>
  <c r="AF602" i="5"/>
  <c r="AE602" i="5"/>
  <c r="Y602" i="5"/>
  <c r="X602" i="5"/>
  <c r="Z602" i="5" s="1"/>
  <c r="AF601" i="5"/>
  <c r="AE601" i="5"/>
  <c r="Z601" i="5"/>
  <c r="Y601" i="5"/>
  <c r="X601" i="5"/>
  <c r="AF600" i="5"/>
  <c r="AE600" i="5"/>
  <c r="Y600" i="5"/>
  <c r="Z600" i="5" s="1"/>
  <c r="X600" i="5"/>
  <c r="AF599" i="5"/>
  <c r="AE599" i="5"/>
  <c r="Y599" i="5"/>
  <c r="X599" i="5"/>
  <c r="Z599" i="5" s="1"/>
  <c r="AF598" i="5"/>
  <c r="AE598" i="5"/>
  <c r="Y598" i="5"/>
  <c r="X598" i="5"/>
  <c r="Z598" i="5" s="1"/>
  <c r="AF597" i="5"/>
  <c r="AE597" i="5"/>
  <c r="Z597" i="5"/>
  <c r="Y597" i="5"/>
  <c r="X597" i="5"/>
  <c r="AF596" i="5"/>
  <c r="AE596" i="5"/>
  <c r="Y596" i="5"/>
  <c r="Z596" i="5" s="1"/>
  <c r="X596" i="5"/>
  <c r="AF595" i="5"/>
  <c r="AE595" i="5"/>
  <c r="Z595" i="5"/>
  <c r="Y595" i="5"/>
  <c r="X595" i="5"/>
  <c r="AF594" i="5"/>
  <c r="AE594" i="5"/>
  <c r="Y594" i="5"/>
  <c r="X594" i="5"/>
  <c r="Z594" i="5" s="1"/>
  <c r="AF593" i="5"/>
  <c r="AE593" i="5"/>
  <c r="Y593" i="5"/>
  <c r="X593" i="5"/>
  <c r="Z593" i="5" s="1"/>
  <c r="AF592" i="5"/>
  <c r="AE592" i="5"/>
  <c r="Z592" i="5"/>
  <c r="Y592" i="5"/>
  <c r="X592" i="5"/>
  <c r="AF591" i="5"/>
  <c r="AE591" i="5"/>
  <c r="Z591" i="5"/>
  <c r="Y591" i="5"/>
  <c r="X591" i="5"/>
  <c r="AF590" i="5"/>
  <c r="AE590" i="5"/>
  <c r="Y590" i="5"/>
  <c r="X590" i="5"/>
  <c r="Z590" i="5" s="1"/>
  <c r="AF589" i="5"/>
  <c r="AE589" i="5"/>
  <c r="Z589" i="5"/>
  <c r="Y589" i="5"/>
  <c r="X589" i="5"/>
  <c r="AF588" i="5"/>
  <c r="AE588" i="5"/>
  <c r="Y588" i="5"/>
  <c r="Z588" i="5" s="1"/>
  <c r="X588" i="5"/>
  <c r="AF587" i="5"/>
  <c r="AE587" i="5"/>
  <c r="Y587" i="5"/>
  <c r="X587" i="5"/>
  <c r="Z587" i="5" s="1"/>
  <c r="AF586" i="5"/>
  <c r="AE586" i="5"/>
  <c r="Y586" i="5"/>
  <c r="X586" i="5"/>
  <c r="Z586" i="5" s="1"/>
  <c r="AF585" i="5"/>
  <c r="AE585" i="5"/>
  <c r="Z585" i="5"/>
  <c r="Y585" i="5"/>
  <c r="X585" i="5"/>
  <c r="AF584" i="5"/>
  <c r="AE584" i="5"/>
  <c r="Y584" i="5"/>
  <c r="Z584" i="5" s="1"/>
  <c r="X584" i="5"/>
  <c r="AF583" i="5"/>
  <c r="AE583" i="5"/>
  <c r="Z583" i="5"/>
  <c r="Y583" i="5"/>
  <c r="X583" i="5"/>
  <c r="AF582" i="5"/>
  <c r="AE582" i="5"/>
  <c r="Y582" i="5"/>
  <c r="X582" i="5"/>
  <c r="Z582" i="5" s="1"/>
  <c r="AF581" i="5"/>
  <c r="AE581" i="5"/>
  <c r="Y581" i="5"/>
  <c r="X581" i="5"/>
  <c r="Z581" i="5" s="1"/>
  <c r="AF580" i="5"/>
  <c r="AE580" i="5"/>
  <c r="Z580" i="5"/>
  <c r="Y580" i="5"/>
  <c r="X580" i="5"/>
  <c r="AF579" i="5"/>
  <c r="AE579" i="5"/>
  <c r="Z579" i="5"/>
  <c r="Y579" i="5"/>
  <c r="X579" i="5"/>
  <c r="AF578" i="5"/>
  <c r="AE578" i="5"/>
  <c r="Y578" i="5"/>
  <c r="X578" i="5"/>
  <c r="Z578" i="5" s="1"/>
  <c r="AF577" i="5"/>
  <c r="AE577" i="5"/>
  <c r="Z577" i="5"/>
  <c r="Y577" i="5"/>
  <c r="X577" i="5"/>
  <c r="AF576" i="5"/>
  <c r="AE576" i="5"/>
  <c r="Y576" i="5"/>
  <c r="Z576" i="5" s="1"/>
  <c r="X576" i="5"/>
  <c r="AF575" i="5"/>
  <c r="AE575" i="5"/>
  <c r="Y575" i="5"/>
  <c r="X575" i="5"/>
  <c r="Z575" i="5" s="1"/>
  <c r="AF574" i="5"/>
  <c r="AE574" i="5"/>
  <c r="Y574" i="5"/>
  <c r="X574" i="5"/>
  <c r="Z574" i="5" s="1"/>
  <c r="AF573" i="5"/>
  <c r="AE573" i="5"/>
  <c r="Z573" i="5"/>
  <c r="Y573" i="5"/>
  <c r="X573" i="5"/>
  <c r="AF572" i="5"/>
  <c r="AE572" i="5"/>
  <c r="Y572" i="5"/>
  <c r="Z572" i="5" s="1"/>
  <c r="X572" i="5"/>
  <c r="AF571" i="5"/>
  <c r="AE571" i="5"/>
  <c r="Z571" i="5"/>
  <c r="Y571" i="5"/>
  <c r="X571" i="5"/>
  <c r="AF570" i="5"/>
  <c r="AE570" i="5"/>
  <c r="Y570" i="5"/>
  <c r="X570" i="5"/>
  <c r="Z570" i="5" s="1"/>
  <c r="AF569" i="5"/>
  <c r="AE569" i="5"/>
  <c r="Y569" i="5"/>
  <c r="X569" i="5"/>
  <c r="Z569" i="5" s="1"/>
  <c r="AF568" i="5"/>
  <c r="AE568" i="5"/>
  <c r="Z568" i="5"/>
  <c r="Y568" i="5"/>
  <c r="X568" i="5"/>
  <c r="AF567" i="5"/>
  <c r="AE567" i="5"/>
  <c r="Z567" i="5"/>
  <c r="Y567" i="5"/>
  <c r="X567" i="5"/>
  <c r="AF566" i="5"/>
  <c r="AE566" i="5"/>
  <c r="Y566" i="5"/>
  <c r="X566" i="5"/>
  <c r="Z566" i="5" s="1"/>
  <c r="AF565" i="5"/>
  <c r="AE565" i="5"/>
  <c r="Z565" i="5"/>
  <c r="Y565" i="5"/>
  <c r="X565" i="5"/>
  <c r="AF564" i="5"/>
  <c r="AE564" i="5"/>
  <c r="Y564" i="5"/>
  <c r="Z564" i="5" s="1"/>
  <c r="X564" i="5"/>
  <c r="AF563" i="5"/>
  <c r="AE563" i="5"/>
  <c r="Y563" i="5"/>
  <c r="X563" i="5"/>
  <c r="Z563" i="5" s="1"/>
  <c r="AF562" i="5"/>
  <c r="AE562" i="5"/>
  <c r="Y562" i="5"/>
  <c r="X562" i="5"/>
  <c r="Z562" i="5" s="1"/>
  <c r="AF561" i="5"/>
  <c r="AE561" i="5"/>
  <c r="Z561" i="5"/>
  <c r="Y561" i="5"/>
  <c r="X561" i="5"/>
  <c r="AF560" i="5"/>
  <c r="AE560" i="5"/>
  <c r="Y560" i="5"/>
  <c r="Z560" i="5" s="1"/>
  <c r="X560" i="5"/>
  <c r="AF559" i="5"/>
  <c r="AE559" i="5"/>
  <c r="Z559" i="5"/>
  <c r="Y559" i="5"/>
  <c r="X559" i="5"/>
  <c r="AF558" i="5"/>
  <c r="AE558" i="5"/>
  <c r="Y558" i="5"/>
  <c r="X558" i="5"/>
  <c r="Z558" i="5" s="1"/>
  <c r="AF557" i="5"/>
  <c r="AE557" i="5"/>
  <c r="Y557" i="5"/>
  <c r="X557" i="5"/>
  <c r="Z557" i="5" s="1"/>
  <c r="AF556" i="5"/>
  <c r="AE556" i="5"/>
  <c r="Z556" i="5"/>
  <c r="Y556" i="5"/>
  <c r="X556" i="5"/>
  <c r="AF555" i="5"/>
  <c r="AE555" i="5"/>
  <c r="Z555" i="5"/>
  <c r="Y555" i="5"/>
  <c r="X555" i="5"/>
  <c r="AF554" i="5"/>
  <c r="AE554" i="5"/>
  <c r="Y554" i="5"/>
  <c r="X554" i="5"/>
  <c r="Z554" i="5" s="1"/>
  <c r="AF553" i="5"/>
  <c r="AE553" i="5"/>
  <c r="Z553" i="5"/>
  <c r="Y553" i="5"/>
  <c r="X553" i="5"/>
  <c r="AF552" i="5"/>
  <c r="AE552" i="5"/>
  <c r="Y552" i="5"/>
  <c r="Z552" i="5" s="1"/>
  <c r="X552" i="5"/>
  <c r="AF551" i="5"/>
  <c r="AE551" i="5"/>
  <c r="Y551" i="5"/>
  <c r="X551" i="5"/>
  <c r="Z551" i="5" s="1"/>
  <c r="AF550" i="5"/>
  <c r="AE550" i="5"/>
  <c r="Y550" i="5"/>
  <c r="X550" i="5"/>
  <c r="Z550" i="5" s="1"/>
  <c r="AF549" i="5"/>
  <c r="AE549" i="5"/>
  <c r="Z549" i="5"/>
  <c r="Y549" i="5"/>
  <c r="X549" i="5"/>
  <c r="AF548" i="5"/>
  <c r="AE548" i="5"/>
  <c r="Y548" i="5"/>
  <c r="Z548" i="5" s="1"/>
  <c r="X548" i="5"/>
  <c r="AF547" i="5"/>
  <c r="AE547" i="5"/>
  <c r="Z547" i="5"/>
  <c r="Y547" i="5"/>
  <c r="X547" i="5"/>
  <c r="AF546" i="5"/>
  <c r="AE546" i="5"/>
  <c r="Y546" i="5"/>
  <c r="X546" i="5"/>
  <c r="Z546" i="5" s="1"/>
  <c r="AF545" i="5"/>
  <c r="AE545" i="5"/>
  <c r="Y545" i="5"/>
  <c r="X545" i="5"/>
  <c r="Z545" i="5" s="1"/>
  <c r="AF544" i="5"/>
  <c r="AE544" i="5"/>
  <c r="Z544" i="5"/>
  <c r="Y544" i="5"/>
  <c r="X544" i="5"/>
  <c r="AF543" i="5"/>
  <c r="AE543" i="5"/>
  <c r="Z543" i="5"/>
  <c r="Y543" i="5"/>
  <c r="X543" i="5"/>
  <c r="AF542" i="5"/>
  <c r="AE542" i="5"/>
  <c r="Y542" i="5"/>
  <c r="X542" i="5"/>
  <c r="Z542" i="5" s="1"/>
  <c r="AF541" i="5"/>
  <c r="AE541" i="5"/>
  <c r="Z541" i="5"/>
  <c r="Y541" i="5"/>
  <c r="X541" i="5"/>
  <c r="AF540" i="5"/>
  <c r="AE540" i="5"/>
  <c r="Y540" i="5"/>
  <c r="Z540" i="5" s="1"/>
  <c r="X540" i="5"/>
  <c r="AF539" i="5"/>
  <c r="AE539" i="5"/>
  <c r="Y539" i="5"/>
  <c r="X539" i="5"/>
  <c r="Z539" i="5" s="1"/>
  <c r="AF538" i="5"/>
  <c r="AE538" i="5"/>
  <c r="Y538" i="5"/>
  <c r="X538" i="5"/>
  <c r="Z538" i="5" s="1"/>
  <c r="AF537" i="5"/>
  <c r="AE537" i="5"/>
  <c r="Z537" i="5"/>
  <c r="Y537" i="5"/>
  <c r="X537" i="5"/>
  <c r="AF536" i="5"/>
  <c r="AE536" i="5"/>
  <c r="Y536" i="5"/>
  <c r="Z536" i="5" s="1"/>
  <c r="X536" i="5"/>
  <c r="AF535" i="5"/>
  <c r="AE535" i="5"/>
  <c r="Z535" i="5"/>
  <c r="Y535" i="5"/>
  <c r="X535" i="5"/>
  <c r="AF534" i="5"/>
  <c r="AE534" i="5"/>
  <c r="Y534" i="5"/>
  <c r="X534" i="5"/>
  <c r="AF533" i="5"/>
  <c r="AE533" i="5"/>
  <c r="Y533" i="5"/>
  <c r="X533" i="5"/>
  <c r="Z533" i="5" s="1"/>
  <c r="AF532" i="5"/>
  <c r="AE532" i="5"/>
  <c r="Z532" i="5"/>
  <c r="Y532" i="5"/>
  <c r="X532" i="5"/>
  <c r="AF531" i="5"/>
  <c r="AE531" i="5"/>
  <c r="Z531" i="5"/>
  <c r="Y531" i="5"/>
  <c r="X531" i="5"/>
  <c r="AF530" i="5"/>
  <c r="AE530" i="5"/>
  <c r="Y530" i="5"/>
  <c r="X530" i="5"/>
  <c r="Z530" i="5" s="1"/>
  <c r="AF529" i="5"/>
  <c r="AE529" i="5"/>
  <c r="Y529" i="5"/>
  <c r="X529" i="5"/>
  <c r="Z529" i="5" s="1"/>
  <c r="AF528" i="5"/>
  <c r="AE528" i="5"/>
  <c r="Y528" i="5"/>
  <c r="Z528" i="5" s="1"/>
  <c r="X528" i="5"/>
  <c r="AF527" i="5"/>
  <c r="AE527" i="5"/>
  <c r="Y527" i="5"/>
  <c r="X527" i="5"/>
  <c r="Z527" i="5" s="1"/>
  <c r="AF526" i="5"/>
  <c r="AE526" i="5"/>
  <c r="Y526" i="5"/>
  <c r="X526" i="5"/>
  <c r="Z526" i="5" s="1"/>
  <c r="AF525" i="5"/>
  <c r="AE525" i="5"/>
  <c r="Z525" i="5"/>
  <c r="Y525" i="5"/>
  <c r="X525" i="5"/>
  <c r="AF524" i="5"/>
  <c r="AE524" i="5"/>
  <c r="Y524" i="5"/>
  <c r="Z524" i="5" s="1"/>
  <c r="X524" i="5"/>
  <c r="AF523" i="5"/>
  <c r="AE523" i="5"/>
  <c r="Z523" i="5"/>
  <c r="Y523" i="5"/>
  <c r="X523" i="5"/>
  <c r="AF522" i="5"/>
  <c r="AE522" i="5"/>
  <c r="Y522" i="5"/>
  <c r="X522" i="5"/>
  <c r="AF521" i="5"/>
  <c r="AE521" i="5"/>
  <c r="Y521" i="5"/>
  <c r="X521" i="5"/>
  <c r="Z521" i="5" s="1"/>
  <c r="AF520" i="5"/>
  <c r="AE520" i="5"/>
  <c r="Z520" i="5"/>
  <c r="Y520" i="5"/>
  <c r="X520" i="5"/>
  <c r="AF519" i="5"/>
  <c r="AE519" i="5"/>
  <c r="Z519" i="5"/>
  <c r="Y519" i="5"/>
  <c r="X519" i="5"/>
  <c r="AF518" i="5"/>
  <c r="AE518" i="5"/>
  <c r="Y518" i="5"/>
  <c r="X518" i="5"/>
  <c r="AF517" i="5"/>
  <c r="AE517" i="5"/>
  <c r="Y517" i="5"/>
  <c r="X517" i="5"/>
  <c r="Z517" i="5" s="1"/>
  <c r="AF516" i="5"/>
  <c r="AE516" i="5"/>
  <c r="Y516" i="5"/>
  <c r="Z516" i="5" s="1"/>
  <c r="X516" i="5"/>
  <c r="AF515" i="5"/>
  <c r="AE515" i="5"/>
  <c r="Y515" i="5"/>
  <c r="X515" i="5"/>
  <c r="Z515" i="5" s="1"/>
  <c r="AF514" i="5"/>
  <c r="AE514" i="5"/>
  <c r="Y514" i="5"/>
  <c r="X514" i="5"/>
  <c r="Z514" i="5" s="1"/>
  <c r="AF513" i="5"/>
  <c r="AE513" i="5"/>
  <c r="Z513" i="5"/>
  <c r="Y513" i="5"/>
  <c r="X513" i="5"/>
  <c r="AF512" i="5"/>
  <c r="AE512" i="5"/>
  <c r="Z512" i="5"/>
  <c r="Y512" i="5"/>
  <c r="X512" i="5"/>
  <c r="AF511" i="5"/>
  <c r="AE511" i="5"/>
  <c r="Y511" i="5"/>
  <c r="X511" i="5"/>
  <c r="Z511" i="5" s="1"/>
  <c r="AF510" i="5"/>
  <c r="AE510" i="5"/>
  <c r="Y510" i="5"/>
  <c r="X510" i="5"/>
  <c r="AF509" i="5"/>
  <c r="AE509" i="5"/>
  <c r="Y509" i="5"/>
  <c r="X509" i="5"/>
  <c r="Z509" i="5" s="1"/>
  <c r="AF508" i="5"/>
  <c r="AE508" i="5"/>
  <c r="Z508" i="5"/>
  <c r="Y508" i="5"/>
  <c r="X508" i="5"/>
  <c r="AF507" i="5"/>
  <c r="AE507" i="5"/>
  <c r="Z507" i="5"/>
  <c r="Y507" i="5"/>
  <c r="X507" i="5"/>
  <c r="AF506" i="5"/>
  <c r="AE506" i="5"/>
  <c r="Y506" i="5"/>
  <c r="X506" i="5"/>
  <c r="AF505" i="5"/>
  <c r="AE505" i="5"/>
  <c r="Y505" i="5"/>
  <c r="X505" i="5"/>
  <c r="Z505" i="5" s="1"/>
  <c r="AF504" i="5"/>
  <c r="AE504" i="5"/>
  <c r="Y504" i="5"/>
  <c r="Z504" i="5" s="1"/>
  <c r="X504" i="5"/>
  <c r="AF503" i="5"/>
  <c r="AE503" i="5"/>
  <c r="Y503" i="5"/>
  <c r="X503" i="5"/>
  <c r="Z503" i="5" s="1"/>
  <c r="AF502" i="5"/>
  <c r="AE502" i="5"/>
  <c r="Y502" i="5"/>
  <c r="X502" i="5"/>
  <c r="Z502" i="5" s="1"/>
  <c r="AF501" i="5"/>
  <c r="AE501" i="5"/>
  <c r="Z501" i="5"/>
  <c r="Y501" i="5"/>
  <c r="X501" i="5"/>
  <c r="AF500" i="5"/>
  <c r="AE500" i="5"/>
  <c r="Y500" i="5"/>
  <c r="Z500" i="5" s="1"/>
  <c r="X500" i="5"/>
  <c r="AF499" i="5"/>
  <c r="AE499" i="5"/>
  <c r="Z499" i="5"/>
  <c r="Y499" i="5"/>
  <c r="X499" i="5"/>
  <c r="AF498" i="5"/>
  <c r="AE498" i="5"/>
  <c r="Y498" i="5"/>
  <c r="X498" i="5"/>
  <c r="AF497" i="5"/>
  <c r="AE497" i="5"/>
  <c r="Y497" i="5"/>
  <c r="X497" i="5"/>
  <c r="Z497" i="5" s="1"/>
  <c r="AF496" i="5"/>
  <c r="AE496" i="5"/>
  <c r="Z496" i="5"/>
  <c r="Y496" i="5"/>
  <c r="X496" i="5"/>
  <c r="AF495" i="5"/>
  <c r="AE495" i="5"/>
  <c r="Z495" i="5"/>
  <c r="Y495" i="5"/>
  <c r="X495" i="5"/>
  <c r="AF494" i="5"/>
  <c r="AE494" i="5"/>
  <c r="Y494" i="5"/>
  <c r="X494" i="5"/>
  <c r="AF493" i="5"/>
  <c r="AE493" i="5"/>
  <c r="Y493" i="5"/>
  <c r="X493" i="5"/>
  <c r="Z493" i="5" s="1"/>
  <c r="AF492" i="5"/>
  <c r="AE492" i="5"/>
  <c r="Y492" i="5"/>
  <c r="Z492" i="5" s="1"/>
  <c r="X492" i="5"/>
  <c r="AF491" i="5"/>
  <c r="AE491" i="5"/>
  <c r="Y491" i="5"/>
  <c r="X491" i="5"/>
  <c r="Z491" i="5" s="1"/>
  <c r="AF490" i="5"/>
  <c r="AE490" i="5"/>
  <c r="Y490" i="5"/>
  <c r="X490" i="5"/>
  <c r="Z490" i="5" s="1"/>
  <c r="AF489" i="5"/>
  <c r="AE489" i="5"/>
  <c r="Z489" i="5"/>
  <c r="Y489" i="5"/>
  <c r="X489" i="5"/>
  <c r="AF488" i="5"/>
  <c r="AE488" i="5"/>
  <c r="Z488" i="5"/>
  <c r="Y488" i="5"/>
  <c r="X488" i="5"/>
  <c r="AF487" i="5"/>
  <c r="AE487" i="5"/>
  <c r="Y487" i="5"/>
  <c r="X487" i="5"/>
  <c r="Z487" i="5" s="1"/>
  <c r="AF486" i="5"/>
  <c r="AE486" i="5"/>
  <c r="Y486" i="5"/>
  <c r="X486" i="5"/>
  <c r="AF485" i="5"/>
  <c r="AE485" i="5"/>
  <c r="Y485" i="5"/>
  <c r="X485" i="5"/>
  <c r="Z485" i="5" s="1"/>
  <c r="AF484" i="5"/>
  <c r="AE484" i="5"/>
  <c r="Z484" i="5"/>
  <c r="Y484" i="5"/>
  <c r="X484" i="5"/>
  <c r="AF483" i="5"/>
  <c r="AE483" i="5"/>
  <c r="Z483" i="5"/>
  <c r="Y483" i="5"/>
  <c r="X483" i="5"/>
  <c r="AF482" i="5"/>
  <c r="AE482" i="5"/>
  <c r="Y482" i="5"/>
  <c r="X482" i="5"/>
  <c r="AF481" i="5"/>
  <c r="AE481" i="5"/>
  <c r="Y481" i="5"/>
  <c r="X481" i="5"/>
  <c r="Z481" i="5" s="1"/>
  <c r="AF480" i="5"/>
  <c r="AE480" i="5"/>
  <c r="Y480" i="5"/>
  <c r="Z480" i="5" s="1"/>
  <c r="X480" i="5"/>
  <c r="AF479" i="5"/>
  <c r="AE479" i="5"/>
  <c r="Y479" i="5"/>
  <c r="X479" i="5"/>
  <c r="Z479" i="5" s="1"/>
  <c r="AF478" i="5"/>
  <c r="AE478" i="5"/>
  <c r="Y478" i="5"/>
  <c r="X478" i="5"/>
  <c r="Z478" i="5" s="1"/>
  <c r="AF477" i="5"/>
  <c r="AE477" i="5"/>
  <c r="Z477" i="5"/>
  <c r="Y477" i="5"/>
  <c r="X477" i="5"/>
  <c r="AF476" i="5"/>
  <c r="AE476" i="5"/>
  <c r="Y476" i="5"/>
  <c r="Z476" i="5" s="1"/>
  <c r="X476" i="5"/>
  <c r="AF475" i="5"/>
  <c r="AE475" i="5"/>
  <c r="Z475" i="5"/>
  <c r="Y475" i="5"/>
  <c r="X475" i="5"/>
  <c r="AF474" i="5"/>
  <c r="AE474" i="5"/>
  <c r="Y474" i="5"/>
  <c r="X474" i="5"/>
  <c r="AF473" i="5"/>
  <c r="AE473" i="5"/>
  <c r="Y473" i="5"/>
  <c r="X473" i="5"/>
  <c r="Z473" i="5" s="1"/>
  <c r="AF472" i="5"/>
  <c r="AE472" i="5"/>
  <c r="Z472" i="5"/>
  <c r="Y472" i="5"/>
  <c r="X472" i="5"/>
  <c r="AF471" i="5"/>
  <c r="AE471" i="5"/>
  <c r="Z471" i="5"/>
  <c r="Y471" i="5"/>
  <c r="X471" i="5"/>
  <c r="AF470" i="5"/>
  <c r="AE470" i="5"/>
  <c r="Y470" i="5"/>
  <c r="X470" i="5"/>
  <c r="AF469" i="5"/>
  <c r="AE469" i="5"/>
  <c r="Y469" i="5"/>
  <c r="X469" i="5"/>
  <c r="Z469" i="5" s="1"/>
  <c r="AF468" i="5"/>
  <c r="AE468" i="5"/>
  <c r="Y468" i="5"/>
  <c r="Z468" i="5" s="1"/>
  <c r="X468" i="5"/>
  <c r="AF467" i="5"/>
  <c r="AE467" i="5"/>
  <c r="Y467" i="5"/>
  <c r="X467" i="5"/>
  <c r="Z467" i="5" s="1"/>
  <c r="AF466" i="5"/>
  <c r="AE466" i="5"/>
  <c r="Y466" i="5"/>
  <c r="X466" i="5"/>
  <c r="Z466" i="5" s="1"/>
  <c r="AF465" i="5"/>
  <c r="AE465" i="5"/>
  <c r="Z465" i="5"/>
  <c r="Y465" i="5"/>
  <c r="X465" i="5"/>
  <c r="AF464" i="5"/>
  <c r="AE464" i="5"/>
  <c r="Z464" i="5"/>
  <c r="Y464" i="5"/>
  <c r="X464" i="5"/>
  <c r="AF463" i="5"/>
  <c r="AE463" i="5"/>
  <c r="Y463" i="5"/>
  <c r="X463" i="5"/>
  <c r="Z463" i="5" s="1"/>
  <c r="AF462" i="5"/>
  <c r="AE462" i="5"/>
  <c r="Y462" i="5"/>
  <c r="X462" i="5"/>
  <c r="AF461" i="5"/>
  <c r="AE461" i="5"/>
  <c r="Y461" i="5"/>
  <c r="X461" i="5"/>
  <c r="Z461" i="5" s="1"/>
  <c r="AF460" i="5"/>
  <c r="AE460" i="5"/>
  <c r="Z460" i="5"/>
  <c r="Y460" i="5"/>
  <c r="X460" i="5"/>
  <c r="AF459" i="5"/>
  <c r="AE459" i="5"/>
  <c r="Z459" i="5"/>
  <c r="Y459" i="5"/>
  <c r="X459" i="5"/>
  <c r="AF458" i="5"/>
  <c r="AE458" i="5"/>
  <c r="Y458" i="5"/>
  <c r="X458" i="5"/>
  <c r="AF457" i="5"/>
  <c r="AE457" i="5"/>
  <c r="Y457" i="5"/>
  <c r="X457" i="5"/>
  <c r="Z457" i="5" s="1"/>
  <c r="AF456" i="5"/>
  <c r="AE456" i="5"/>
  <c r="Y456" i="5"/>
  <c r="Z456" i="5" s="1"/>
  <c r="X456" i="5"/>
  <c r="AF455" i="5"/>
  <c r="AE455" i="5"/>
  <c r="Y455" i="5"/>
  <c r="X455" i="5"/>
  <c r="Z455" i="5" s="1"/>
  <c r="AF454" i="5"/>
  <c r="AE454" i="5"/>
  <c r="Y454" i="5"/>
  <c r="X454" i="5"/>
  <c r="Z454" i="5" s="1"/>
  <c r="AF453" i="5"/>
  <c r="AE453" i="5"/>
  <c r="Z453" i="5"/>
  <c r="Y453" i="5"/>
  <c r="X453" i="5"/>
  <c r="AF452" i="5"/>
  <c r="AE452" i="5"/>
  <c r="Y452" i="5"/>
  <c r="Z452" i="5" s="1"/>
  <c r="X452" i="5"/>
  <c r="AF451" i="5"/>
  <c r="AE451" i="5"/>
  <c r="Z451" i="5"/>
  <c r="Y451" i="5"/>
  <c r="X451" i="5"/>
  <c r="AF450" i="5"/>
  <c r="AE450" i="5"/>
  <c r="Y450" i="5"/>
  <c r="X450" i="5"/>
  <c r="Z450" i="5" s="1"/>
  <c r="AF449" i="5"/>
  <c r="AE449" i="5"/>
  <c r="Y449" i="5"/>
  <c r="X449" i="5"/>
  <c r="Z449" i="5" s="1"/>
  <c r="AF448" i="5"/>
  <c r="AE448" i="5"/>
  <c r="Z448" i="5"/>
  <c r="Y448" i="5"/>
  <c r="X448" i="5"/>
  <c r="AF447" i="5"/>
  <c r="AE447" i="5"/>
  <c r="Z447" i="5"/>
  <c r="Y447" i="5"/>
  <c r="X447" i="5"/>
  <c r="AF446" i="5"/>
  <c r="AE446" i="5"/>
  <c r="Y446" i="5"/>
  <c r="X446" i="5"/>
  <c r="AF445" i="5"/>
  <c r="AE445" i="5"/>
  <c r="Y445" i="5"/>
  <c r="X445" i="5"/>
  <c r="Z445" i="5" s="1"/>
  <c r="AF444" i="5"/>
  <c r="AE444" i="5"/>
  <c r="Y444" i="5"/>
  <c r="Z444" i="5" s="1"/>
  <c r="X444" i="5"/>
  <c r="AF443" i="5"/>
  <c r="AE443" i="5"/>
  <c r="Y443" i="5"/>
  <c r="X443" i="5"/>
  <c r="Z443" i="5" s="1"/>
  <c r="AF442" i="5"/>
  <c r="AE442" i="5"/>
  <c r="Y442" i="5"/>
  <c r="X442" i="5"/>
  <c r="Z442" i="5" s="1"/>
  <c r="AF441" i="5"/>
  <c r="AE441" i="5"/>
  <c r="Z441" i="5"/>
  <c r="Y441" i="5"/>
  <c r="X441" i="5"/>
  <c r="AF440" i="5"/>
  <c r="AE440" i="5"/>
  <c r="Z440" i="5"/>
  <c r="Y440" i="5"/>
  <c r="X440" i="5"/>
  <c r="AF439" i="5"/>
  <c r="AE439" i="5"/>
  <c r="Y439" i="5"/>
  <c r="X439" i="5"/>
  <c r="Z439" i="5" s="1"/>
  <c r="AF438" i="5"/>
  <c r="AE438" i="5"/>
  <c r="Y438" i="5"/>
  <c r="X438" i="5"/>
  <c r="AF437" i="5"/>
  <c r="AE437" i="5"/>
  <c r="Y437" i="5"/>
  <c r="X437" i="5"/>
  <c r="Z437" i="5" s="1"/>
  <c r="AF436" i="5"/>
  <c r="AE436" i="5"/>
  <c r="Z436" i="5"/>
  <c r="Y436" i="5"/>
  <c r="X436" i="5"/>
  <c r="AF435" i="5"/>
  <c r="AE435" i="5"/>
  <c r="Z435" i="5"/>
  <c r="Y435" i="5"/>
  <c r="X435" i="5"/>
  <c r="AF434" i="5"/>
  <c r="AE434" i="5"/>
  <c r="Y434" i="5"/>
  <c r="X434" i="5"/>
  <c r="Z434" i="5" s="1"/>
  <c r="AF433" i="5"/>
  <c r="AE433" i="5"/>
  <c r="Y433" i="5"/>
  <c r="X433" i="5"/>
  <c r="Z433" i="5" s="1"/>
  <c r="AF432" i="5"/>
  <c r="AE432" i="5"/>
  <c r="Y432" i="5"/>
  <c r="Z432" i="5" s="1"/>
  <c r="X432" i="5"/>
  <c r="AF431" i="5"/>
  <c r="AE431" i="5"/>
  <c r="Y431" i="5"/>
  <c r="X431" i="5"/>
  <c r="Z431" i="5" s="1"/>
  <c r="AF430" i="5"/>
  <c r="AE430" i="5"/>
  <c r="Y430" i="5"/>
  <c r="X430" i="5"/>
  <c r="Z430" i="5" s="1"/>
  <c r="AF429" i="5"/>
  <c r="AE429" i="5"/>
  <c r="Z429" i="5"/>
  <c r="Y429" i="5"/>
  <c r="X429" i="5"/>
  <c r="AF428" i="5"/>
  <c r="AE428" i="5"/>
  <c r="Y428" i="5"/>
  <c r="Z428" i="5" s="1"/>
  <c r="X428" i="5"/>
  <c r="AF427" i="5"/>
  <c r="AE427" i="5"/>
  <c r="Z427" i="5"/>
  <c r="Y427" i="5"/>
  <c r="X427" i="5"/>
  <c r="AF426" i="5"/>
  <c r="AE426" i="5"/>
  <c r="Y426" i="5"/>
  <c r="X426" i="5"/>
  <c r="Z426" i="5" s="1"/>
  <c r="AF425" i="5"/>
  <c r="AE425" i="5"/>
  <c r="Y425" i="5"/>
  <c r="X425" i="5"/>
  <c r="Z425" i="5" s="1"/>
  <c r="AF424" i="5"/>
  <c r="AE424" i="5"/>
  <c r="Z424" i="5"/>
  <c r="Y424" i="5"/>
  <c r="X424" i="5"/>
  <c r="AF423" i="5"/>
  <c r="AE423" i="5"/>
  <c r="Z423" i="5"/>
  <c r="Y423" i="5"/>
  <c r="X423" i="5"/>
  <c r="AF422" i="5"/>
  <c r="AE422" i="5"/>
  <c r="Y422" i="5"/>
  <c r="X422" i="5"/>
  <c r="AF421" i="5"/>
  <c r="AE421" i="5"/>
  <c r="Y421" i="5"/>
  <c r="X421" i="5"/>
  <c r="Z421" i="5" s="1"/>
  <c r="AF420" i="5"/>
  <c r="AE420" i="5"/>
  <c r="Y420" i="5"/>
  <c r="Z420" i="5" s="1"/>
  <c r="X420" i="5"/>
  <c r="AF419" i="5"/>
  <c r="AE419" i="5"/>
  <c r="Y419" i="5"/>
  <c r="X419" i="5"/>
  <c r="Z419" i="5" s="1"/>
  <c r="AF418" i="5"/>
  <c r="AE418" i="5"/>
  <c r="Y418" i="5"/>
  <c r="X418" i="5"/>
  <c r="Z418" i="5" s="1"/>
  <c r="AF417" i="5"/>
  <c r="AE417" i="5"/>
  <c r="Z417" i="5"/>
  <c r="Y417" i="5"/>
  <c r="X417" i="5"/>
  <c r="AF416" i="5"/>
  <c r="AE416" i="5"/>
  <c r="Z416" i="5"/>
  <c r="Y416" i="5"/>
  <c r="X416" i="5"/>
  <c r="AF415" i="5"/>
  <c r="AE415" i="5"/>
  <c r="Y415" i="5"/>
  <c r="X415" i="5"/>
  <c r="Z415" i="5" s="1"/>
  <c r="AF414" i="5"/>
  <c r="AE414" i="5"/>
  <c r="Y414" i="5"/>
  <c r="X414" i="5"/>
  <c r="AF413" i="5"/>
  <c r="AE413" i="5"/>
  <c r="Y413" i="5"/>
  <c r="X413" i="5"/>
  <c r="Z413" i="5" s="1"/>
  <c r="AF412" i="5"/>
  <c r="AE412" i="5"/>
  <c r="Z412" i="5"/>
  <c r="Y412" i="5"/>
  <c r="X412" i="5"/>
  <c r="AF411" i="5"/>
  <c r="AE411" i="5"/>
  <c r="Z411" i="5"/>
  <c r="Y411" i="5"/>
  <c r="X411" i="5"/>
  <c r="AF410" i="5"/>
  <c r="AE410" i="5"/>
  <c r="Y410" i="5"/>
  <c r="X410" i="5"/>
  <c r="Z410" i="5" s="1"/>
  <c r="AF409" i="5"/>
  <c r="AE409" i="5"/>
  <c r="Y409" i="5"/>
  <c r="X409" i="5"/>
  <c r="Z409" i="5" s="1"/>
  <c r="AF408" i="5"/>
  <c r="AE408" i="5"/>
  <c r="Y408" i="5"/>
  <c r="Z408" i="5" s="1"/>
  <c r="X408" i="5"/>
  <c r="AF407" i="5"/>
  <c r="AE407" i="5"/>
  <c r="Y407" i="5"/>
  <c r="X407" i="5"/>
  <c r="Z407" i="5" s="1"/>
  <c r="AF406" i="5"/>
  <c r="AE406" i="5"/>
  <c r="Y406" i="5"/>
  <c r="X406" i="5"/>
  <c r="AF405" i="5"/>
  <c r="AE405" i="5"/>
  <c r="Z405" i="5"/>
  <c r="Y405" i="5"/>
  <c r="X405" i="5"/>
  <c r="AF404" i="5"/>
  <c r="AE404" i="5"/>
  <c r="Z404" i="5"/>
  <c r="Y404" i="5"/>
  <c r="X404" i="5"/>
  <c r="AF403" i="5"/>
  <c r="AE403" i="5"/>
  <c r="Y403" i="5"/>
  <c r="X403" i="5"/>
  <c r="Z403" i="5" s="1"/>
  <c r="AF402" i="5"/>
  <c r="AE402" i="5"/>
  <c r="Y402" i="5"/>
  <c r="X402" i="5"/>
  <c r="Z402" i="5" s="1"/>
  <c r="AF401" i="5"/>
  <c r="AE401" i="5"/>
  <c r="Y401" i="5"/>
  <c r="X401" i="5"/>
  <c r="Z401" i="5" s="1"/>
  <c r="AF400" i="5"/>
  <c r="AE400" i="5"/>
  <c r="Z400" i="5"/>
  <c r="Y400" i="5"/>
  <c r="X400" i="5"/>
  <c r="AF399" i="5"/>
  <c r="AE399" i="5"/>
  <c r="Z399" i="5"/>
  <c r="Y399" i="5"/>
  <c r="X399" i="5"/>
  <c r="AF398" i="5"/>
  <c r="AE398" i="5"/>
  <c r="Y398" i="5"/>
  <c r="X398" i="5"/>
  <c r="Z398" i="5" s="1"/>
  <c r="AF397" i="5"/>
  <c r="AE397" i="5"/>
  <c r="Y397" i="5"/>
  <c r="X397" i="5"/>
  <c r="Z397" i="5" s="1"/>
  <c r="AF396" i="5"/>
  <c r="AE396" i="5"/>
  <c r="Z396" i="5"/>
  <c r="Y396" i="5"/>
  <c r="X396" i="5"/>
  <c r="AF395" i="5"/>
  <c r="AE395" i="5"/>
  <c r="Y395" i="5"/>
  <c r="X395" i="5"/>
  <c r="AF394" i="5"/>
  <c r="AE394" i="5"/>
  <c r="Y394" i="5"/>
  <c r="X394" i="5"/>
  <c r="AF393" i="5"/>
  <c r="AE393" i="5"/>
  <c r="Z393" i="5"/>
  <c r="Y393" i="5"/>
  <c r="X393" i="5"/>
  <c r="AF392" i="5"/>
  <c r="AE392" i="5"/>
  <c r="Y392" i="5"/>
  <c r="Z392" i="5" s="1"/>
  <c r="X392" i="5"/>
  <c r="AF391" i="5"/>
  <c r="AE391" i="5"/>
  <c r="Y391" i="5"/>
  <c r="X391" i="5"/>
  <c r="Z391" i="5" s="1"/>
  <c r="AF390" i="5"/>
  <c r="AE390" i="5"/>
  <c r="Y390" i="5"/>
  <c r="Z390" i="5" s="1"/>
  <c r="X390" i="5"/>
  <c r="AF389" i="5"/>
  <c r="AE389" i="5"/>
  <c r="Z389" i="5"/>
  <c r="Y389" i="5"/>
  <c r="X389" i="5"/>
  <c r="AF388" i="5"/>
  <c r="AE388" i="5"/>
  <c r="Y388" i="5"/>
  <c r="X388" i="5"/>
  <c r="Z388" i="5" s="1"/>
  <c r="AF387" i="5"/>
  <c r="AE387" i="5"/>
  <c r="Y387" i="5"/>
  <c r="X387" i="5"/>
  <c r="Z387" i="5" s="1"/>
  <c r="AF386" i="5"/>
  <c r="AE386" i="5"/>
  <c r="Z386" i="5"/>
  <c r="Y386" i="5"/>
  <c r="X386" i="5"/>
  <c r="AF385" i="5"/>
  <c r="AE385" i="5"/>
  <c r="Z385" i="5"/>
  <c r="Y385" i="5"/>
  <c r="X385" i="5"/>
  <c r="AF384" i="5"/>
  <c r="AE384" i="5"/>
  <c r="Y384" i="5"/>
  <c r="X384" i="5"/>
  <c r="Z384" i="5" s="1"/>
  <c r="AF383" i="5"/>
  <c r="AE383" i="5"/>
  <c r="Y383" i="5"/>
  <c r="X383" i="5"/>
  <c r="Z383" i="5" s="1"/>
  <c r="AF382" i="5"/>
  <c r="AE382" i="5"/>
  <c r="Y382" i="5"/>
  <c r="X382" i="5"/>
  <c r="Z382" i="5" s="1"/>
  <c r="AF381" i="5"/>
  <c r="AE381" i="5"/>
  <c r="Y381" i="5"/>
  <c r="Z381" i="5" s="1"/>
  <c r="X381" i="5"/>
  <c r="AF380" i="5"/>
  <c r="AE380" i="5"/>
  <c r="Y380" i="5"/>
  <c r="Z380" i="5" s="1"/>
  <c r="X380" i="5"/>
  <c r="AF379" i="5"/>
  <c r="AE379" i="5"/>
  <c r="Z379" i="5"/>
  <c r="Y379" i="5"/>
  <c r="X379" i="5"/>
  <c r="AF378" i="5"/>
  <c r="AE378" i="5"/>
  <c r="Y378" i="5"/>
  <c r="X378" i="5"/>
  <c r="Z378" i="5" s="1"/>
  <c r="AF377" i="5"/>
  <c r="AE377" i="5"/>
  <c r="Y377" i="5"/>
  <c r="X377" i="5"/>
  <c r="Z377" i="5" s="1"/>
  <c r="AF376" i="5"/>
  <c r="AE376" i="5"/>
  <c r="Z376" i="5"/>
  <c r="Y376" i="5"/>
  <c r="X376" i="5"/>
  <c r="AF375" i="5"/>
  <c r="AE375" i="5"/>
  <c r="Z375" i="5"/>
  <c r="Y375" i="5"/>
  <c r="X375" i="5"/>
  <c r="AF374" i="5"/>
  <c r="AE374" i="5"/>
  <c r="Y374" i="5"/>
  <c r="X374" i="5"/>
  <c r="Z374" i="5" s="1"/>
  <c r="AF373" i="5"/>
  <c r="AE373" i="5"/>
  <c r="Y373" i="5"/>
  <c r="X373" i="5"/>
  <c r="Z373" i="5" s="1"/>
  <c r="AF372" i="5"/>
  <c r="AE372" i="5"/>
  <c r="Y372" i="5"/>
  <c r="Z372" i="5" s="1"/>
  <c r="X372" i="5"/>
  <c r="AF371" i="5"/>
  <c r="AE371" i="5"/>
  <c r="Y371" i="5"/>
  <c r="X371" i="5"/>
  <c r="AF370" i="5"/>
  <c r="AE370" i="5"/>
  <c r="Y370" i="5"/>
  <c r="X370" i="5"/>
  <c r="AF369" i="5"/>
  <c r="AE369" i="5"/>
  <c r="Z369" i="5"/>
  <c r="Y369" i="5"/>
  <c r="X369" i="5"/>
  <c r="AF368" i="5"/>
  <c r="AE368" i="5"/>
  <c r="Z368" i="5"/>
  <c r="Y368" i="5"/>
  <c r="X368" i="5"/>
  <c r="AF367" i="5"/>
  <c r="AE367" i="5"/>
  <c r="Y367" i="5"/>
  <c r="X367" i="5"/>
  <c r="Z367" i="5" s="1"/>
  <c r="AF366" i="5"/>
  <c r="AE366" i="5"/>
  <c r="Z366" i="5"/>
  <c r="Y366" i="5"/>
  <c r="X366" i="5"/>
  <c r="AF365" i="5"/>
  <c r="AE365" i="5"/>
  <c r="Z365" i="5"/>
  <c r="Y365" i="5"/>
  <c r="X365" i="5"/>
  <c r="AF364" i="5"/>
  <c r="AE364" i="5"/>
  <c r="Y364" i="5"/>
  <c r="X364" i="5"/>
  <c r="Z364" i="5" s="1"/>
  <c r="AF363" i="5"/>
  <c r="AE363" i="5"/>
  <c r="Y363" i="5"/>
  <c r="X363" i="5"/>
  <c r="Z363" i="5" s="1"/>
  <c r="AF362" i="5"/>
  <c r="AE362" i="5"/>
  <c r="Y362" i="5"/>
  <c r="Z362" i="5" s="1"/>
  <c r="X362" i="5"/>
  <c r="AF361" i="5"/>
  <c r="AE361" i="5"/>
  <c r="Z361" i="5"/>
  <c r="Y361" i="5"/>
  <c r="X361" i="5"/>
  <c r="AF360" i="5"/>
  <c r="AE360" i="5"/>
  <c r="Y360" i="5"/>
  <c r="X360" i="5"/>
  <c r="Z360" i="5" s="1"/>
  <c r="AF359" i="5"/>
  <c r="AE359" i="5"/>
  <c r="Y359" i="5"/>
  <c r="X359" i="5"/>
  <c r="Z359" i="5" s="1"/>
  <c r="AF358" i="5"/>
  <c r="AE358" i="5"/>
  <c r="Y358" i="5"/>
  <c r="X358" i="5"/>
  <c r="Z358" i="5" s="1"/>
  <c r="AF357" i="5"/>
  <c r="AE357" i="5"/>
  <c r="Y357" i="5"/>
  <c r="Z357" i="5" s="1"/>
  <c r="X357" i="5"/>
  <c r="AF356" i="5"/>
  <c r="AE356" i="5"/>
  <c r="Z356" i="5"/>
  <c r="Y356" i="5"/>
  <c r="X356" i="5"/>
  <c r="AF355" i="5"/>
  <c r="AE355" i="5"/>
  <c r="Z355" i="5"/>
  <c r="Y355" i="5"/>
  <c r="X355" i="5"/>
  <c r="AF354" i="5"/>
  <c r="AE354" i="5"/>
  <c r="Y354" i="5"/>
  <c r="X354" i="5"/>
  <c r="Z354" i="5" s="1"/>
  <c r="AF353" i="5"/>
  <c r="AE353" i="5"/>
  <c r="Y353" i="5"/>
  <c r="X353" i="5"/>
  <c r="Z353" i="5" s="1"/>
  <c r="AF352" i="5"/>
  <c r="AE352" i="5"/>
  <c r="Z352" i="5"/>
  <c r="Y352" i="5"/>
  <c r="X352" i="5"/>
  <c r="AF351" i="5"/>
  <c r="AE351" i="5"/>
  <c r="Z351" i="5"/>
  <c r="Y351" i="5"/>
  <c r="X351" i="5"/>
  <c r="AF350" i="5"/>
  <c r="AE350" i="5"/>
  <c r="Y350" i="5"/>
  <c r="X350" i="5"/>
  <c r="Z350" i="5" s="1"/>
  <c r="AF349" i="5"/>
  <c r="AE349" i="5"/>
  <c r="Y349" i="5"/>
  <c r="X349" i="5"/>
  <c r="Z349" i="5" s="1"/>
  <c r="AF348" i="5"/>
  <c r="AE348" i="5"/>
  <c r="Y348" i="5"/>
  <c r="Z348" i="5" s="1"/>
  <c r="X348" i="5"/>
  <c r="AF347" i="5"/>
  <c r="AE347" i="5"/>
  <c r="Y347" i="5"/>
  <c r="X347" i="5"/>
  <c r="AF346" i="5"/>
  <c r="AE346" i="5"/>
  <c r="Y346" i="5"/>
  <c r="X346" i="5"/>
  <c r="AF345" i="5"/>
  <c r="AE345" i="5"/>
  <c r="Z345" i="5"/>
  <c r="Y345" i="5"/>
  <c r="X345" i="5"/>
  <c r="AF344" i="5"/>
  <c r="AE344" i="5"/>
  <c r="Y344" i="5"/>
  <c r="Z344" i="5" s="1"/>
  <c r="X344" i="5"/>
  <c r="AF343" i="5"/>
  <c r="AE343" i="5"/>
  <c r="Y343" i="5"/>
  <c r="X343" i="5"/>
  <c r="Z343" i="5" s="1"/>
  <c r="AF342" i="5"/>
  <c r="AE342" i="5"/>
  <c r="Z342" i="5"/>
  <c r="Y342" i="5"/>
  <c r="X342" i="5"/>
  <c r="AF341" i="5"/>
  <c r="AE341" i="5"/>
  <c r="Z341" i="5"/>
  <c r="Y341" i="5"/>
  <c r="X341" i="5"/>
  <c r="AF340" i="5"/>
  <c r="AE340" i="5"/>
  <c r="Y340" i="5"/>
  <c r="X340" i="5"/>
  <c r="Z340" i="5" s="1"/>
  <c r="AF339" i="5"/>
  <c r="AE339" i="5"/>
  <c r="Y339" i="5"/>
  <c r="X339" i="5"/>
  <c r="Z339" i="5" s="1"/>
  <c r="AF338" i="5"/>
  <c r="AE338" i="5"/>
  <c r="Y338" i="5"/>
  <c r="Z338" i="5" s="1"/>
  <c r="X338" i="5"/>
  <c r="AF337" i="5"/>
  <c r="AE337" i="5"/>
  <c r="Z337" i="5"/>
  <c r="Y337" i="5"/>
  <c r="X337" i="5"/>
  <c r="AF336" i="5"/>
  <c r="AE336" i="5"/>
  <c r="Y336" i="5"/>
  <c r="X336" i="5"/>
  <c r="Z336" i="5" s="1"/>
  <c r="AF335" i="5"/>
  <c r="AE335" i="5"/>
  <c r="Y335" i="5"/>
  <c r="X335" i="5"/>
  <c r="Z335" i="5" s="1"/>
  <c r="AF334" i="5"/>
  <c r="AE334" i="5"/>
  <c r="Y334" i="5"/>
  <c r="X334" i="5"/>
  <c r="Z334" i="5" s="1"/>
  <c r="AF333" i="5"/>
  <c r="AE333" i="5"/>
  <c r="Y333" i="5"/>
  <c r="Z333" i="5" s="1"/>
  <c r="X333" i="5"/>
  <c r="AF332" i="5"/>
  <c r="AE332" i="5"/>
  <c r="Z332" i="5"/>
  <c r="Y332" i="5"/>
  <c r="X332" i="5"/>
  <c r="AF331" i="5"/>
  <c r="AE331" i="5"/>
  <c r="Z331" i="5"/>
  <c r="Y331" i="5"/>
  <c r="X331" i="5"/>
  <c r="AF330" i="5"/>
  <c r="AE330" i="5"/>
  <c r="Y330" i="5"/>
  <c r="X330" i="5"/>
  <c r="Z330" i="5" s="1"/>
  <c r="AF329" i="5"/>
  <c r="AE329" i="5"/>
  <c r="Y329" i="5"/>
  <c r="X329" i="5"/>
  <c r="Z329" i="5" s="1"/>
  <c r="AF328" i="5"/>
  <c r="AE328" i="5"/>
  <c r="Z328" i="5"/>
  <c r="Y328" i="5"/>
  <c r="X328" i="5"/>
  <c r="AF327" i="5"/>
  <c r="AE327" i="5"/>
  <c r="Z327" i="5"/>
  <c r="Y327" i="5"/>
  <c r="X327" i="5"/>
  <c r="AF326" i="5"/>
  <c r="AE326" i="5"/>
  <c r="Y326" i="5"/>
  <c r="X326" i="5"/>
  <c r="Z326" i="5" s="1"/>
  <c r="AF325" i="5"/>
  <c r="AE325" i="5"/>
  <c r="Y325" i="5"/>
  <c r="X325" i="5"/>
  <c r="Z325" i="5" s="1"/>
  <c r="AF324" i="5"/>
  <c r="AE324" i="5"/>
  <c r="Z324" i="5"/>
  <c r="Y324" i="5"/>
  <c r="X324" i="5"/>
  <c r="AF323" i="5"/>
  <c r="AE323" i="5"/>
  <c r="Y323" i="5"/>
  <c r="X323" i="5"/>
  <c r="AF322" i="5"/>
  <c r="AE322" i="5"/>
  <c r="Y322" i="5"/>
  <c r="X322" i="5"/>
  <c r="AF321" i="5"/>
  <c r="AE321" i="5"/>
  <c r="Z321" i="5"/>
  <c r="Y321" i="5"/>
  <c r="X321" i="5"/>
  <c r="AF320" i="5"/>
  <c r="AE320" i="5"/>
  <c r="Z320" i="5"/>
  <c r="Y320" i="5"/>
  <c r="X320" i="5"/>
  <c r="AF319" i="5"/>
  <c r="AE319" i="5"/>
  <c r="Y319" i="5"/>
  <c r="X319" i="5"/>
  <c r="Z319" i="5" s="1"/>
  <c r="AF318" i="5"/>
  <c r="AE318" i="5"/>
  <c r="Z318" i="5"/>
  <c r="Y318" i="5"/>
  <c r="X318" i="5"/>
  <c r="AF317" i="5"/>
  <c r="AE317" i="5"/>
  <c r="Z317" i="5"/>
  <c r="Y317" i="5"/>
  <c r="X317" i="5"/>
  <c r="AF316" i="5"/>
  <c r="AE316" i="5"/>
  <c r="Y316" i="5"/>
  <c r="X316" i="5"/>
  <c r="Z316" i="5" s="1"/>
  <c r="AF315" i="5"/>
  <c r="AE315" i="5"/>
  <c r="Y315" i="5"/>
  <c r="X315" i="5"/>
  <c r="Z315" i="5" s="1"/>
  <c r="AF314" i="5"/>
  <c r="AE314" i="5"/>
  <c r="Z314" i="5"/>
  <c r="Y314" i="5"/>
  <c r="X314" i="5"/>
  <c r="AF313" i="5"/>
  <c r="AE313" i="5"/>
  <c r="Z313" i="5"/>
  <c r="Y313" i="5"/>
  <c r="X313" i="5"/>
  <c r="AF312" i="5"/>
  <c r="AE312" i="5"/>
  <c r="Y312" i="5"/>
  <c r="X312" i="5"/>
  <c r="Z312" i="5" s="1"/>
  <c r="AF311" i="5"/>
  <c r="AE311" i="5"/>
  <c r="Y311" i="5"/>
  <c r="X311" i="5"/>
  <c r="Z311" i="5" s="1"/>
  <c r="AF310" i="5"/>
  <c r="AE310" i="5"/>
  <c r="Y310" i="5"/>
  <c r="X310" i="5"/>
  <c r="Z310" i="5" s="1"/>
  <c r="AF309" i="5"/>
  <c r="AE309" i="5"/>
  <c r="Y309" i="5"/>
  <c r="Z309" i="5" s="1"/>
  <c r="X309" i="5"/>
  <c r="AF308" i="5"/>
  <c r="AE308" i="5"/>
  <c r="Z308" i="5"/>
  <c r="Y308" i="5"/>
  <c r="X308" i="5"/>
  <c r="AF307" i="5"/>
  <c r="AE307" i="5"/>
  <c r="Z307" i="5"/>
  <c r="Y307" i="5"/>
  <c r="X307" i="5"/>
  <c r="AF306" i="5"/>
  <c r="AE306" i="5"/>
  <c r="Y306" i="5"/>
  <c r="X306" i="5"/>
  <c r="Z306" i="5" s="1"/>
  <c r="AF305" i="5"/>
  <c r="AE305" i="5"/>
  <c r="Y305" i="5"/>
  <c r="X305" i="5"/>
  <c r="Z305" i="5" s="1"/>
  <c r="AF304" i="5"/>
  <c r="AE304" i="5"/>
  <c r="Z304" i="5"/>
  <c r="Y304" i="5"/>
  <c r="X304" i="5"/>
  <c r="AF303" i="5"/>
  <c r="AE303" i="5"/>
  <c r="Z303" i="5"/>
  <c r="Y303" i="5"/>
  <c r="X303" i="5"/>
  <c r="AF302" i="5"/>
  <c r="AE302" i="5"/>
  <c r="Y302" i="5"/>
  <c r="X302" i="5"/>
  <c r="Z302" i="5" s="1"/>
  <c r="AF301" i="5"/>
  <c r="AE301" i="5"/>
  <c r="Y301" i="5"/>
  <c r="X301" i="5"/>
  <c r="Z301" i="5" s="1"/>
  <c r="AF300" i="5"/>
  <c r="AE300" i="5"/>
  <c r="Z300" i="5"/>
  <c r="Y300" i="5"/>
  <c r="X300" i="5"/>
  <c r="AF299" i="5"/>
  <c r="AE299" i="5"/>
  <c r="Y299" i="5"/>
  <c r="X299" i="5"/>
  <c r="AF298" i="5"/>
  <c r="AE298" i="5"/>
  <c r="Y298" i="5"/>
  <c r="X298" i="5"/>
  <c r="AF297" i="5"/>
  <c r="AE297" i="5"/>
  <c r="Z297" i="5"/>
  <c r="Y297" i="5"/>
  <c r="X297" i="5"/>
  <c r="AF296" i="5"/>
  <c r="AE296" i="5"/>
  <c r="Z296" i="5"/>
  <c r="Y296" i="5"/>
  <c r="X296" i="5"/>
  <c r="AF295" i="5"/>
  <c r="AE295" i="5"/>
  <c r="Y295" i="5"/>
  <c r="X295" i="5"/>
  <c r="Z295" i="5" s="1"/>
  <c r="AF294" i="5"/>
  <c r="AE294" i="5"/>
  <c r="Z294" i="5"/>
  <c r="Y294" i="5"/>
  <c r="X294" i="5"/>
  <c r="AF293" i="5"/>
  <c r="AE293" i="5"/>
  <c r="Z293" i="5"/>
  <c r="Y293" i="5"/>
  <c r="X293" i="5"/>
  <c r="AF292" i="5"/>
  <c r="AE292" i="5"/>
  <c r="Y292" i="5"/>
  <c r="X292" i="5"/>
  <c r="Z292" i="5" s="1"/>
  <c r="AF291" i="5"/>
  <c r="AE291" i="5"/>
  <c r="Y291" i="5"/>
  <c r="X291" i="5"/>
  <c r="Z291" i="5" s="1"/>
  <c r="AF290" i="5"/>
  <c r="AE290" i="5"/>
  <c r="Z290" i="5"/>
  <c r="Y290" i="5"/>
  <c r="X290" i="5"/>
  <c r="AF289" i="5"/>
  <c r="AE289" i="5"/>
  <c r="Z289" i="5"/>
  <c r="Y289" i="5"/>
  <c r="X289" i="5"/>
  <c r="AF288" i="5"/>
  <c r="AE288" i="5"/>
  <c r="Y288" i="5"/>
  <c r="X288" i="5"/>
  <c r="Z288" i="5" s="1"/>
  <c r="AF287" i="5"/>
  <c r="AE287" i="5"/>
  <c r="Y287" i="5"/>
  <c r="X287" i="5"/>
  <c r="Z287" i="5" s="1"/>
  <c r="AF286" i="5"/>
  <c r="AE286" i="5"/>
  <c r="Y286" i="5"/>
  <c r="X286" i="5"/>
  <c r="Z286" i="5" s="1"/>
  <c r="AF285" i="5"/>
  <c r="AE285" i="5"/>
  <c r="Y285" i="5"/>
  <c r="Z285" i="5" s="1"/>
  <c r="X285" i="5"/>
  <c r="AF284" i="5"/>
  <c r="AE284" i="5"/>
  <c r="Z284" i="5"/>
  <c r="Y284" i="5"/>
  <c r="X284" i="5"/>
  <c r="AF283" i="5"/>
  <c r="AE283" i="5"/>
  <c r="Z283" i="5"/>
  <c r="Y283" i="5"/>
  <c r="X283" i="5"/>
  <c r="AF282" i="5"/>
  <c r="AE282" i="5"/>
  <c r="Y282" i="5"/>
  <c r="X282" i="5"/>
  <c r="Z282" i="5" s="1"/>
  <c r="AF281" i="5"/>
  <c r="AE281" i="5"/>
  <c r="Y281" i="5"/>
  <c r="X281" i="5"/>
  <c r="Z281" i="5" s="1"/>
  <c r="AF280" i="5"/>
  <c r="AE280" i="5"/>
  <c r="Z280" i="5"/>
  <c r="Y280" i="5"/>
  <c r="X280" i="5"/>
  <c r="AF279" i="5"/>
  <c r="AE279" i="5"/>
  <c r="Z279" i="5"/>
  <c r="Y279" i="5"/>
  <c r="X279" i="5"/>
  <c r="AF278" i="5"/>
  <c r="AE278" i="5"/>
  <c r="Y278" i="5"/>
  <c r="X278" i="5"/>
  <c r="Z278" i="5" s="1"/>
  <c r="AF277" i="5"/>
  <c r="AE277" i="5"/>
  <c r="Y277" i="5"/>
  <c r="X277" i="5"/>
  <c r="Z277" i="5" s="1"/>
  <c r="AF276" i="5"/>
  <c r="AE276" i="5"/>
  <c r="Z276" i="5"/>
  <c r="Y276" i="5"/>
  <c r="X276" i="5"/>
  <c r="AF275" i="5"/>
  <c r="AE275" i="5"/>
  <c r="Y275" i="5"/>
  <c r="X275" i="5"/>
  <c r="AF274" i="5"/>
  <c r="AE274" i="5"/>
  <c r="Y274" i="5"/>
  <c r="X274" i="5"/>
  <c r="AF273" i="5"/>
  <c r="AE273" i="5"/>
  <c r="Z273" i="5"/>
  <c r="Y273" i="5"/>
  <c r="X273" i="5"/>
  <c r="AF272" i="5"/>
  <c r="AE272" i="5"/>
  <c r="Y272" i="5"/>
  <c r="Z272" i="5" s="1"/>
  <c r="X272" i="5"/>
  <c r="AF271" i="5"/>
  <c r="AE271" i="5"/>
  <c r="Y271" i="5"/>
  <c r="X271" i="5"/>
  <c r="Z271" i="5" s="1"/>
  <c r="AF270" i="5"/>
  <c r="AE270" i="5"/>
  <c r="Z270" i="5"/>
  <c r="Y270" i="5"/>
  <c r="X270" i="5"/>
  <c r="AF269" i="5"/>
  <c r="AE269" i="5"/>
  <c r="Z269" i="5"/>
  <c r="Y269" i="5"/>
  <c r="X269" i="5"/>
  <c r="AF268" i="5"/>
  <c r="AE268" i="5"/>
  <c r="Y268" i="5"/>
  <c r="X268" i="5"/>
  <c r="Z268" i="5" s="1"/>
  <c r="AF267" i="5"/>
  <c r="AE267" i="5"/>
  <c r="Y267" i="5"/>
  <c r="X267" i="5"/>
  <c r="Z267" i="5" s="1"/>
  <c r="AF266" i="5"/>
  <c r="AE266" i="5"/>
  <c r="Z266" i="5"/>
  <c r="Y266" i="5"/>
  <c r="X266" i="5"/>
  <c r="AF265" i="5"/>
  <c r="AE265" i="5"/>
  <c r="Z265" i="5"/>
  <c r="Y265" i="5"/>
  <c r="X265" i="5"/>
  <c r="AF264" i="5"/>
  <c r="AE264" i="5"/>
  <c r="Y264" i="5"/>
  <c r="X264" i="5"/>
  <c r="Z264" i="5" s="1"/>
  <c r="AF263" i="5"/>
  <c r="AE263" i="5"/>
  <c r="Y263" i="5"/>
  <c r="X263" i="5"/>
  <c r="Z263" i="5" s="1"/>
  <c r="AF262" i="5"/>
  <c r="AE262" i="5"/>
  <c r="Y262" i="5"/>
  <c r="X262" i="5"/>
  <c r="Z262" i="5" s="1"/>
  <c r="AF261" i="5"/>
  <c r="AE261" i="5"/>
  <c r="Y261" i="5"/>
  <c r="Z261" i="5" s="1"/>
  <c r="X261" i="5"/>
  <c r="AF260" i="5"/>
  <c r="AE260" i="5"/>
  <c r="Z260" i="5"/>
  <c r="Y260" i="5"/>
  <c r="X260" i="5"/>
  <c r="AF259" i="5"/>
  <c r="AE259" i="5"/>
  <c r="Z259" i="5"/>
  <c r="Y259" i="5"/>
  <c r="X259" i="5"/>
  <c r="AF258" i="5"/>
  <c r="AE258" i="5"/>
  <c r="Y258" i="5"/>
  <c r="X258" i="5"/>
  <c r="Z258" i="5" s="1"/>
  <c r="AF257" i="5"/>
  <c r="AE257" i="5"/>
  <c r="Y257" i="5"/>
  <c r="X257" i="5"/>
  <c r="Z257" i="5" s="1"/>
  <c r="AF256" i="5"/>
  <c r="AE256" i="5"/>
  <c r="Z256" i="5"/>
  <c r="Y256" i="5"/>
  <c r="X256" i="5"/>
  <c r="AF255" i="5"/>
  <c r="AE255" i="5"/>
  <c r="Z255" i="5"/>
  <c r="Y255" i="5"/>
  <c r="X255" i="5"/>
  <c r="AF254" i="5"/>
  <c r="AE254" i="5"/>
  <c r="Y254" i="5"/>
  <c r="X254" i="5"/>
  <c r="Z254" i="5" s="1"/>
  <c r="AF253" i="5"/>
  <c r="AE253" i="5"/>
  <c r="Y253" i="5"/>
  <c r="X253" i="5"/>
  <c r="Z253" i="5" s="1"/>
  <c r="AF252" i="5"/>
  <c r="AE252" i="5"/>
  <c r="Z252" i="5"/>
  <c r="Y252" i="5"/>
  <c r="X252" i="5"/>
  <c r="AF251" i="5"/>
  <c r="AE251" i="5"/>
  <c r="Z251" i="5"/>
  <c r="Y251" i="5"/>
  <c r="X251" i="5"/>
  <c r="AF250" i="5"/>
  <c r="AE250" i="5"/>
  <c r="Y250" i="5"/>
  <c r="X250" i="5"/>
  <c r="Z250" i="5" s="1"/>
  <c r="AF249" i="5"/>
  <c r="AE249" i="5"/>
  <c r="Y249" i="5"/>
  <c r="X249" i="5"/>
  <c r="Z249" i="5" s="1"/>
  <c r="AF248" i="5"/>
  <c r="AE248" i="5"/>
  <c r="Y248" i="5"/>
  <c r="Z248" i="5" s="1"/>
  <c r="X248" i="5"/>
  <c r="AF247" i="5"/>
  <c r="AE247" i="5"/>
  <c r="Z247" i="5"/>
  <c r="Y247" i="5"/>
  <c r="X247" i="5"/>
  <c r="AF246" i="5"/>
  <c r="AE246" i="5"/>
  <c r="Z246" i="5"/>
  <c r="Y246" i="5"/>
  <c r="X246" i="5"/>
  <c r="AF245" i="5"/>
  <c r="AE245" i="5"/>
  <c r="Y245" i="5"/>
  <c r="X245" i="5"/>
  <c r="Z245" i="5" s="1"/>
  <c r="AF244" i="5"/>
  <c r="AE244" i="5"/>
  <c r="Y244" i="5"/>
  <c r="X244" i="5"/>
  <c r="Z244" i="5" s="1"/>
  <c r="AF243" i="5"/>
  <c r="AE243" i="5"/>
  <c r="Z243" i="5"/>
  <c r="Y243" i="5"/>
  <c r="X243" i="5"/>
  <c r="AF242" i="5"/>
  <c r="AE242" i="5"/>
  <c r="Z242" i="5"/>
  <c r="Y242" i="5"/>
  <c r="X242" i="5"/>
  <c r="AF241" i="5"/>
  <c r="AE241" i="5"/>
  <c r="Y241" i="5"/>
  <c r="X241" i="5"/>
  <c r="Z241" i="5" s="1"/>
  <c r="AF240" i="5"/>
  <c r="AE240" i="5"/>
  <c r="Y240" i="5"/>
  <c r="X240" i="5"/>
  <c r="Z240" i="5" s="1"/>
  <c r="AF239" i="5"/>
  <c r="AE239" i="5"/>
  <c r="Z239" i="5"/>
  <c r="Y239" i="5"/>
  <c r="X239" i="5"/>
  <c r="AF238" i="5"/>
  <c r="AE238" i="5"/>
  <c r="Y238" i="5"/>
  <c r="X238" i="5"/>
  <c r="AF237" i="5"/>
  <c r="AE237" i="5"/>
  <c r="Z237" i="5"/>
  <c r="Y237" i="5"/>
  <c r="X237" i="5"/>
  <c r="AF236" i="5"/>
  <c r="AE236" i="5"/>
  <c r="Z236" i="5"/>
  <c r="Y236" i="5"/>
  <c r="X236" i="5"/>
  <c r="AF235" i="5"/>
  <c r="AE235" i="5"/>
  <c r="Y235" i="5"/>
  <c r="X235" i="5"/>
  <c r="Z235" i="5" s="1"/>
  <c r="AF234" i="5"/>
  <c r="AE234" i="5"/>
  <c r="Z234" i="5"/>
  <c r="Y234" i="5"/>
  <c r="X234" i="5"/>
  <c r="AF233" i="5"/>
  <c r="AE233" i="5"/>
  <c r="Y233" i="5"/>
  <c r="X233" i="5"/>
  <c r="Z233" i="5" s="1"/>
  <c r="AF232" i="5"/>
  <c r="AE232" i="5"/>
  <c r="Y232" i="5"/>
  <c r="X232" i="5"/>
  <c r="Z232" i="5" s="1"/>
  <c r="AF231" i="5"/>
  <c r="AE231" i="5"/>
  <c r="Y231" i="5"/>
  <c r="X231" i="5"/>
  <c r="Z231" i="5" s="1"/>
  <c r="AF230" i="5"/>
  <c r="AE230" i="5"/>
  <c r="Z230" i="5"/>
  <c r="Y230" i="5"/>
  <c r="X230" i="5"/>
  <c r="AF229" i="5"/>
  <c r="AE229" i="5"/>
  <c r="Z229" i="5"/>
  <c r="Y229" i="5"/>
  <c r="X229" i="5"/>
  <c r="AF228" i="5"/>
  <c r="AE228" i="5"/>
  <c r="Y228" i="5"/>
  <c r="X228" i="5"/>
  <c r="Z228" i="5" s="1"/>
  <c r="AF227" i="5"/>
  <c r="AE227" i="5"/>
  <c r="Y227" i="5"/>
  <c r="X227" i="5"/>
  <c r="Z227" i="5" s="1"/>
  <c r="AF226" i="5"/>
  <c r="AE226" i="5"/>
  <c r="Y226" i="5"/>
  <c r="X226" i="5"/>
  <c r="AF225" i="5"/>
  <c r="AE225" i="5"/>
  <c r="Z225" i="5"/>
  <c r="Y225" i="5"/>
  <c r="X225" i="5"/>
  <c r="AF224" i="5"/>
  <c r="AE224" i="5"/>
  <c r="Z224" i="5"/>
  <c r="Y224" i="5"/>
  <c r="X224" i="5"/>
  <c r="AF223" i="5"/>
  <c r="AE223" i="5"/>
  <c r="Y223" i="5"/>
  <c r="X223" i="5"/>
  <c r="Z223" i="5" s="1"/>
  <c r="AF222" i="5"/>
  <c r="AE222" i="5"/>
  <c r="Y222" i="5"/>
  <c r="X222" i="5"/>
  <c r="Z222" i="5" s="1"/>
  <c r="AF221" i="5"/>
  <c r="AE221" i="5"/>
  <c r="Z221" i="5"/>
  <c r="Y221" i="5"/>
  <c r="X221" i="5"/>
  <c r="AF220" i="5"/>
  <c r="AE220" i="5"/>
  <c r="Z220" i="5"/>
  <c r="Y220" i="5"/>
  <c r="X220" i="5"/>
  <c r="AF219" i="5"/>
  <c r="AE219" i="5"/>
  <c r="Y219" i="5"/>
  <c r="X219" i="5"/>
  <c r="Z219" i="5" s="1"/>
  <c r="AF218" i="5"/>
  <c r="AE218" i="5"/>
  <c r="Y218" i="5"/>
  <c r="X218" i="5"/>
  <c r="Z218" i="5" s="1"/>
  <c r="AF217" i="5"/>
  <c r="AE217" i="5"/>
  <c r="Z217" i="5"/>
  <c r="Y217" i="5"/>
  <c r="X217" i="5"/>
  <c r="AF216" i="5"/>
  <c r="AE216" i="5"/>
  <c r="Z216" i="5"/>
  <c r="Y216" i="5"/>
  <c r="X216" i="5"/>
  <c r="AF215" i="5"/>
  <c r="AE215" i="5"/>
  <c r="Y215" i="5"/>
  <c r="X215" i="5"/>
  <c r="Z215" i="5" s="1"/>
  <c r="AF214" i="5"/>
  <c r="AE214" i="5"/>
  <c r="Y214" i="5"/>
  <c r="X214" i="5"/>
  <c r="Z214" i="5" s="1"/>
  <c r="AF213" i="5"/>
  <c r="AE213" i="5"/>
  <c r="Y213" i="5"/>
  <c r="X213" i="5"/>
  <c r="Z213" i="5" s="1"/>
  <c r="AF212" i="5"/>
  <c r="AE212" i="5"/>
  <c r="Z212" i="5"/>
  <c r="Y212" i="5"/>
  <c r="X212" i="5"/>
  <c r="AF211" i="5"/>
  <c r="AE211" i="5"/>
  <c r="Z211" i="5"/>
  <c r="Y211" i="5"/>
  <c r="X211" i="5"/>
  <c r="AF210" i="5"/>
  <c r="AE210" i="5"/>
  <c r="Y210" i="5"/>
  <c r="X210" i="5"/>
  <c r="Z210" i="5" s="1"/>
  <c r="AF209" i="5"/>
  <c r="AE209" i="5"/>
  <c r="Y209" i="5"/>
  <c r="X209" i="5"/>
  <c r="Z209" i="5" s="1"/>
  <c r="AF208" i="5"/>
  <c r="AE208" i="5"/>
  <c r="Z208" i="5"/>
  <c r="Y208" i="5"/>
  <c r="X208" i="5"/>
  <c r="AF207" i="5"/>
  <c r="AE207" i="5"/>
  <c r="Z207" i="5"/>
  <c r="Y207" i="5"/>
  <c r="X207" i="5"/>
  <c r="AF206" i="5"/>
  <c r="AE206" i="5"/>
  <c r="Y206" i="5"/>
  <c r="X206" i="5"/>
  <c r="Z206" i="5" s="1"/>
  <c r="AF205" i="5"/>
  <c r="AE205" i="5"/>
  <c r="Y205" i="5"/>
  <c r="X205" i="5"/>
  <c r="Z205" i="5" s="1"/>
  <c r="AF204" i="5"/>
  <c r="AE204" i="5"/>
  <c r="Z204" i="5"/>
  <c r="Y204" i="5"/>
  <c r="X204" i="5"/>
  <c r="AF203" i="5"/>
  <c r="AE203" i="5"/>
  <c r="Z203" i="5"/>
  <c r="Y203" i="5"/>
  <c r="X203" i="5"/>
  <c r="AF202" i="5"/>
  <c r="AE202" i="5"/>
  <c r="Y202" i="5"/>
  <c r="X202" i="5"/>
  <c r="AF201" i="5"/>
  <c r="AE201" i="5"/>
  <c r="Y201" i="5"/>
  <c r="X201" i="5"/>
  <c r="Z201" i="5" s="1"/>
  <c r="AF200" i="5"/>
  <c r="AE200" i="5"/>
  <c r="Y200" i="5"/>
  <c r="Z200" i="5" s="1"/>
  <c r="X200" i="5"/>
  <c r="AF199" i="5"/>
  <c r="AE199" i="5"/>
  <c r="Z199" i="5"/>
  <c r="Y199" i="5"/>
  <c r="X199" i="5"/>
  <c r="AF198" i="5"/>
  <c r="AE198" i="5"/>
  <c r="Z198" i="5"/>
  <c r="Y198" i="5"/>
  <c r="X198" i="5"/>
  <c r="AF197" i="5"/>
  <c r="AE197" i="5"/>
  <c r="Y197" i="5"/>
  <c r="X197" i="5"/>
  <c r="Z197" i="5" s="1"/>
  <c r="AF196" i="5"/>
  <c r="AE196" i="5"/>
  <c r="Y196" i="5"/>
  <c r="X196" i="5"/>
  <c r="Z196" i="5" s="1"/>
  <c r="AF195" i="5"/>
  <c r="AE195" i="5"/>
  <c r="Z195" i="5"/>
  <c r="Y195" i="5"/>
  <c r="X195" i="5"/>
  <c r="AF194" i="5"/>
  <c r="AE194" i="5"/>
  <c r="Z194" i="5"/>
  <c r="Y194" i="5"/>
  <c r="X194" i="5"/>
  <c r="AF193" i="5"/>
  <c r="AE193" i="5"/>
  <c r="Y193" i="5"/>
  <c r="X193" i="5"/>
  <c r="Z193" i="5" s="1"/>
  <c r="AF192" i="5"/>
  <c r="AE192" i="5"/>
  <c r="Y192" i="5"/>
  <c r="X192" i="5"/>
  <c r="Z192" i="5" s="1"/>
  <c r="AF191" i="5"/>
  <c r="AE191" i="5"/>
  <c r="Z191" i="5"/>
  <c r="Y191" i="5"/>
  <c r="X191" i="5"/>
  <c r="AF190" i="5"/>
  <c r="AE190" i="5"/>
  <c r="Y190" i="5"/>
  <c r="X190" i="5"/>
  <c r="AF189" i="5"/>
  <c r="AE189" i="5"/>
  <c r="Z189" i="5"/>
  <c r="Y189" i="5"/>
  <c r="X189" i="5"/>
  <c r="AF188" i="5"/>
  <c r="AE188" i="5"/>
  <c r="Z188" i="5"/>
  <c r="Y188" i="5"/>
  <c r="X188" i="5"/>
  <c r="AF187" i="5"/>
  <c r="AE187" i="5"/>
  <c r="Y187" i="5"/>
  <c r="X187" i="5"/>
  <c r="Z187" i="5" s="1"/>
  <c r="AF186" i="5"/>
  <c r="AE186" i="5"/>
  <c r="Z186" i="5"/>
  <c r="Y186" i="5"/>
  <c r="X186" i="5"/>
  <c r="AF185" i="5"/>
  <c r="AE185" i="5"/>
  <c r="Z185" i="5"/>
  <c r="Y185" i="5"/>
  <c r="X185" i="5"/>
  <c r="AF184" i="5"/>
  <c r="AE184" i="5"/>
  <c r="Y184" i="5"/>
  <c r="X184" i="5"/>
  <c r="Z184" i="5" s="1"/>
  <c r="AF183" i="5"/>
  <c r="AE183" i="5"/>
  <c r="Y183" i="5"/>
  <c r="X183" i="5"/>
  <c r="Z183" i="5" s="1"/>
  <c r="AF182" i="5"/>
  <c r="AE182" i="5"/>
  <c r="Z182" i="5"/>
  <c r="Y182" i="5"/>
  <c r="X182" i="5"/>
  <c r="AF181" i="5"/>
  <c r="AE181" i="5"/>
  <c r="Z181" i="5"/>
  <c r="Y181" i="5"/>
  <c r="X181" i="5"/>
  <c r="AF180" i="5"/>
  <c r="AE180" i="5"/>
  <c r="Y180" i="5"/>
  <c r="X180" i="5"/>
  <c r="Z180" i="5" s="1"/>
  <c r="AF179" i="5"/>
  <c r="AE179" i="5"/>
  <c r="Y179" i="5"/>
  <c r="X179" i="5"/>
  <c r="Z179" i="5" s="1"/>
  <c r="AF178" i="5"/>
  <c r="AE178" i="5"/>
  <c r="Y178" i="5"/>
  <c r="X178" i="5"/>
  <c r="AF177" i="5"/>
  <c r="AE177" i="5"/>
  <c r="Z177" i="5"/>
  <c r="Y177" i="5"/>
  <c r="X177" i="5"/>
  <c r="AF176" i="5"/>
  <c r="AE176" i="5"/>
  <c r="Z176" i="5"/>
  <c r="Y176" i="5"/>
  <c r="X176" i="5"/>
  <c r="AF175" i="5"/>
  <c r="AE175" i="5"/>
  <c r="Y175" i="5"/>
  <c r="X175" i="5"/>
  <c r="Z175" i="5" s="1"/>
  <c r="AF174" i="5"/>
  <c r="AE174" i="5"/>
  <c r="Y174" i="5"/>
  <c r="X174" i="5"/>
  <c r="Z174" i="5" s="1"/>
  <c r="AF173" i="5"/>
  <c r="AE173" i="5"/>
  <c r="Z173" i="5"/>
  <c r="Y173" i="5"/>
  <c r="X173" i="5"/>
  <c r="AF172" i="5"/>
  <c r="AE172" i="5"/>
  <c r="Z172" i="5"/>
  <c r="Y172" i="5"/>
  <c r="X172" i="5"/>
  <c r="AF171" i="5"/>
  <c r="AE171" i="5"/>
  <c r="Y171" i="5"/>
  <c r="X171" i="5"/>
  <c r="Z171" i="5" s="1"/>
  <c r="AF170" i="5"/>
  <c r="AE170" i="5"/>
  <c r="Y170" i="5"/>
  <c r="X170" i="5"/>
  <c r="Z170" i="5" s="1"/>
  <c r="AF169" i="5"/>
  <c r="AE169" i="5"/>
  <c r="Z169" i="5"/>
  <c r="Y169" i="5"/>
  <c r="X169" i="5"/>
  <c r="AF168" i="5"/>
  <c r="AE168" i="5"/>
  <c r="Z168" i="5"/>
  <c r="Y168" i="5"/>
  <c r="X168" i="5"/>
  <c r="AF167" i="5"/>
  <c r="AE167" i="5"/>
  <c r="Y167" i="5"/>
  <c r="X167" i="5"/>
  <c r="Z167" i="5" s="1"/>
  <c r="AF166" i="5"/>
  <c r="AE166" i="5"/>
  <c r="Y166" i="5"/>
  <c r="X166" i="5"/>
  <c r="Z166" i="5" s="1"/>
  <c r="AF165" i="5"/>
  <c r="AE165" i="5"/>
  <c r="Y165" i="5"/>
  <c r="X165" i="5"/>
  <c r="Z165" i="5" s="1"/>
  <c r="AF164" i="5"/>
  <c r="AE164" i="5"/>
  <c r="Z164" i="5"/>
  <c r="Y164" i="5"/>
  <c r="X164" i="5"/>
  <c r="AF163" i="5"/>
  <c r="AE163" i="5"/>
  <c r="Z163" i="5"/>
  <c r="Y163" i="5"/>
  <c r="X163" i="5"/>
  <c r="AF162" i="5"/>
  <c r="AE162" i="5"/>
  <c r="Y162" i="5"/>
  <c r="X162" i="5"/>
  <c r="Z162" i="5" s="1"/>
  <c r="AF161" i="5"/>
  <c r="AE161" i="5"/>
  <c r="Y161" i="5"/>
  <c r="X161" i="5"/>
  <c r="Z161" i="5" s="1"/>
  <c r="AF160" i="5"/>
  <c r="AE160" i="5"/>
  <c r="Z160" i="5"/>
  <c r="Y160" i="5"/>
  <c r="X160" i="5"/>
  <c r="AF159" i="5"/>
  <c r="AE159" i="5"/>
  <c r="Z159" i="5"/>
  <c r="Y159" i="5"/>
  <c r="X159" i="5"/>
  <c r="AF158" i="5"/>
  <c r="AE158" i="5"/>
  <c r="Y158" i="5"/>
  <c r="X158" i="5"/>
  <c r="Z158" i="5" s="1"/>
  <c r="AF157" i="5"/>
  <c r="AE157" i="5"/>
  <c r="Y157" i="5"/>
  <c r="X157" i="5"/>
  <c r="Z157" i="5" s="1"/>
  <c r="AF156" i="5"/>
  <c r="AE156" i="5"/>
  <c r="Z156" i="5"/>
  <c r="Y156" i="5"/>
  <c r="X156" i="5"/>
  <c r="AF155" i="5"/>
  <c r="AE155" i="5"/>
  <c r="Z155" i="5"/>
  <c r="Y155" i="5"/>
  <c r="X155" i="5"/>
  <c r="AF154" i="5"/>
  <c r="AE154" i="5"/>
  <c r="Y154" i="5"/>
  <c r="X154" i="5"/>
  <c r="AF153" i="5"/>
  <c r="AE153" i="5"/>
  <c r="Y153" i="5"/>
  <c r="X153" i="5"/>
  <c r="Z153" i="5" s="1"/>
  <c r="AF152" i="5"/>
  <c r="AE152" i="5"/>
  <c r="Y152" i="5"/>
  <c r="Z152" i="5" s="1"/>
  <c r="X152" i="5"/>
  <c r="AF151" i="5"/>
  <c r="AE151" i="5"/>
  <c r="Z151" i="5"/>
  <c r="Y151" i="5"/>
  <c r="X151" i="5"/>
  <c r="AF150" i="5"/>
  <c r="AE150" i="5"/>
  <c r="Z150" i="5"/>
  <c r="Y150" i="5"/>
  <c r="X150" i="5"/>
  <c r="AF149" i="5"/>
  <c r="AE149" i="5"/>
  <c r="Y149" i="5"/>
  <c r="X149" i="5"/>
  <c r="Z149" i="5" s="1"/>
  <c r="AF148" i="5"/>
  <c r="AE148" i="5"/>
  <c r="Y148" i="5"/>
  <c r="X148" i="5"/>
  <c r="Z148" i="5" s="1"/>
  <c r="AF147" i="5"/>
  <c r="AE147" i="5"/>
  <c r="Z147" i="5"/>
  <c r="Y147" i="5"/>
  <c r="X147" i="5"/>
  <c r="AF146" i="5"/>
  <c r="AE146" i="5"/>
  <c r="Z146" i="5"/>
  <c r="Y146" i="5"/>
  <c r="X146" i="5"/>
  <c r="AF145" i="5"/>
  <c r="AE145" i="5"/>
  <c r="Y145" i="5"/>
  <c r="X145" i="5"/>
  <c r="Z145" i="5" s="1"/>
  <c r="AF144" i="5"/>
  <c r="AE144" i="5"/>
  <c r="Y144" i="5"/>
  <c r="X144" i="5"/>
  <c r="Z144" i="5" s="1"/>
  <c r="AF143" i="5"/>
  <c r="AE143" i="5"/>
  <c r="Z143" i="5"/>
  <c r="Y143" i="5"/>
  <c r="X143" i="5"/>
  <c r="AF142" i="5"/>
  <c r="AE142" i="5"/>
  <c r="Y142" i="5"/>
  <c r="X142" i="5"/>
  <c r="AF141" i="5"/>
  <c r="AE141" i="5"/>
  <c r="Z141" i="5"/>
  <c r="Y141" i="5"/>
  <c r="X141" i="5"/>
  <c r="AF140" i="5"/>
  <c r="AE140" i="5"/>
  <c r="Y140" i="5"/>
  <c r="Z140" i="5" s="1"/>
  <c r="X140" i="5"/>
  <c r="AF139" i="5"/>
  <c r="AE139" i="5"/>
  <c r="Y139" i="5"/>
  <c r="X139" i="5"/>
  <c r="Z139" i="5" s="1"/>
  <c r="AF138" i="5"/>
  <c r="AE138" i="5"/>
  <c r="Z138" i="5"/>
  <c r="Y138" i="5"/>
  <c r="X138" i="5"/>
  <c r="AF137" i="5"/>
  <c r="AE137" i="5"/>
  <c r="Z137" i="5"/>
  <c r="Y137" i="5"/>
  <c r="X137" i="5"/>
  <c r="AF136" i="5"/>
  <c r="AE136" i="5"/>
  <c r="Y136" i="5"/>
  <c r="X136" i="5"/>
  <c r="Z136" i="5" s="1"/>
  <c r="AF135" i="5"/>
  <c r="AE135" i="5"/>
  <c r="Y135" i="5"/>
  <c r="X135" i="5"/>
  <c r="Z135" i="5" s="1"/>
  <c r="AF134" i="5"/>
  <c r="AE134" i="5"/>
  <c r="Z134" i="5"/>
  <c r="Y134" i="5"/>
  <c r="X134" i="5"/>
  <c r="AF133" i="5"/>
  <c r="AE133" i="5"/>
  <c r="Z133" i="5"/>
  <c r="Y133" i="5"/>
  <c r="X133" i="5"/>
  <c r="AF132" i="5"/>
  <c r="AE132" i="5"/>
  <c r="Y132" i="5"/>
  <c r="X132" i="5"/>
  <c r="Z132" i="5" s="1"/>
  <c r="AF131" i="5"/>
  <c r="AE131" i="5"/>
  <c r="Y131" i="5"/>
  <c r="X131" i="5"/>
  <c r="Z131" i="5" s="1"/>
  <c r="AF130" i="5"/>
  <c r="AE130" i="5"/>
  <c r="Y130" i="5"/>
  <c r="X130" i="5"/>
  <c r="AF129" i="5"/>
  <c r="AE129" i="5"/>
  <c r="Z129" i="5"/>
  <c r="Y129" i="5"/>
  <c r="X129" i="5"/>
  <c r="AF128" i="5"/>
  <c r="AE128" i="5"/>
  <c r="Z128" i="5"/>
  <c r="Y128" i="5"/>
  <c r="X128" i="5"/>
  <c r="AF127" i="5"/>
  <c r="AE127" i="5"/>
  <c r="Y127" i="5"/>
  <c r="X127" i="5"/>
  <c r="Z127" i="5" s="1"/>
  <c r="AF126" i="5"/>
  <c r="AE126" i="5"/>
  <c r="Y126" i="5"/>
  <c r="X126" i="5"/>
  <c r="Z126" i="5" s="1"/>
  <c r="AF125" i="5"/>
  <c r="AE125" i="5"/>
  <c r="Z125" i="5"/>
  <c r="Y125" i="5"/>
  <c r="X125" i="5"/>
  <c r="AF124" i="5"/>
  <c r="AE124" i="5"/>
  <c r="Z124" i="5"/>
  <c r="Y124" i="5"/>
  <c r="X124" i="5"/>
  <c r="AF123" i="5"/>
  <c r="AE123" i="5"/>
  <c r="Y123" i="5"/>
  <c r="X123" i="5"/>
  <c r="Z123" i="5" s="1"/>
  <c r="AF122" i="5"/>
  <c r="AE122" i="5"/>
  <c r="Y122" i="5"/>
  <c r="X122" i="5"/>
  <c r="Z122" i="5" s="1"/>
  <c r="AF121" i="5"/>
  <c r="AE121" i="5"/>
  <c r="Z121" i="5"/>
  <c r="Y121" i="5"/>
  <c r="X121" i="5"/>
  <c r="AF120" i="5"/>
  <c r="AE120" i="5"/>
  <c r="Z120" i="5"/>
  <c r="Y120" i="5"/>
  <c r="X120" i="5"/>
  <c r="AF119" i="5"/>
  <c r="AE119" i="5"/>
  <c r="Y119" i="5"/>
  <c r="X119" i="5"/>
  <c r="Z119" i="5" s="1"/>
  <c r="AF118" i="5"/>
  <c r="AE118" i="5"/>
  <c r="Y118" i="5"/>
  <c r="X118" i="5"/>
  <c r="Z118" i="5" s="1"/>
  <c r="AF117" i="5"/>
  <c r="AE117" i="5"/>
  <c r="Y117" i="5"/>
  <c r="X117" i="5"/>
  <c r="Z117" i="5" s="1"/>
  <c r="AF116" i="5"/>
  <c r="AE116" i="5"/>
  <c r="Z116" i="5"/>
  <c r="Y116" i="5"/>
  <c r="X116" i="5"/>
  <c r="AF115" i="5"/>
  <c r="AE115" i="5"/>
  <c r="Z115" i="5"/>
  <c r="Y115" i="5"/>
  <c r="X115" i="5"/>
  <c r="AF114" i="5"/>
  <c r="AE114" i="5"/>
  <c r="Y114" i="5"/>
  <c r="X114" i="5"/>
  <c r="Z114" i="5" s="1"/>
  <c r="AF113" i="5"/>
  <c r="AE113" i="5"/>
  <c r="Y113" i="5"/>
  <c r="X113" i="5"/>
  <c r="Z113" i="5" s="1"/>
  <c r="AF112" i="5"/>
  <c r="AE112" i="5"/>
  <c r="Z112" i="5"/>
  <c r="Y112" i="5"/>
  <c r="X112" i="5"/>
  <c r="AF111" i="5"/>
  <c r="AE111" i="5"/>
  <c r="Z111" i="5"/>
  <c r="Y111" i="5"/>
  <c r="X111" i="5"/>
  <c r="AF110" i="5"/>
  <c r="AE110" i="5"/>
  <c r="Y110" i="5"/>
  <c r="X110" i="5"/>
  <c r="Z110" i="5" s="1"/>
  <c r="AF109" i="5"/>
  <c r="AE109" i="5"/>
  <c r="Y109" i="5"/>
  <c r="X109" i="5"/>
  <c r="Z109" i="5" s="1"/>
  <c r="AF108" i="5"/>
  <c r="AE108" i="5"/>
  <c r="Z108" i="5"/>
  <c r="Y108" i="5"/>
  <c r="X108" i="5"/>
  <c r="AF107" i="5"/>
  <c r="AE107" i="5"/>
  <c r="Z107" i="5"/>
  <c r="Y107" i="5"/>
  <c r="X107" i="5"/>
  <c r="AF106" i="5"/>
  <c r="AE106" i="5"/>
  <c r="Y106" i="5"/>
  <c r="X106" i="5"/>
  <c r="Z106" i="5" s="1"/>
  <c r="AF105" i="5"/>
  <c r="AE105" i="5"/>
  <c r="Y105" i="5"/>
  <c r="X105" i="5"/>
  <c r="Z105" i="5" s="1"/>
  <c r="AF104" i="5"/>
  <c r="AE104" i="5"/>
  <c r="Y104" i="5"/>
  <c r="Z104" i="5" s="1"/>
  <c r="X104" i="5"/>
  <c r="AF103" i="5"/>
  <c r="AE103" i="5"/>
  <c r="Z103" i="5"/>
  <c r="Y103" i="5"/>
  <c r="X103" i="5"/>
  <c r="AF102" i="5"/>
  <c r="AE102" i="5"/>
  <c r="Z102" i="5"/>
  <c r="Y102" i="5"/>
  <c r="X102" i="5"/>
  <c r="AF101" i="5"/>
  <c r="AE101" i="5"/>
  <c r="Y101" i="5"/>
  <c r="X101" i="5"/>
  <c r="Z101" i="5" s="1"/>
  <c r="AF100" i="5"/>
  <c r="AE100" i="5"/>
  <c r="Y100" i="5"/>
  <c r="X100" i="5"/>
  <c r="Z100" i="5" s="1"/>
  <c r="AF99" i="5"/>
  <c r="AE99" i="5"/>
  <c r="Z99" i="5"/>
  <c r="Y99" i="5"/>
  <c r="X99" i="5"/>
  <c r="AF98" i="5"/>
  <c r="AE98" i="5"/>
  <c r="Z98" i="5"/>
  <c r="Y98" i="5"/>
  <c r="X98" i="5"/>
  <c r="AF97" i="5"/>
  <c r="AE97" i="5"/>
  <c r="Y97" i="5"/>
  <c r="X97" i="5"/>
  <c r="Z97" i="5" s="1"/>
  <c r="AF96" i="5"/>
  <c r="AE96" i="5"/>
  <c r="Y96" i="5"/>
  <c r="X96" i="5"/>
  <c r="Z96" i="5" s="1"/>
  <c r="AF95" i="5"/>
  <c r="AE95" i="5"/>
  <c r="Z95" i="5"/>
  <c r="Y95" i="5"/>
  <c r="X95" i="5"/>
  <c r="AF94" i="5"/>
  <c r="AE94" i="5"/>
  <c r="Y94" i="5"/>
  <c r="X94" i="5"/>
  <c r="AF93" i="5"/>
  <c r="AE93" i="5"/>
  <c r="Z93" i="5"/>
  <c r="Y93" i="5"/>
  <c r="X93" i="5"/>
  <c r="AF92" i="5"/>
  <c r="AE92" i="5"/>
  <c r="Y92" i="5"/>
  <c r="Z92" i="5" s="1"/>
  <c r="X92" i="5"/>
  <c r="AF91" i="5"/>
  <c r="AE91" i="5"/>
  <c r="Y91" i="5"/>
  <c r="X91" i="5"/>
  <c r="Z91" i="5" s="1"/>
  <c r="AF90" i="5"/>
  <c r="AE90" i="5"/>
  <c r="Z90" i="5"/>
  <c r="Y90" i="5"/>
  <c r="X90" i="5"/>
  <c r="AF89" i="5"/>
  <c r="AE89" i="5"/>
  <c r="Z89" i="5"/>
  <c r="Y89" i="5"/>
  <c r="X89" i="5"/>
  <c r="AF88" i="5"/>
  <c r="AE88" i="5"/>
  <c r="Y88" i="5"/>
  <c r="X88" i="5"/>
  <c r="Z88" i="5" s="1"/>
  <c r="AF87" i="5"/>
  <c r="AE87" i="5"/>
  <c r="Y87" i="5"/>
  <c r="X87" i="5"/>
  <c r="Z87" i="5" s="1"/>
  <c r="AF86" i="5"/>
  <c r="AE86" i="5"/>
  <c r="Z86" i="5"/>
  <c r="Y86" i="5"/>
  <c r="X86" i="5"/>
  <c r="AF85" i="5"/>
  <c r="AE85" i="5"/>
  <c r="Z85" i="5"/>
  <c r="Y85" i="5"/>
  <c r="X85" i="5"/>
  <c r="AF84" i="5"/>
  <c r="AE84" i="5"/>
  <c r="Y84" i="5"/>
  <c r="X84" i="5"/>
  <c r="Z84" i="5" s="1"/>
  <c r="AF83" i="5"/>
  <c r="AE83" i="5"/>
  <c r="Y83" i="5"/>
  <c r="X83" i="5"/>
  <c r="Z83" i="5" s="1"/>
  <c r="AF82" i="5"/>
  <c r="AE82" i="5"/>
  <c r="Y82" i="5"/>
  <c r="X82" i="5"/>
  <c r="AF81" i="5"/>
  <c r="AE81" i="5"/>
  <c r="Z81" i="5"/>
  <c r="Y81" i="5"/>
  <c r="X81" i="5"/>
  <c r="AF80" i="5"/>
  <c r="AE80" i="5"/>
  <c r="Z80" i="5"/>
  <c r="Y80" i="5"/>
  <c r="X80" i="5"/>
  <c r="AF79" i="5"/>
  <c r="AE79" i="5"/>
  <c r="Y79" i="5"/>
  <c r="X79" i="5"/>
  <c r="Z79" i="5" s="1"/>
  <c r="AF78" i="5"/>
  <c r="AE78" i="5"/>
  <c r="Y78" i="5"/>
  <c r="X78" i="5"/>
  <c r="Z78" i="5" s="1"/>
  <c r="AF77" i="5"/>
  <c r="AE77" i="5"/>
  <c r="Z77" i="5"/>
  <c r="Y77" i="5"/>
  <c r="X77" i="5"/>
  <c r="AF76" i="5"/>
  <c r="AE76" i="5"/>
  <c r="Z76" i="5"/>
  <c r="Y76" i="5"/>
  <c r="X76" i="5"/>
  <c r="AF75" i="5"/>
  <c r="AE75" i="5"/>
  <c r="Y75" i="5"/>
  <c r="X75" i="5"/>
  <c r="Z75" i="5" s="1"/>
  <c r="AF74" i="5"/>
  <c r="AE74" i="5"/>
  <c r="Y74" i="5"/>
  <c r="X74" i="5"/>
  <c r="Z74" i="5" s="1"/>
  <c r="AF73" i="5"/>
  <c r="AE73" i="5"/>
  <c r="Z73" i="5"/>
  <c r="Y73" i="5"/>
  <c r="X73" i="5"/>
  <c r="AF72" i="5"/>
  <c r="AE72" i="5"/>
  <c r="Z72" i="5"/>
  <c r="Y72" i="5"/>
  <c r="X72" i="5"/>
  <c r="AF71" i="5"/>
  <c r="AE71" i="5"/>
  <c r="Y71" i="5"/>
  <c r="X71" i="5"/>
  <c r="Z71" i="5" s="1"/>
  <c r="AF70" i="5"/>
  <c r="AE70" i="5"/>
  <c r="Y70" i="5"/>
  <c r="X70" i="5"/>
  <c r="Z70" i="5" s="1"/>
  <c r="AF69" i="5"/>
  <c r="AE69" i="5"/>
  <c r="Y69" i="5"/>
  <c r="X69" i="5"/>
  <c r="Z69" i="5" s="1"/>
  <c r="AF68" i="5"/>
  <c r="AE68" i="5"/>
  <c r="Z68" i="5"/>
  <c r="Y68" i="5"/>
  <c r="X68" i="5"/>
  <c r="AF67" i="5"/>
  <c r="AE67" i="5"/>
  <c r="Z67" i="5"/>
  <c r="Y67" i="5"/>
  <c r="X67" i="5"/>
  <c r="AF66" i="5"/>
  <c r="AE66" i="5"/>
  <c r="Y66" i="5"/>
  <c r="X66" i="5"/>
  <c r="Z66" i="5" s="1"/>
  <c r="AF65" i="5"/>
  <c r="AE65" i="5"/>
  <c r="Y65" i="5"/>
  <c r="X65" i="5"/>
  <c r="Z65" i="5" s="1"/>
  <c r="AF64" i="5"/>
  <c r="AE64" i="5"/>
  <c r="Z64" i="5"/>
  <c r="Y64" i="5"/>
  <c r="X64" i="5"/>
  <c r="AF63" i="5"/>
  <c r="AE63" i="5"/>
  <c r="Z63" i="5"/>
  <c r="Y63" i="5"/>
  <c r="X63" i="5"/>
  <c r="AF62" i="5"/>
  <c r="AE62" i="5"/>
  <c r="Y62" i="5"/>
  <c r="X62" i="5"/>
  <c r="Z62" i="5" s="1"/>
  <c r="AF61" i="5"/>
  <c r="AE61" i="5"/>
  <c r="Y61" i="5"/>
  <c r="X61" i="5"/>
  <c r="Z61" i="5" s="1"/>
  <c r="AF60" i="5"/>
  <c r="AE60" i="5"/>
  <c r="Z60" i="5"/>
  <c r="Y60" i="5"/>
  <c r="X60" i="5"/>
  <c r="AF59" i="5"/>
  <c r="AE59" i="5"/>
  <c r="Z59" i="5"/>
  <c r="Y59" i="5"/>
  <c r="X59" i="5"/>
  <c r="AF58" i="5"/>
  <c r="AE58" i="5"/>
  <c r="Y58" i="5"/>
  <c r="X58" i="5"/>
  <c r="AF57" i="5"/>
  <c r="AE57" i="5"/>
  <c r="Y57" i="5"/>
  <c r="X57" i="5"/>
  <c r="Z57" i="5" s="1"/>
  <c r="AF56" i="5"/>
  <c r="AE56" i="5"/>
  <c r="Y56" i="5"/>
  <c r="Z56" i="5" s="1"/>
  <c r="X56" i="5"/>
  <c r="AF55" i="5"/>
  <c r="AE55" i="5"/>
  <c r="Z55" i="5"/>
  <c r="Y55" i="5"/>
  <c r="X55" i="5"/>
  <c r="AF54" i="5"/>
  <c r="AE54" i="5"/>
  <c r="Z54" i="5"/>
  <c r="Y54" i="5"/>
  <c r="X54" i="5"/>
  <c r="AF53" i="5"/>
  <c r="AE53" i="5"/>
  <c r="Y53" i="5"/>
  <c r="X53" i="5"/>
  <c r="Z53" i="5" s="1"/>
  <c r="AF52" i="5"/>
  <c r="AE52" i="5"/>
  <c r="Y52" i="5"/>
  <c r="X52" i="5"/>
  <c r="Z52" i="5" s="1"/>
  <c r="AF51" i="5"/>
  <c r="AE51" i="5"/>
  <c r="Z51" i="5"/>
  <c r="Y51" i="5"/>
  <c r="X51" i="5"/>
  <c r="AF50" i="5"/>
  <c r="AE50" i="5"/>
  <c r="Z50" i="5"/>
  <c r="Y50" i="5"/>
  <c r="X50" i="5"/>
  <c r="AF49" i="5"/>
  <c r="AE49" i="5"/>
  <c r="Y49" i="5"/>
  <c r="X49" i="5"/>
  <c r="Z49" i="5" s="1"/>
  <c r="AF48" i="5"/>
  <c r="AE48" i="5"/>
  <c r="Y48" i="5"/>
  <c r="X48" i="5"/>
  <c r="Z48" i="5" s="1"/>
  <c r="AF47" i="5"/>
  <c r="AE47" i="5"/>
  <c r="Y47" i="5"/>
  <c r="Z47" i="5" s="1"/>
  <c r="X47" i="5"/>
  <c r="AF46" i="5"/>
  <c r="AE46" i="5"/>
  <c r="Y46" i="5"/>
  <c r="X46" i="5"/>
  <c r="AF45" i="5"/>
  <c r="AE45" i="5"/>
  <c r="Z45" i="5"/>
  <c r="Y45" i="5"/>
  <c r="X45" i="5"/>
  <c r="AF44" i="5"/>
  <c r="AE44" i="5"/>
  <c r="Y44" i="5"/>
  <c r="Z44" i="5" s="1"/>
  <c r="X44" i="5"/>
  <c r="AF43" i="5"/>
  <c r="AE43" i="5"/>
  <c r="Y43" i="5"/>
  <c r="X43" i="5"/>
  <c r="Z43" i="5" s="1"/>
  <c r="AF42" i="5"/>
  <c r="AE42" i="5"/>
  <c r="Y42" i="5"/>
  <c r="Z42" i="5" s="1"/>
  <c r="X42" i="5"/>
  <c r="AF41" i="5"/>
  <c r="AE41" i="5"/>
  <c r="Z41" i="5"/>
  <c r="Y41" i="5"/>
  <c r="X41" i="5"/>
  <c r="AF40" i="5"/>
  <c r="AE40" i="5"/>
  <c r="Y40" i="5"/>
  <c r="X40" i="5"/>
  <c r="Z40" i="5" s="1"/>
  <c r="AF39" i="5"/>
  <c r="AE39" i="5"/>
  <c r="Y39" i="5"/>
  <c r="X39" i="5"/>
  <c r="Z39" i="5" s="1"/>
  <c r="AF38" i="5"/>
  <c r="AE38" i="5"/>
  <c r="Z38" i="5"/>
  <c r="Y38" i="5"/>
  <c r="X38" i="5"/>
  <c r="AF37" i="5"/>
  <c r="AE37" i="5"/>
  <c r="Z37" i="5"/>
  <c r="Y37" i="5"/>
  <c r="X37" i="5"/>
  <c r="AF36" i="5"/>
  <c r="AE36" i="5"/>
  <c r="Y36" i="5"/>
  <c r="X36" i="5"/>
  <c r="Z36" i="5" s="1"/>
  <c r="AF35" i="5"/>
  <c r="AE35" i="5"/>
  <c r="Y35" i="5"/>
  <c r="X35" i="5"/>
  <c r="Z35" i="5" s="1"/>
  <c r="AF34" i="5"/>
  <c r="AE34" i="5"/>
  <c r="Y34" i="5"/>
  <c r="X34" i="5"/>
  <c r="Z34" i="5" s="1"/>
  <c r="AF33" i="5"/>
  <c r="AE33" i="5"/>
  <c r="Z33" i="5"/>
  <c r="Y33" i="5"/>
  <c r="X33" i="5"/>
  <c r="AF32" i="5"/>
  <c r="AE32" i="5"/>
  <c r="Z32" i="5"/>
  <c r="Y32" i="5"/>
  <c r="X32" i="5"/>
  <c r="AF31" i="5"/>
  <c r="AE31" i="5"/>
  <c r="Y31" i="5"/>
  <c r="X31" i="5"/>
  <c r="Z31" i="5" s="1"/>
  <c r="AF30" i="5"/>
  <c r="AE30" i="5"/>
  <c r="Y30" i="5"/>
  <c r="X30" i="5"/>
  <c r="Z30" i="5" s="1"/>
  <c r="AF29" i="5"/>
  <c r="AE29" i="5"/>
  <c r="Y29" i="5"/>
  <c r="Z29" i="5" s="1"/>
  <c r="X29" i="5"/>
  <c r="AF28" i="5"/>
  <c r="AE28" i="5"/>
  <c r="Z28" i="5"/>
  <c r="Y28" i="5"/>
  <c r="X28" i="5"/>
  <c r="AF27" i="5"/>
  <c r="AE27" i="5"/>
  <c r="Y27" i="5"/>
  <c r="X27" i="5"/>
  <c r="Z27" i="5" s="1"/>
  <c r="AF26" i="5"/>
  <c r="AE26" i="5"/>
  <c r="Y26" i="5"/>
  <c r="X26" i="5"/>
  <c r="Z26" i="5" s="1"/>
  <c r="AF25" i="5"/>
  <c r="AE25" i="5"/>
  <c r="Y25" i="5"/>
  <c r="Z25" i="5" s="1"/>
  <c r="X25" i="5"/>
  <c r="AF24" i="5"/>
  <c r="AE24" i="5"/>
  <c r="Z24" i="5"/>
  <c r="Y24" i="5"/>
  <c r="X24" i="5"/>
  <c r="AF23" i="5"/>
  <c r="AE23" i="5"/>
  <c r="Y23" i="5"/>
  <c r="X23" i="5"/>
  <c r="Z23" i="5" s="1"/>
  <c r="AF22" i="5"/>
  <c r="AE22" i="5"/>
  <c r="Y22" i="5"/>
  <c r="X22" i="5"/>
  <c r="Z22" i="5" s="1"/>
  <c r="AF21" i="5"/>
  <c r="AE21" i="5"/>
  <c r="Y21" i="5"/>
  <c r="X21" i="5"/>
  <c r="Z21" i="5" s="1"/>
  <c r="AF20" i="5"/>
  <c r="AE20" i="5"/>
  <c r="Y20" i="5"/>
  <c r="Z20" i="5" s="1"/>
  <c r="X20" i="5"/>
  <c r="AF19" i="5"/>
  <c r="AE19" i="5"/>
  <c r="Z19" i="5"/>
  <c r="Y19" i="5"/>
  <c r="X19" i="5"/>
  <c r="AF18" i="5"/>
  <c r="AE18" i="5"/>
  <c r="Y18" i="5"/>
  <c r="X18" i="5"/>
  <c r="Z18" i="5" s="1"/>
  <c r="AF17" i="5"/>
  <c r="AE17" i="5"/>
  <c r="Y17" i="5"/>
  <c r="X17" i="5"/>
  <c r="Z17" i="5" s="1"/>
  <c r="AF16" i="5"/>
  <c r="AE16" i="5"/>
  <c r="Y16" i="5"/>
  <c r="Z16" i="5" s="1"/>
  <c r="X16" i="5"/>
  <c r="AF15" i="5"/>
  <c r="AE15" i="5"/>
  <c r="Z15" i="5"/>
  <c r="Y15" i="5"/>
  <c r="X15" i="5"/>
  <c r="AF14" i="5"/>
  <c r="AE14" i="5"/>
  <c r="Y14" i="5"/>
  <c r="X14" i="5"/>
  <c r="Z14" i="5" s="1"/>
  <c r="AF13" i="5"/>
  <c r="AE13" i="5"/>
  <c r="Y13" i="5"/>
  <c r="X13" i="5"/>
  <c r="Z13" i="5" s="1"/>
  <c r="AF12" i="5"/>
  <c r="AE12" i="5"/>
  <c r="Y12" i="5"/>
  <c r="Z12" i="5" s="1"/>
  <c r="X12" i="5"/>
  <c r="AF11" i="5"/>
  <c r="AE11" i="5"/>
  <c r="Z11" i="5"/>
  <c r="Y11" i="5"/>
  <c r="X11" i="5"/>
  <c r="AF10" i="5"/>
  <c r="AE10" i="5"/>
  <c r="Y10" i="5"/>
  <c r="X10" i="5"/>
  <c r="Z10" i="5" s="1"/>
  <c r="AF9" i="5"/>
  <c r="AE9" i="5"/>
  <c r="Y9" i="5"/>
  <c r="X9" i="5"/>
  <c r="Z9" i="5" s="1"/>
  <c r="AF8" i="5"/>
  <c r="AE8" i="5"/>
  <c r="Y8" i="5"/>
  <c r="Z8" i="5" s="1"/>
  <c r="X8" i="5"/>
  <c r="AF7" i="5"/>
  <c r="AE7" i="5"/>
  <c r="Y7" i="5"/>
  <c r="Z7" i="5" s="1"/>
  <c r="X7" i="5"/>
  <c r="AF6" i="5"/>
  <c r="AE6" i="5"/>
  <c r="Z6" i="5"/>
  <c r="Y6" i="5"/>
  <c r="X6" i="5"/>
  <c r="AF5" i="5"/>
  <c r="AE5" i="5"/>
  <c r="Y5" i="5"/>
  <c r="X5" i="5"/>
  <c r="Z5" i="5" s="1"/>
  <c r="AF4" i="5"/>
  <c r="AE4" i="5"/>
  <c r="Y4" i="5"/>
  <c r="X4" i="5"/>
  <c r="Z4" i="5" s="1"/>
  <c r="AF3" i="5"/>
  <c r="AE3" i="5"/>
  <c r="Z3" i="5"/>
  <c r="Y3" i="5"/>
  <c r="X3" i="5"/>
  <c r="AF2" i="5"/>
  <c r="AE2" i="5"/>
  <c r="Z2" i="5"/>
  <c r="Y2" i="5"/>
  <c r="X2" i="5"/>
  <c r="Z130" i="5" l="1"/>
  <c r="Z406" i="5"/>
  <c r="Z414" i="5"/>
  <c r="Z422" i="5"/>
  <c r="Z438" i="5"/>
  <c r="Z446" i="5"/>
  <c r="Z462" i="5"/>
  <c r="Z470" i="5"/>
  <c r="Z486" i="5"/>
  <c r="Z494" i="5"/>
  <c r="Z510" i="5"/>
  <c r="Z518" i="5"/>
  <c r="Z94" i="5"/>
  <c r="Z238" i="5"/>
  <c r="Z275" i="5"/>
  <c r="Z322" i="5"/>
  <c r="Z347" i="5"/>
  <c r="Z394" i="5"/>
  <c r="Z82" i="5"/>
  <c r="Z226" i="5"/>
  <c r="Z58" i="5"/>
  <c r="Z202" i="5"/>
  <c r="Z458" i="5"/>
  <c r="Z474" i="5"/>
  <c r="Z482" i="5"/>
  <c r="Z498" i="5"/>
  <c r="Z506" i="5"/>
  <c r="Z522" i="5"/>
  <c r="Z46" i="5"/>
  <c r="Z190" i="5"/>
  <c r="Z298" i="5"/>
  <c r="Z323" i="5"/>
  <c r="Z370" i="5"/>
  <c r="Z395" i="5"/>
  <c r="Z178" i="5"/>
  <c r="Z154" i="5"/>
  <c r="Z142" i="5"/>
  <c r="Z274" i="5"/>
  <c r="Z299" i="5"/>
  <c r="Z346" i="5"/>
  <c r="Z371" i="5"/>
  <c r="Z534" i="5"/>
</calcChain>
</file>

<file path=xl/sharedStrings.xml><?xml version="1.0" encoding="utf-8"?>
<sst xmlns="http://schemas.openxmlformats.org/spreadsheetml/2006/main" count="20842" uniqueCount="2310">
  <si>
    <t>Copilot in Excel Practice Workbook</t>
  </si>
  <si>
    <t>Sheets:</t>
  </si>
  <si>
    <t>• Transactions: 1,000 order lines with dates, geography, products, pricing, discounts, returns, and satisfaction.</t>
  </si>
  <si>
    <t>• Products: product catalog with costs and list prices.</t>
  </si>
  <si>
    <t>• Customers: customer list with segment, industry, employee count, and signup date.</t>
  </si>
  <si>
    <t>• SalesReps: sales rep roster.</t>
  </si>
  <si>
    <t>Try Copilot prompts like:</t>
  </si>
  <si>
    <t>• Summarize revenue and gross profit by region and quarter.</t>
  </si>
  <si>
    <t>• Identify outliers: unusually high units, deep discounts, or negative margins.</t>
  </si>
  <si>
    <t>• Create a chart of monthly revenue trend for Enterprise customers.</t>
  </si>
  <si>
    <t>• Explain why gross profit changed month over month.</t>
  </si>
  <si>
    <t>Note: A small amount of intentional messiness is included (blank values, inconsistent text casing, and a few date anomalies).</t>
  </si>
  <si>
    <t>SalesRepID</t>
  </si>
  <si>
    <t>SalesRepName</t>
  </si>
  <si>
    <t>Team</t>
  </si>
  <si>
    <t>HireDate</t>
  </si>
  <si>
    <t>RegionFocus</t>
  </si>
  <si>
    <t>SR-001</t>
  </si>
  <si>
    <t>Morgan Nguyen</t>
  </si>
  <si>
    <t>Central</t>
  </si>
  <si>
    <t>EMEA</t>
  </si>
  <si>
    <t>SR-002</t>
  </si>
  <si>
    <t>Casey Smith</t>
  </si>
  <si>
    <t>North America</t>
  </si>
  <si>
    <t>SR-003</t>
  </si>
  <si>
    <t>Hayden Hernandez</t>
  </si>
  <si>
    <t>East</t>
  </si>
  <si>
    <t>SR-004</t>
  </si>
  <si>
    <t>Jamie Jackson</t>
  </si>
  <si>
    <t>SR-005</t>
  </si>
  <si>
    <t>Emerson Hernandez</t>
  </si>
  <si>
    <t>APAC</t>
  </si>
  <si>
    <t>SR-006</t>
  </si>
  <si>
    <t>Alex Lee</t>
  </si>
  <si>
    <t>SR-007</t>
  </si>
  <si>
    <t>Casey Brown</t>
  </si>
  <si>
    <t>Global</t>
  </si>
  <si>
    <t>SR-008</t>
  </si>
  <si>
    <t>Taylor Thomas</t>
  </si>
  <si>
    <t>SR-009</t>
  </si>
  <si>
    <t>Payton Miller</t>
  </si>
  <si>
    <t>LATAM</t>
  </si>
  <si>
    <t>SR-010</t>
  </si>
  <si>
    <t>Emerson Smith</t>
  </si>
  <si>
    <t>SR-011</t>
  </si>
  <si>
    <t>Emerson Wilson</t>
  </si>
  <si>
    <t>SR-012</t>
  </si>
  <si>
    <t>Hayden Brown</t>
  </si>
  <si>
    <t>SR-013</t>
  </si>
  <si>
    <t>Cameron Garcia</t>
  </si>
  <si>
    <t>SR-014</t>
  </si>
  <si>
    <t>Parker Miller</t>
  </si>
  <si>
    <t>West</t>
  </si>
  <si>
    <t>SR-015</t>
  </si>
  <si>
    <t>Riley Anderson</t>
  </si>
  <si>
    <t>CustomerID</t>
  </si>
  <si>
    <t>CustomerName</t>
  </si>
  <si>
    <t>Segment</t>
  </si>
  <si>
    <t>Industry</t>
  </si>
  <si>
    <t>Employees</t>
  </si>
  <si>
    <t>SignupDate</t>
  </si>
  <si>
    <t>Country</t>
  </si>
  <si>
    <t>AccountOwnerID</t>
  </si>
  <si>
    <t>C-00001</t>
  </si>
  <si>
    <t>Green Dynamics LLC</t>
  </si>
  <si>
    <t>SMB</t>
  </si>
  <si>
    <t>Healthcare</t>
  </si>
  <si>
    <t>India</t>
  </si>
  <si>
    <t>C-00002</t>
  </si>
  <si>
    <t>Blue Healthcare Ltd</t>
  </si>
  <si>
    <t>Technology</t>
  </si>
  <si>
    <t>France</t>
  </si>
  <si>
    <t>C-00003</t>
  </si>
  <si>
    <t>Iron Manufacturing Corp</t>
  </si>
  <si>
    <t>Consumer</t>
  </si>
  <si>
    <t>Chile</t>
  </si>
  <si>
    <t>C-00004</t>
  </si>
  <si>
    <t>Quantum Group Corp</t>
  </si>
  <si>
    <t>C-00005</t>
  </si>
  <si>
    <t>Silver Dynamics Inc</t>
  </si>
  <si>
    <t>Education</t>
  </si>
  <si>
    <t>Mexico</t>
  </si>
  <si>
    <t>C-00006</t>
  </si>
  <si>
    <t>Cobalt Healthcare Ltd</t>
  </si>
  <si>
    <t>Enterprise</t>
  </si>
  <si>
    <t>Finance</t>
  </si>
  <si>
    <t>Brazil</t>
  </si>
  <si>
    <t>C-00007</t>
  </si>
  <si>
    <t>North Analytics Ltd</t>
  </si>
  <si>
    <t>Manufacturing</t>
  </si>
  <si>
    <t>UK</t>
  </si>
  <si>
    <t>C-00008</t>
  </si>
  <si>
    <t>Bright Group Co</t>
  </si>
  <si>
    <t>USA</t>
  </si>
  <si>
    <t>C-00009</t>
  </si>
  <si>
    <t>Vertex Manufacturing Ltd</t>
  </si>
  <si>
    <t>C-00010</t>
  </si>
  <si>
    <t>Quantum Holdings Corp</t>
  </si>
  <si>
    <t>C-00011</t>
  </si>
  <si>
    <t>Cobalt Healthcare LLC</t>
  </si>
  <si>
    <t>C-00012</t>
  </si>
  <si>
    <t>Cedar Industries Ltd</t>
  </si>
  <si>
    <t>C-00013</t>
  </si>
  <si>
    <t>Blue Solutions Inc</t>
  </si>
  <si>
    <t>Government</t>
  </si>
  <si>
    <t>C-00014</t>
  </si>
  <si>
    <t>Orchid Dynamics Corp</t>
  </si>
  <si>
    <t>C-00015</t>
  </si>
  <si>
    <t>Silver Logistics Corp</t>
  </si>
  <si>
    <t>Canada</t>
  </si>
  <si>
    <t>C-00016</t>
  </si>
  <si>
    <t>Pioneer Healthcare Inc</t>
  </si>
  <si>
    <t>Germany</t>
  </si>
  <si>
    <t>C-00017</t>
  </si>
  <si>
    <t>Nimbus Partners LLC</t>
  </si>
  <si>
    <t>C-00018</t>
  </si>
  <si>
    <t>North Industries LLC</t>
  </si>
  <si>
    <t>C-00019</t>
  </si>
  <si>
    <t>Iron Tech Corp</t>
  </si>
  <si>
    <t>C-00020</t>
  </si>
  <si>
    <t>Summit Tech Co</t>
  </si>
  <si>
    <t>C-00021</t>
  </si>
  <si>
    <t>Rapid Group Co</t>
  </si>
  <si>
    <t>Logistics</t>
  </si>
  <si>
    <t>C-00022</t>
  </si>
  <si>
    <t>Orchid Solutions Co</t>
  </si>
  <si>
    <t>Retail</t>
  </si>
  <si>
    <t>Japan</t>
  </si>
  <si>
    <t>C-00023</t>
  </si>
  <si>
    <t>Pioneer Solutions Ltd</t>
  </si>
  <si>
    <t>C-00024</t>
  </si>
  <si>
    <t>Orchid Industries Inc</t>
  </si>
  <si>
    <t>C-00025</t>
  </si>
  <si>
    <t>Cedar Logistics Ltd</t>
  </si>
  <si>
    <t>C-00026</t>
  </si>
  <si>
    <t>Cobalt Systems Inc</t>
  </si>
  <si>
    <t>C-00027</t>
  </si>
  <si>
    <t>Quantum Systems Ltd</t>
  </si>
  <si>
    <t>C-00028</t>
  </si>
  <si>
    <t>Blue Industries Corp</t>
  </si>
  <si>
    <t>C-00029</t>
  </si>
  <si>
    <t>Bright Analytics Corp</t>
  </si>
  <si>
    <t>C-00030</t>
  </si>
  <si>
    <t>Cobalt Holdings Corp</t>
  </si>
  <si>
    <t>C-00031</t>
  </si>
  <si>
    <t>Cedar Enterprises Inc</t>
  </si>
  <si>
    <t>C-00032</t>
  </si>
  <si>
    <t>Bright Manufacturing Corp</t>
  </si>
  <si>
    <t>C-00033</t>
  </si>
  <si>
    <t>Bright Healthcare Inc</t>
  </si>
  <si>
    <t>C-00034</t>
  </si>
  <si>
    <t>Cedar Solutions Inc</t>
  </si>
  <si>
    <t>C-00035</t>
  </si>
  <si>
    <t>Prime Labs Co</t>
  </si>
  <si>
    <t>C-00036</t>
  </si>
  <si>
    <t>Silver Logistics Ltd</t>
  </si>
  <si>
    <t>C-00037</t>
  </si>
  <si>
    <t>Blue Analytics Corp</t>
  </si>
  <si>
    <t>C-00038</t>
  </si>
  <si>
    <t>Pioneer Dynamics Ltd</t>
  </si>
  <si>
    <t>Australia</t>
  </si>
  <si>
    <t>C-00039</t>
  </si>
  <si>
    <t>Pioneer Labs Ltd</t>
  </si>
  <si>
    <t>C-00040</t>
  </si>
  <si>
    <t>North Systems Ltd</t>
  </si>
  <si>
    <t>C-00041</t>
  </si>
  <si>
    <t>Summit Group Corp</t>
  </si>
  <si>
    <t>C-00042</t>
  </si>
  <si>
    <t>Cedar Enterprises Ltd</t>
  </si>
  <si>
    <t>C-00043</t>
  </si>
  <si>
    <t>Sage Retail Inc</t>
  </si>
  <si>
    <t>C-00044</t>
  </si>
  <si>
    <t>Quantum Enterprises Inc</t>
  </si>
  <si>
    <t>C-00045</t>
  </si>
  <si>
    <t>Prime Partners Inc</t>
  </si>
  <si>
    <t>C-00046</t>
  </si>
  <si>
    <t>C-00047</t>
  </si>
  <si>
    <t>Cedar Retail Ltd</t>
  </si>
  <si>
    <t>C-00048</t>
  </si>
  <si>
    <t>Pioneer Logistics Co</t>
  </si>
  <si>
    <t>C-00049</t>
  </si>
  <si>
    <t>Green Labs Corp</t>
  </si>
  <si>
    <t>C-00050</t>
  </si>
  <si>
    <t>Rapid Tech Ltd</t>
  </si>
  <si>
    <t>C-00051</t>
  </si>
  <si>
    <t>Nimbus Labs Corp</t>
  </si>
  <si>
    <t>C-00052</t>
  </si>
  <si>
    <t>Cobalt Tech Corp</t>
  </si>
  <si>
    <t>C-00053</t>
  </si>
  <si>
    <t>Golden Holdings Inc</t>
  </si>
  <si>
    <t>C-00054</t>
  </si>
  <si>
    <t>Green Partners Inc</t>
  </si>
  <si>
    <t>C-00055</t>
  </si>
  <si>
    <t>Blue Healthcare Inc</t>
  </si>
  <si>
    <t>C-00056</t>
  </si>
  <si>
    <t>Summit Partners Ltd</t>
  </si>
  <si>
    <t>C-00057</t>
  </si>
  <si>
    <t>Orchid Tech Ltd</t>
  </si>
  <si>
    <t>C-00058</t>
  </si>
  <si>
    <t>C-00059</t>
  </si>
  <si>
    <t>Silver Enterprises Ltd</t>
  </si>
  <si>
    <t>C-00060</t>
  </si>
  <si>
    <t>Golden Analytics LLC</t>
  </si>
  <si>
    <t>C-00061</t>
  </si>
  <si>
    <t>Orchid Systems Ltd</t>
  </si>
  <si>
    <t>C-00062</t>
  </si>
  <si>
    <t>North Partners Ltd</t>
  </si>
  <si>
    <t>C-00063</t>
  </si>
  <si>
    <t>Sage Analytics Ltd</t>
  </si>
  <si>
    <t>C-00064</t>
  </si>
  <si>
    <t>Rapid Enterprises Corp</t>
  </si>
  <si>
    <t>C-00065</t>
  </si>
  <si>
    <t>Cedar Systems Co</t>
  </si>
  <si>
    <t>C-00066</t>
  </si>
  <si>
    <t>Nimbus Systems Ltd</t>
  </si>
  <si>
    <t>C-00067</t>
  </si>
  <si>
    <t>Bright Solutions LLC</t>
  </si>
  <si>
    <t>C-00068</t>
  </si>
  <si>
    <t>Cedar Logistics LLC</t>
  </si>
  <si>
    <t>C-00069</t>
  </si>
  <si>
    <t>Cobalt Systems LLC</t>
  </si>
  <si>
    <t>C-00070</t>
  </si>
  <si>
    <t>Pioneer Holdings Inc</t>
  </si>
  <si>
    <t>C-00071</t>
  </si>
  <si>
    <t>Green Dynamics Inc</t>
  </si>
  <si>
    <t>C-00072</t>
  </si>
  <si>
    <t>Silver Dynamics Co</t>
  </si>
  <si>
    <t>C-00073</t>
  </si>
  <si>
    <t>Golden Systems Co</t>
  </si>
  <si>
    <t>C-00074</t>
  </si>
  <si>
    <t>Nimbus Enterprises Inc</t>
  </si>
  <si>
    <t>C-00075</t>
  </si>
  <si>
    <t>Golden Analytics Co</t>
  </si>
  <si>
    <t>C-00076</t>
  </si>
  <si>
    <t>Nimbus Healthcare Co</t>
  </si>
  <si>
    <t>C-00077</t>
  </si>
  <si>
    <t>Quantum Manufacturing Ltd</t>
  </si>
  <si>
    <t>C-00078</t>
  </si>
  <si>
    <t>Everest Analytics Corp</t>
  </si>
  <si>
    <t>C-00079</t>
  </si>
  <si>
    <t>Blue Manufacturing Corp</t>
  </si>
  <si>
    <t>C-00080</t>
  </si>
  <si>
    <t>Bright Partners Co</t>
  </si>
  <si>
    <t>C-00081</t>
  </si>
  <si>
    <t>Rapid Logistics Corp</t>
  </si>
  <si>
    <t>C-00082</t>
  </si>
  <si>
    <t>C-00083</t>
  </si>
  <si>
    <t>Cobalt Partners Corp</t>
  </si>
  <si>
    <t>C-00084</t>
  </si>
  <si>
    <t>Cobalt Holdings Ltd</t>
  </si>
  <si>
    <t>C-00085</t>
  </si>
  <si>
    <t>Cedar Analytics LLC</t>
  </si>
  <si>
    <t>C-00086</t>
  </si>
  <si>
    <t>Quantum Partners Ltd</t>
  </si>
  <si>
    <t>C-00087</t>
  </si>
  <si>
    <t>C-00088</t>
  </si>
  <si>
    <t>Prime Systems Inc</t>
  </si>
  <si>
    <t>C-00089</t>
  </si>
  <si>
    <t>Rapid Logistics Ltd</t>
  </si>
  <si>
    <t>C-00090</t>
  </si>
  <si>
    <t>Cedar Retail Corp</t>
  </si>
  <si>
    <t>C-00091</t>
  </si>
  <si>
    <t>Blue Holdings Co</t>
  </si>
  <si>
    <t>C-00092</t>
  </si>
  <si>
    <t>Quantum Labs LLC</t>
  </si>
  <si>
    <t>C-00093</t>
  </si>
  <si>
    <t>Iron Enterprises Inc</t>
  </si>
  <si>
    <t>C-00094</t>
  </si>
  <si>
    <t>Green Solutions Ltd</t>
  </si>
  <si>
    <t>C-00095</t>
  </si>
  <si>
    <t>Apex Partners LLC</t>
  </si>
  <si>
    <t>C-00096</t>
  </si>
  <si>
    <t>Quantum Solutions Co</t>
  </si>
  <si>
    <t>C-00097</t>
  </si>
  <si>
    <t>Sage Retail Corp</t>
  </si>
  <si>
    <t>C-00098</t>
  </si>
  <si>
    <t>North Manufacturing Corp</t>
  </si>
  <si>
    <t>C-00099</t>
  </si>
  <si>
    <t>Orchid Systems Corp</t>
  </si>
  <si>
    <t>C-00100</t>
  </si>
  <si>
    <t>Orchid Logistics Co</t>
  </si>
  <si>
    <t>C-00101</t>
  </si>
  <si>
    <t>Orchid Retail Inc</t>
  </si>
  <si>
    <t>C-00102</t>
  </si>
  <si>
    <t>Summit Dynamics Ltd</t>
  </si>
  <si>
    <t>C-00103</t>
  </si>
  <si>
    <t>Blue Systems Corp</t>
  </si>
  <si>
    <t>C-00104</t>
  </si>
  <si>
    <t>Quantum Healthcare Co</t>
  </si>
  <si>
    <t>C-00105</t>
  </si>
  <si>
    <t>Rapid Healthcare Ltd</t>
  </si>
  <si>
    <t>C-00106</t>
  </si>
  <si>
    <t>Iron Retail Co</t>
  </si>
  <si>
    <t>C-00107</t>
  </si>
  <si>
    <t>Golden Logistics Ltd</t>
  </si>
  <si>
    <t>C-00108</t>
  </si>
  <si>
    <t>Cobalt Logistics Co</t>
  </si>
  <si>
    <t>C-00109</t>
  </si>
  <si>
    <t>Apex Holdings Inc</t>
  </si>
  <si>
    <t>C-00110</t>
  </si>
  <si>
    <t>Cobalt Labs Co</t>
  </si>
  <si>
    <t>C-00111</t>
  </si>
  <si>
    <t>Silver Systems Inc</t>
  </si>
  <si>
    <t>C-00112</t>
  </si>
  <si>
    <t>Cobalt Manufacturing Ltd</t>
  </si>
  <si>
    <t>C-00113</t>
  </si>
  <si>
    <t>Summit Enterprises Co</t>
  </si>
  <si>
    <t>C-00114</t>
  </si>
  <si>
    <t>Orchid Solutions LLC</t>
  </si>
  <si>
    <t>C-00115</t>
  </si>
  <si>
    <t>C-00116</t>
  </si>
  <si>
    <t>Nimbus Tech LLC</t>
  </si>
  <si>
    <t>C-00117</t>
  </si>
  <si>
    <t>Vertex Group Co</t>
  </si>
  <si>
    <t>C-00118</t>
  </si>
  <si>
    <t>North Tech Corp</t>
  </si>
  <si>
    <t>C-00119</t>
  </si>
  <si>
    <t>Green Logistics Co</t>
  </si>
  <si>
    <t>C-00120</t>
  </si>
  <si>
    <t>Prime Dynamics Corp</t>
  </si>
  <si>
    <t>C-00121</t>
  </si>
  <si>
    <t>Cedar Labs Ltd</t>
  </si>
  <si>
    <t>C-00122</t>
  </si>
  <si>
    <t>Rapid Industries Inc</t>
  </si>
  <si>
    <t>C-00123</t>
  </si>
  <si>
    <t>Blue Dynamics Co</t>
  </si>
  <si>
    <t>C-00124</t>
  </si>
  <si>
    <t>Everest Logistics Inc</t>
  </si>
  <si>
    <t>C-00125</t>
  </si>
  <si>
    <t>Cobalt Logistics Inc</t>
  </si>
  <si>
    <t>C-00126</t>
  </si>
  <si>
    <t>Nimbus Analytics Ltd</t>
  </si>
  <si>
    <t>C-00127</t>
  </si>
  <si>
    <t>Iron Industries LLC</t>
  </si>
  <si>
    <t>C-00128</t>
  </si>
  <si>
    <t>Bright Logistics Ltd</t>
  </si>
  <si>
    <t>C-00129</t>
  </si>
  <si>
    <t>Sage Tech Inc</t>
  </si>
  <si>
    <t>C-00130</t>
  </si>
  <si>
    <t>Vertex Labs Inc</t>
  </si>
  <si>
    <t>C-00131</t>
  </si>
  <si>
    <t>Iron Dynamics Inc</t>
  </si>
  <si>
    <t>C-00132</t>
  </si>
  <si>
    <t>North Partners Corp</t>
  </si>
  <si>
    <t>C-00133</t>
  </si>
  <si>
    <t>Blue Labs Inc</t>
  </si>
  <si>
    <t>C-00134</t>
  </si>
  <si>
    <t>Iron Tech Ltd</t>
  </si>
  <si>
    <t>C-00135</t>
  </si>
  <si>
    <t>Apex Solutions Corp</t>
  </si>
  <si>
    <t>C-00136</t>
  </si>
  <si>
    <t>Bright Industries Co</t>
  </si>
  <si>
    <t>C-00137</t>
  </si>
  <si>
    <t>Quantum Solutions Inc</t>
  </si>
  <si>
    <t>C-00138</t>
  </si>
  <si>
    <t>Golden Healthcare Co</t>
  </si>
  <si>
    <t>C-00139</t>
  </si>
  <si>
    <t>Green Partners Corp</t>
  </si>
  <si>
    <t>C-00140</t>
  </si>
  <si>
    <t>Blue Tech Ltd</t>
  </si>
  <si>
    <t>C-00141</t>
  </si>
  <si>
    <t>Cobalt Healthcare Inc</t>
  </si>
  <si>
    <t>C-00142</t>
  </si>
  <si>
    <t>Apex Healthcare Ltd</t>
  </si>
  <si>
    <t>C-00143</t>
  </si>
  <si>
    <t>Golden Partners Co</t>
  </si>
  <si>
    <t>C-00144</t>
  </si>
  <si>
    <t>C-00145</t>
  </si>
  <si>
    <t>Sage Retail LLC</t>
  </si>
  <si>
    <t>C-00146</t>
  </si>
  <si>
    <t>Green Systems Co</t>
  </si>
  <si>
    <t>C-00147</t>
  </si>
  <si>
    <t>Silver Group Ltd</t>
  </si>
  <si>
    <t>C-00148</t>
  </si>
  <si>
    <t>Quantum Industries Ltd</t>
  </si>
  <si>
    <t>C-00149</t>
  </si>
  <si>
    <t>Sage Holdings Co</t>
  </si>
  <si>
    <t>C-00150</t>
  </si>
  <si>
    <t>Vertex Enterprises LLC</t>
  </si>
  <si>
    <t>C-00151</t>
  </si>
  <si>
    <t>Everest Healthcare Corp</t>
  </si>
  <si>
    <t>C-00152</t>
  </si>
  <si>
    <t>Iron Group Co</t>
  </si>
  <si>
    <t>C-00153</t>
  </si>
  <si>
    <t>Rapid Retail Ltd</t>
  </si>
  <si>
    <t>C-00154</t>
  </si>
  <si>
    <t>Golden Manufacturing Co</t>
  </si>
  <si>
    <t>C-00155</t>
  </si>
  <si>
    <t>North Labs Inc</t>
  </si>
  <si>
    <t>C-00156</t>
  </si>
  <si>
    <t>Apex Retail Ltd</t>
  </si>
  <si>
    <t>C-00157</t>
  </si>
  <si>
    <t>Rapid Partners Co</t>
  </si>
  <si>
    <t>C-00158</t>
  </si>
  <si>
    <t>Everest Solutions Ltd</t>
  </si>
  <si>
    <t>C-00159</t>
  </si>
  <si>
    <t>Rapid Dynamics Co</t>
  </si>
  <si>
    <t>C-00160</t>
  </si>
  <si>
    <t>Cedar Dynamics Corp</t>
  </si>
  <si>
    <t>C-00161</t>
  </si>
  <si>
    <t>Cobalt Group Co</t>
  </si>
  <si>
    <t>C-00162</t>
  </si>
  <si>
    <t>Vertex Healthcare Inc</t>
  </si>
  <si>
    <t>C-00163</t>
  </si>
  <si>
    <t>Vertex Group Ltd</t>
  </si>
  <si>
    <t>C-00164</t>
  </si>
  <si>
    <t>Golden Tech Ltd</t>
  </si>
  <si>
    <t>C-00165</t>
  </si>
  <si>
    <t>C-00166</t>
  </si>
  <si>
    <t>Vertex Labs Corp</t>
  </si>
  <si>
    <t>C-00167</t>
  </si>
  <si>
    <t>Rapid Logistics Co</t>
  </si>
  <si>
    <t>C-00168</t>
  </si>
  <si>
    <t>Green Logistics Ltd</t>
  </si>
  <si>
    <t>C-00169</t>
  </si>
  <si>
    <t>Vertex Partners Inc</t>
  </si>
  <si>
    <t>C-00170</t>
  </si>
  <si>
    <t>Iron Logistics Co</t>
  </si>
  <si>
    <t>C-00171</t>
  </si>
  <si>
    <t>Golden Tech LLC</t>
  </si>
  <si>
    <t>C-00172</t>
  </si>
  <si>
    <t>Vertex Logistics Corp</t>
  </si>
  <si>
    <t>C-00173</t>
  </si>
  <si>
    <t>Nimbus Solutions Inc</t>
  </si>
  <si>
    <t>C-00174</t>
  </si>
  <si>
    <t>Golden Solutions Co</t>
  </si>
  <si>
    <t>C-00175</t>
  </si>
  <si>
    <t>Green Partners LLC</t>
  </si>
  <si>
    <t>C-00176</t>
  </si>
  <si>
    <t>Cobalt Group Ltd</t>
  </si>
  <si>
    <t>C-00177</t>
  </si>
  <si>
    <t>Apex Solutions LLC</t>
  </si>
  <si>
    <t>C-00178</t>
  </si>
  <si>
    <t>Green Industries Ltd</t>
  </si>
  <si>
    <t>C-00179</t>
  </si>
  <si>
    <t>Orchid Industries LLC</t>
  </si>
  <si>
    <t>C-00180</t>
  </si>
  <si>
    <t>Orchid Holdings LLC</t>
  </si>
  <si>
    <t>C-00181</t>
  </si>
  <si>
    <t>Everest Holdings LLC</t>
  </si>
  <si>
    <t>C-00182</t>
  </si>
  <si>
    <t>C-00183</t>
  </si>
  <si>
    <t>Quantum Holdings Co</t>
  </si>
  <si>
    <t>C-00184</t>
  </si>
  <si>
    <t>Orchid Systems LLC</t>
  </si>
  <si>
    <t>C-00185</t>
  </si>
  <si>
    <t>Everest Partners LLC</t>
  </si>
  <si>
    <t>C-00186</t>
  </si>
  <si>
    <t>Rapid Partners LLC</t>
  </si>
  <si>
    <t>C-00187</t>
  </si>
  <si>
    <t>C-00188</t>
  </si>
  <si>
    <t>C-00189</t>
  </si>
  <si>
    <t>Pioneer Solutions LLC</t>
  </si>
  <si>
    <t>C-00190</t>
  </si>
  <si>
    <t>Golden Solutions LLC</t>
  </si>
  <si>
    <t>C-00191</t>
  </si>
  <si>
    <t>Cobalt Tech Inc</t>
  </si>
  <si>
    <t>C-00192</t>
  </si>
  <si>
    <t>Orchid Group LLC</t>
  </si>
  <si>
    <t>C-00193</t>
  </si>
  <si>
    <t>Sage Enterprises Co</t>
  </si>
  <si>
    <t>C-00194</t>
  </si>
  <si>
    <t>Sage Group Corp</t>
  </si>
  <si>
    <t>C-00195</t>
  </si>
  <si>
    <t>Golden Holdings Co</t>
  </si>
  <si>
    <t>C-00196</t>
  </si>
  <si>
    <t>Prime Retail Co</t>
  </si>
  <si>
    <t>C-00197</t>
  </si>
  <si>
    <t>Pioneer Enterprises Inc</t>
  </si>
  <si>
    <t>C-00198</t>
  </si>
  <si>
    <t>Orchid Dynamics LLC</t>
  </si>
  <si>
    <t>C-00199</t>
  </si>
  <si>
    <t>Cedar Tech Co</t>
  </si>
  <si>
    <t>C-00200</t>
  </si>
  <si>
    <t>Prime Healthcare Co</t>
  </si>
  <si>
    <t>C-00201</t>
  </si>
  <si>
    <t>Cobalt Logistics Corp</t>
  </si>
  <si>
    <t>C-00202</t>
  </si>
  <si>
    <t>Nimbus Dynamics Corp</t>
  </si>
  <si>
    <t>C-00203</t>
  </si>
  <si>
    <t>Everest Analytics LLC</t>
  </si>
  <si>
    <t>C-00204</t>
  </si>
  <si>
    <t>Cobalt Labs Corp</t>
  </si>
  <si>
    <t>C-00205</t>
  </si>
  <si>
    <t>Green Logistics Corp</t>
  </si>
  <si>
    <t>C-00206</t>
  </si>
  <si>
    <t>Sage Analytics Co</t>
  </si>
  <si>
    <t>C-00207</t>
  </si>
  <si>
    <t>C-00208</t>
  </si>
  <si>
    <t>Summit Healthcare Ltd</t>
  </si>
  <si>
    <t>C-00209</t>
  </si>
  <si>
    <t>Blue Manufacturing LLC</t>
  </si>
  <si>
    <t>C-00210</t>
  </si>
  <si>
    <t>Everest Manufacturing Inc</t>
  </si>
  <si>
    <t>C-00211</t>
  </si>
  <si>
    <t>Cobalt Group Corp</t>
  </si>
  <si>
    <t>C-00212</t>
  </si>
  <si>
    <t>Golden Enterprises Ltd</t>
  </si>
  <si>
    <t>C-00213</t>
  </si>
  <si>
    <t>Summit Holdings Co</t>
  </si>
  <si>
    <t>C-00214</t>
  </si>
  <si>
    <t>C-00215</t>
  </si>
  <si>
    <t>Nimbus Logistics Ltd</t>
  </si>
  <si>
    <t>C-00216</t>
  </si>
  <si>
    <t>Golden Systems LLC</t>
  </si>
  <si>
    <t>C-00217</t>
  </si>
  <si>
    <t>Everest Logistics Co</t>
  </si>
  <si>
    <t>C-00218</t>
  </si>
  <si>
    <t>C-00219</t>
  </si>
  <si>
    <t>C-00220</t>
  </si>
  <si>
    <t>Apex Enterprises LLC</t>
  </si>
  <si>
    <t>C-00221</t>
  </si>
  <si>
    <t>C-00222</t>
  </si>
  <si>
    <t>North Analytics LLC</t>
  </si>
  <si>
    <t>C-00223</t>
  </si>
  <si>
    <t>Green Manufacturing Corp</t>
  </si>
  <si>
    <t>C-00224</t>
  </si>
  <si>
    <t>Iron Labs Inc</t>
  </si>
  <si>
    <t>C-00225</t>
  </si>
  <si>
    <t>C-00226</t>
  </si>
  <si>
    <t>Iron Retail LLC</t>
  </si>
  <si>
    <t>C-00227</t>
  </si>
  <si>
    <t>Apex Tech Corp</t>
  </si>
  <si>
    <t>C-00228</t>
  </si>
  <si>
    <t>Golden Dynamics Inc</t>
  </si>
  <si>
    <t>C-00229</t>
  </si>
  <si>
    <t>C-00230</t>
  </si>
  <si>
    <t>Quantum Enterprises Co</t>
  </si>
  <si>
    <t>C-00231</t>
  </si>
  <si>
    <t>Silver Group Corp</t>
  </si>
  <si>
    <t>C-00232</t>
  </si>
  <si>
    <t>Silver Holdings Ltd</t>
  </si>
  <si>
    <t>C-00233</t>
  </si>
  <si>
    <t>Quantum Healthcare Corp</t>
  </si>
  <si>
    <t>C-00234</t>
  </si>
  <si>
    <t>Summit Logistics Inc</t>
  </si>
  <si>
    <t>C-00235</t>
  </si>
  <si>
    <t>Iron Enterprises Co</t>
  </si>
  <si>
    <t>C-00236</t>
  </si>
  <si>
    <t>Pioneer Systems Inc</t>
  </si>
  <si>
    <t>C-00237</t>
  </si>
  <si>
    <t>Sage Analytics LLC</t>
  </si>
  <si>
    <t>C-00238</t>
  </si>
  <si>
    <t>Vertex Group Corp</t>
  </si>
  <si>
    <t>C-00239</t>
  </si>
  <si>
    <t>Pioneer Labs Inc</t>
  </si>
  <si>
    <t>C-00240</t>
  </si>
  <si>
    <t>Pioneer Solutions Corp</t>
  </si>
  <si>
    <t>C-00241</t>
  </si>
  <si>
    <t>C-00242</t>
  </si>
  <si>
    <t>Green Retail Inc</t>
  </si>
  <si>
    <t>C-00243</t>
  </si>
  <si>
    <t>North Solutions Co</t>
  </si>
  <si>
    <t>C-00244</t>
  </si>
  <si>
    <t>C-00245</t>
  </si>
  <si>
    <t>Silver Healthcare LLC</t>
  </si>
  <si>
    <t>C-00246</t>
  </si>
  <si>
    <t>Iron Industries Ltd</t>
  </si>
  <si>
    <t>C-00247</t>
  </si>
  <si>
    <t>Green Enterprises Inc</t>
  </si>
  <si>
    <t>C-00248</t>
  </si>
  <si>
    <t>C-00249</t>
  </si>
  <si>
    <t>Orchid Partners Ltd</t>
  </si>
  <si>
    <t>C-00250</t>
  </si>
  <si>
    <t>Summit Dynamics LLC</t>
  </si>
  <si>
    <t>C-00251</t>
  </si>
  <si>
    <t>C-00252</t>
  </si>
  <si>
    <t>Vertex Tech Inc</t>
  </si>
  <si>
    <t>C-00253</t>
  </si>
  <si>
    <t>Nimbus Healthcare Corp</t>
  </si>
  <si>
    <t>C-00254</t>
  </si>
  <si>
    <t>Cedar Analytics Inc</t>
  </si>
  <si>
    <t>C-00255</t>
  </si>
  <si>
    <t>Apex Industries Inc</t>
  </si>
  <si>
    <t>C-00256</t>
  </si>
  <si>
    <t>C-00257</t>
  </si>
  <si>
    <t>Pioneer Retail Corp</t>
  </si>
  <si>
    <t>C-00258</t>
  </si>
  <si>
    <t>Bright Holdings Ltd</t>
  </si>
  <si>
    <t>C-00259</t>
  </si>
  <si>
    <t>Silver Systems Corp</t>
  </si>
  <si>
    <t>C-00260</t>
  </si>
  <si>
    <t>Quantum Systems Inc</t>
  </si>
  <si>
    <t>C-00261</t>
  </si>
  <si>
    <t>Silver Retail Co</t>
  </si>
  <si>
    <t>C-00262</t>
  </si>
  <si>
    <t>C-00263</t>
  </si>
  <si>
    <t>Iron Logistics Inc</t>
  </si>
  <si>
    <t>C-00264</t>
  </si>
  <si>
    <t>Everest Retail Inc</t>
  </si>
  <si>
    <t>C-00265</t>
  </si>
  <si>
    <t>C-00266</t>
  </si>
  <si>
    <t>C-00267</t>
  </si>
  <si>
    <t>Vertex Holdings Co</t>
  </si>
  <si>
    <t>C-00268</t>
  </si>
  <si>
    <t>Apex Systems LLC</t>
  </si>
  <si>
    <t>C-00269</t>
  </si>
  <si>
    <t>C-00270</t>
  </si>
  <si>
    <t>Quantum Logistics Ltd</t>
  </si>
  <si>
    <t>C-00271</t>
  </si>
  <si>
    <t>Apex Partners Corp</t>
  </si>
  <si>
    <t>C-00272</t>
  </si>
  <si>
    <t>Bright Manufacturing LLC</t>
  </si>
  <si>
    <t>C-00273</t>
  </si>
  <si>
    <t>Iron Enterprises LLC</t>
  </si>
  <si>
    <t>C-00274</t>
  </si>
  <si>
    <t>C-00275</t>
  </si>
  <si>
    <t>Vertex Logistics LLC</t>
  </si>
  <si>
    <t>C-00276</t>
  </si>
  <si>
    <t>Apex Logistics Ltd</t>
  </si>
  <si>
    <t>C-00277</t>
  </si>
  <si>
    <t>Pioneer Industries LLC</t>
  </si>
  <si>
    <t>C-00278</t>
  </si>
  <si>
    <t>Silver Holdings Corp</t>
  </si>
  <si>
    <t>C-00279</t>
  </si>
  <si>
    <t>Quantum Holdings Ltd</t>
  </si>
  <si>
    <t>C-00280</t>
  </si>
  <si>
    <t>C-00281</t>
  </si>
  <si>
    <t>C-00282</t>
  </si>
  <si>
    <t>C-00283</t>
  </si>
  <si>
    <t>Cobalt Solutions Corp</t>
  </si>
  <si>
    <t>C-00284</t>
  </si>
  <si>
    <t>C-00285</t>
  </si>
  <si>
    <t>Quantum Healthcare LLC</t>
  </si>
  <si>
    <t>C-00286</t>
  </si>
  <si>
    <t>Everest Dynamics Ltd</t>
  </si>
  <si>
    <t>C-00287</t>
  </si>
  <si>
    <t>Blue Systems LLC</t>
  </si>
  <si>
    <t>C-00288</t>
  </si>
  <si>
    <t>Orchid Enterprises Ltd</t>
  </si>
  <si>
    <t>C-00289</t>
  </si>
  <si>
    <t>C-00290</t>
  </si>
  <si>
    <t>Green Healthcare Co</t>
  </si>
  <si>
    <t>C-00291</t>
  </si>
  <si>
    <t>C-00292</t>
  </si>
  <si>
    <t>Golden Tech Inc</t>
  </si>
  <si>
    <t>C-00293</t>
  </si>
  <si>
    <t>C-00294</t>
  </si>
  <si>
    <t>Bright Tech Corp</t>
  </si>
  <si>
    <t>C-00295</t>
  </si>
  <si>
    <t>Apex Tech LLC</t>
  </si>
  <si>
    <t>C-00296</t>
  </si>
  <si>
    <t>Apex Retail Corp</t>
  </si>
  <si>
    <t>C-00297</t>
  </si>
  <si>
    <t>Apex Industries Ltd</t>
  </si>
  <si>
    <t>C-00298</t>
  </si>
  <si>
    <t>Orchid Tech Co</t>
  </si>
  <si>
    <t>C-00299</t>
  </si>
  <si>
    <t>Golden Retail LLC</t>
  </si>
  <si>
    <t>C-00300</t>
  </si>
  <si>
    <t>Quantum Solutions Ltd</t>
  </si>
  <si>
    <t>SKU</t>
  </si>
  <si>
    <t>ProductCategory</t>
  </si>
  <si>
    <t>Subcategory</t>
  </si>
  <si>
    <t>ProductName</t>
  </si>
  <si>
    <t>UnitCost</t>
  </si>
  <si>
    <t>ListPrice</t>
  </si>
  <si>
    <t>Active</t>
  </si>
  <si>
    <t>SKU-10000</t>
  </si>
  <si>
    <t>Software</t>
  </si>
  <si>
    <t>Productivity</t>
  </si>
  <si>
    <t>Office Suite v1</t>
  </si>
  <si>
    <t>Yes</t>
  </si>
  <si>
    <t>SKU-10001</t>
  </si>
  <si>
    <t>Office Suite v2</t>
  </si>
  <si>
    <t>SKU-10002</t>
  </si>
  <si>
    <t>Office Suite v3</t>
  </si>
  <si>
    <t>SKU-10003</t>
  </si>
  <si>
    <t>Office Suite v4</t>
  </si>
  <si>
    <t>SKU-10004</t>
  </si>
  <si>
    <t>Office Suite v5</t>
  </si>
  <si>
    <t>SKU-10005</t>
  </si>
  <si>
    <t>Project Manager v1</t>
  </si>
  <si>
    <t>SKU-10006</t>
  </si>
  <si>
    <t>Project Manager v2</t>
  </si>
  <si>
    <t>SKU-10007</t>
  </si>
  <si>
    <t>Project Manager v3</t>
  </si>
  <si>
    <t>SKU-10008</t>
  </si>
  <si>
    <t>Project Manager v4</t>
  </si>
  <si>
    <t>No</t>
  </si>
  <si>
    <t>SKU-10009</t>
  </si>
  <si>
    <t>Project Manager v5</t>
  </si>
  <si>
    <t>SKU-10010</t>
  </si>
  <si>
    <t>Note Organizer v1</t>
  </si>
  <si>
    <t>SKU-10011</t>
  </si>
  <si>
    <t>Note Organizer v2</t>
  </si>
  <si>
    <t>SKU-10012</t>
  </si>
  <si>
    <t>Note Organizer v3</t>
  </si>
  <si>
    <t>SKU-10013</t>
  </si>
  <si>
    <t>Note Organizer v4</t>
  </si>
  <si>
    <t>SKU-10014</t>
  </si>
  <si>
    <t>Note Organizer v5</t>
  </si>
  <si>
    <t>SKU-10015</t>
  </si>
  <si>
    <t>CRM Lite v1</t>
  </si>
  <si>
    <t>SKU-10016</t>
  </si>
  <si>
    <t>CRM Lite v2</t>
  </si>
  <si>
    <t>SKU-10017</t>
  </si>
  <si>
    <t>CRM Lite v3</t>
  </si>
  <si>
    <t>SKU-10018</t>
  </si>
  <si>
    <t>CRM Lite v4</t>
  </si>
  <si>
    <t>SKU-10019</t>
  </si>
  <si>
    <t>CRM Lite v5</t>
  </si>
  <si>
    <t>SKU-10020</t>
  </si>
  <si>
    <t>Time Tracker v1</t>
  </si>
  <si>
    <t>SKU-10021</t>
  </si>
  <si>
    <t>Time Tracker v2</t>
  </si>
  <si>
    <t>SKU-10022</t>
  </si>
  <si>
    <t>Time Tracker v3</t>
  </si>
  <si>
    <t>SKU-10023</t>
  </si>
  <si>
    <t>Time Tracker v4</t>
  </si>
  <si>
    <t>SKU-10024</t>
  </si>
  <si>
    <t>Time Tracker v5</t>
  </si>
  <si>
    <t>SKU-10025</t>
  </si>
  <si>
    <t>Security</t>
  </si>
  <si>
    <t>Endpoint Protect v1</t>
  </si>
  <si>
    <t>SKU-10026</t>
  </si>
  <si>
    <t>Endpoint Protect v2</t>
  </si>
  <si>
    <t>SKU-10027</t>
  </si>
  <si>
    <t>Endpoint Protect v3</t>
  </si>
  <si>
    <t>SKU-10028</t>
  </si>
  <si>
    <t>Endpoint Protect v4</t>
  </si>
  <si>
    <t>SKU-10029</t>
  </si>
  <si>
    <t>Endpoint Protect v5</t>
  </si>
  <si>
    <t>SKU-10030</t>
  </si>
  <si>
    <t>Identity Vault v1</t>
  </si>
  <si>
    <t>SKU-10031</t>
  </si>
  <si>
    <t>Identity Vault v2</t>
  </si>
  <si>
    <t>SKU-10032</t>
  </si>
  <si>
    <t>Identity Vault v3</t>
  </si>
  <si>
    <t>SKU-10033</t>
  </si>
  <si>
    <t>Identity Vault v4</t>
  </si>
  <si>
    <t>SKU-10034</t>
  </si>
  <si>
    <t>Identity Vault v5</t>
  </si>
  <si>
    <t>SKU-10035</t>
  </si>
  <si>
    <t>Secure Mail v1</t>
  </si>
  <si>
    <t>SKU-10036</t>
  </si>
  <si>
    <t>Secure Mail v2</t>
  </si>
  <si>
    <t>SKU-10037</t>
  </si>
  <si>
    <t>Secure Mail v3</t>
  </si>
  <si>
    <t>SKU-10038</t>
  </si>
  <si>
    <t>Secure Mail v4</t>
  </si>
  <si>
    <t>SKU-10039</t>
  </si>
  <si>
    <t>Secure Mail v5</t>
  </si>
  <si>
    <t>SKU-10040</t>
  </si>
  <si>
    <t>DLP Basic v1</t>
  </si>
  <si>
    <t>SKU-10041</t>
  </si>
  <si>
    <t>DLP Basic v2</t>
  </si>
  <si>
    <t>SKU-10042</t>
  </si>
  <si>
    <t>DLP Basic v3</t>
  </si>
  <si>
    <t>SKU-10043</t>
  </si>
  <si>
    <t>DLP Basic v4</t>
  </si>
  <si>
    <t>SKU-10044</t>
  </si>
  <si>
    <t>DLP Basic v5</t>
  </si>
  <si>
    <t>SKU-10045</t>
  </si>
  <si>
    <t>Analytics</t>
  </si>
  <si>
    <t>BI Starter v1</t>
  </si>
  <si>
    <t>SKU-10046</t>
  </si>
  <si>
    <t>BI Starter v2</t>
  </si>
  <si>
    <t>SKU-10047</t>
  </si>
  <si>
    <t>BI Starter v3</t>
  </si>
  <si>
    <t>SKU-10048</t>
  </si>
  <si>
    <t>BI Starter v4</t>
  </si>
  <si>
    <t>SKU-10049</t>
  </si>
  <si>
    <t>BI Starter v5</t>
  </si>
  <si>
    <t>SKU-10050</t>
  </si>
  <si>
    <t>Dashboard Pro v1</t>
  </si>
  <si>
    <t>SKU-10051</t>
  </si>
  <si>
    <t>Dashboard Pro v2</t>
  </si>
  <si>
    <t>SKU-10052</t>
  </si>
  <si>
    <t>Dashboard Pro v3</t>
  </si>
  <si>
    <t>SKU-10053</t>
  </si>
  <si>
    <t>Dashboard Pro v4</t>
  </si>
  <si>
    <t>SKU-10054</t>
  </si>
  <si>
    <t>Dashboard Pro v5</t>
  </si>
  <si>
    <t>SKU-10055</t>
  </si>
  <si>
    <t>Forecast Kit v1</t>
  </si>
  <si>
    <t>SKU-10056</t>
  </si>
  <si>
    <t>Forecast Kit v2</t>
  </si>
  <si>
    <t>SKU-10057</t>
  </si>
  <si>
    <t>Forecast Kit v3</t>
  </si>
  <si>
    <t>SKU-10058</t>
  </si>
  <si>
    <t>Forecast Kit v4</t>
  </si>
  <si>
    <t>SKU-10059</t>
  </si>
  <si>
    <t>Forecast Kit v5</t>
  </si>
  <si>
    <t>SKU-10060</t>
  </si>
  <si>
    <t>Data Cleanser v1</t>
  </si>
  <si>
    <t>SKU-10061</t>
  </si>
  <si>
    <t>Data Cleanser v2</t>
  </si>
  <si>
    <t>SKU-10062</t>
  </si>
  <si>
    <t>Data Cleanser v3</t>
  </si>
  <si>
    <t>SKU-10063</t>
  </si>
  <si>
    <t>Data Cleanser v4</t>
  </si>
  <si>
    <t>SKU-10064</t>
  </si>
  <si>
    <t>Data Cleanser v5</t>
  </si>
  <si>
    <t>SKU-10065</t>
  </si>
  <si>
    <t>Hardware</t>
  </si>
  <si>
    <t>Devices</t>
  </si>
  <si>
    <t>Laptop v1</t>
  </si>
  <si>
    <t>SKU-10066</t>
  </si>
  <si>
    <t>Laptop v2</t>
  </si>
  <si>
    <t>SKU-10067</t>
  </si>
  <si>
    <t>Laptop v3</t>
  </si>
  <si>
    <t>SKU-10068</t>
  </si>
  <si>
    <t>Laptop v4</t>
  </si>
  <si>
    <t>SKU-10069</t>
  </si>
  <si>
    <t>Laptop v5</t>
  </si>
  <si>
    <t>SKU-10070</t>
  </si>
  <si>
    <t>Tablet v1</t>
  </si>
  <si>
    <t>SKU-10071</t>
  </si>
  <si>
    <t>Tablet v2</t>
  </si>
  <si>
    <t>SKU-10072</t>
  </si>
  <si>
    <t>Tablet v3</t>
  </si>
  <si>
    <t>SKU-10073</t>
  </si>
  <si>
    <t>Tablet v4</t>
  </si>
  <si>
    <t>SKU-10074</t>
  </si>
  <si>
    <t>Tablet v5</t>
  </si>
  <si>
    <t>SKU-10075</t>
  </si>
  <si>
    <t>Desktop v1</t>
  </si>
  <si>
    <t>SKU-10076</t>
  </si>
  <si>
    <t>Desktop v2</t>
  </si>
  <si>
    <t>SKU-10077</t>
  </si>
  <si>
    <t>Desktop v3</t>
  </si>
  <si>
    <t>SKU-10078</t>
  </si>
  <si>
    <t>Desktop v4</t>
  </si>
  <si>
    <t>SKU-10079</t>
  </si>
  <si>
    <t>Desktop v5</t>
  </si>
  <si>
    <t>SKU-10080</t>
  </si>
  <si>
    <t>Mini PC v1</t>
  </si>
  <si>
    <t>SKU-10081</t>
  </si>
  <si>
    <t>Mini PC v2</t>
  </si>
  <si>
    <t>SKU-10082</t>
  </si>
  <si>
    <t>Mini PC v3</t>
  </si>
  <si>
    <t>SKU-10083</t>
  </si>
  <si>
    <t>Mini PC v4</t>
  </si>
  <si>
    <t>SKU-10084</t>
  </si>
  <si>
    <t>Mini PC v5</t>
  </si>
  <si>
    <t>SKU-10085</t>
  </si>
  <si>
    <t>Peripherals</t>
  </si>
  <si>
    <t>Docking Station v1</t>
  </si>
  <si>
    <t>SKU-10086</t>
  </si>
  <si>
    <t>Docking Station v2</t>
  </si>
  <si>
    <t>SKU-10087</t>
  </si>
  <si>
    <t>Docking Station v3</t>
  </si>
  <si>
    <t>SKU-10088</t>
  </si>
  <si>
    <t>Docking Station v4</t>
  </si>
  <si>
    <t>SKU-10089</t>
  </si>
  <si>
    <t>Docking Station v5</t>
  </si>
  <si>
    <t>SKU-10090</t>
  </si>
  <si>
    <t>Monitor v1</t>
  </si>
  <si>
    <t>SKU-10091</t>
  </si>
  <si>
    <t>Monitor v2</t>
  </si>
  <si>
    <t>SKU-10092</t>
  </si>
  <si>
    <t>Monitor v3</t>
  </si>
  <si>
    <t>SKU-10093</t>
  </si>
  <si>
    <t>Monitor v4</t>
  </si>
  <si>
    <t>SKU-10094</t>
  </si>
  <si>
    <t>Monitor v5</t>
  </si>
  <si>
    <t>SKU-10095</t>
  </si>
  <si>
    <t>Keyboard v1</t>
  </si>
  <si>
    <t>SKU-10096</t>
  </si>
  <si>
    <t>Keyboard v2</t>
  </si>
  <si>
    <t>SKU-10097</t>
  </si>
  <si>
    <t>Keyboard v3</t>
  </si>
  <si>
    <t>SKU-10098</t>
  </si>
  <si>
    <t>Keyboard v4</t>
  </si>
  <si>
    <t>SKU-10099</t>
  </si>
  <si>
    <t>Keyboard v5</t>
  </si>
  <si>
    <t>SKU-10100</t>
  </si>
  <si>
    <t>Mouse v1</t>
  </si>
  <si>
    <t>SKU-10101</t>
  </si>
  <si>
    <t>Mouse v2</t>
  </si>
  <si>
    <t>SKU-10102</t>
  </si>
  <si>
    <t>Mouse v3</t>
  </si>
  <si>
    <t>SKU-10103</t>
  </si>
  <si>
    <t>Mouse v4</t>
  </si>
  <si>
    <t>SKU-10104</t>
  </si>
  <si>
    <t>Mouse v5</t>
  </si>
  <si>
    <t>SKU-10105</t>
  </si>
  <si>
    <t>Webcam v1</t>
  </si>
  <si>
    <t>SKU-10106</t>
  </si>
  <si>
    <t>Webcam v2</t>
  </si>
  <si>
    <t>SKU-10107</t>
  </si>
  <si>
    <t>Webcam v3</t>
  </si>
  <si>
    <t>SKU-10108</t>
  </si>
  <si>
    <t>Webcam v4</t>
  </si>
  <si>
    <t>SKU-10109</t>
  </si>
  <si>
    <t>Webcam v5</t>
  </si>
  <si>
    <t>SKU-10110</t>
  </si>
  <si>
    <t>Headset v1</t>
  </si>
  <si>
    <t>SKU-10111</t>
  </si>
  <si>
    <t>Headset v2</t>
  </si>
  <si>
    <t>SKU-10112</t>
  </si>
  <si>
    <t>Headset v3</t>
  </si>
  <si>
    <t>SKU-10113</t>
  </si>
  <si>
    <t>Headset v4</t>
  </si>
  <si>
    <t>SKU-10114</t>
  </si>
  <si>
    <t>Headset v5</t>
  </si>
  <si>
    <t>SKU-10115</t>
  </si>
  <si>
    <t>Networking</t>
  </si>
  <si>
    <t>Router v1</t>
  </si>
  <si>
    <t>SKU-10116</t>
  </si>
  <si>
    <t>Router v2</t>
  </si>
  <si>
    <t>SKU-10117</t>
  </si>
  <si>
    <t>Router v3</t>
  </si>
  <si>
    <t>SKU-10118</t>
  </si>
  <si>
    <t>Router v4</t>
  </si>
  <si>
    <t>SKU-10119</t>
  </si>
  <si>
    <t>Router v5</t>
  </si>
  <si>
    <t>SKU-10120</t>
  </si>
  <si>
    <t>Switch v1</t>
  </si>
  <si>
    <t>SKU-10121</t>
  </si>
  <si>
    <t>Switch v2</t>
  </si>
  <si>
    <t>SKU-10122</t>
  </si>
  <si>
    <t>Switch v3</t>
  </si>
  <si>
    <t>SKU-10123</t>
  </si>
  <si>
    <t>Switch v4</t>
  </si>
  <si>
    <t>SKU-10124</t>
  </si>
  <si>
    <t>Switch v5</t>
  </si>
  <si>
    <t>SKU-10125</t>
  </si>
  <si>
    <t>Wi-Fi AP v1</t>
  </si>
  <si>
    <t>SKU-10126</t>
  </si>
  <si>
    <t>Wi-Fi AP v2</t>
  </si>
  <si>
    <t>SKU-10127</t>
  </si>
  <si>
    <t>Wi-Fi AP v3</t>
  </si>
  <si>
    <t>SKU-10128</t>
  </si>
  <si>
    <t>Wi-Fi AP v4</t>
  </si>
  <si>
    <t>SKU-10129</t>
  </si>
  <si>
    <t>Wi-Fi AP v5</t>
  </si>
  <si>
    <t>SKU-10130</t>
  </si>
  <si>
    <t>Services</t>
  </si>
  <si>
    <t>Consulting</t>
  </si>
  <si>
    <t>Implementation v1</t>
  </si>
  <si>
    <t>SKU-10131</t>
  </si>
  <si>
    <t>Implementation v2</t>
  </si>
  <si>
    <t>SKU-10132</t>
  </si>
  <si>
    <t>Implementation v3</t>
  </si>
  <si>
    <t>SKU-10133</t>
  </si>
  <si>
    <t>Implementation v4</t>
  </si>
  <si>
    <t>SKU-10134</t>
  </si>
  <si>
    <t>Implementation v5</t>
  </si>
  <si>
    <t>SKU-10135</t>
  </si>
  <si>
    <t>Migration v1</t>
  </si>
  <si>
    <t>SKU-10136</t>
  </si>
  <si>
    <t>Migration v2</t>
  </si>
  <si>
    <t>SKU-10137</t>
  </si>
  <si>
    <t>Migration v3</t>
  </si>
  <si>
    <t>SKU-10138</t>
  </si>
  <si>
    <t>Migration v4</t>
  </si>
  <si>
    <t>SKU-10139</t>
  </si>
  <si>
    <t>Migration v5</t>
  </si>
  <si>
    <t>SKU-10140</t>
  </si>
  <si>
    <t>Training v1</t>
  </si>
  <si>
    <t>SKU-10141</t>
  </si>
  <si>
    <t>Training v2</t>
  </si>
  <si>
    <t>SKU-10142</t>
  </si>
  <si>
    <t>Training v3</t>
  </si>
  <si>
    <t>SKU-10143</t>
  </si>
  <si>
    <t>Training v4</t>
  </si>
  <si>
    <t>SKU-10144</t>
  </si>
  <si>
    <t>Training v5</t>
  </si>
  <si>
    <t>SKU-10145</t>
  </si>
  <si>
    <t>Process Review v1</t>
  </si>
  <si>
    <t>SKU-10146</t>
  </si>
  <si>
    <t>Process Review v2</t>
  </si>
  <si>
    <t>SKU-10147</t>
  </si>
  <si>
    <t>Process Review v3</t>
  </si>
  <si>
    <t>SKU-10148</t>
  </si>
  <si>
    <t>Process Review v4</t>
  </si>
  <si>
    <t>SKU-10149</t>
  </si>
  <si>
    <t>Process Review v5</t>
  </si>
  <si>
    <t>SKU-10150</t>
  </si>
  <si>
    <t>Support</t>
  </si>
  <si>
    <t>Standard Support v1</t>
  </si>
  <si>
    <t>SKU-10151</t>
  </si>
  <si>
    <t>Standard Support v2</t>
  </si>
  <si>
    <t>SKU-10152</t>
  </si>
  <si>
    <t>Standard Support v3</t>
  </si>
  <si>
    <t>SKU-10153</t>
  </si>
  <si>
    <t>Standard Support v4</t>
  </si>
  <si>
    <t>SKU-10154</t>
  </si>
  <si>
    <t>Standard Support v5</t>
  </si>
  <si>
    <t>SKU-10155</t>
  </si>
  <si>
    <t>Premium Support v1</t>
  </si>
  <si>
    <t>SKU-10156</t>
  </si>
  <si>
    <t>Premium Support v2</t>
  </si>
  <si>
    <t>SKU-10157</t>
  </si>
  <si>
    <t>Premium Support v3</t>
  </si>
  <si>
    <t>SKU-10158</t>
  </si>
  <si>
    <t>Premium Support v4</t>
  </si>
  <si>
    <t>SKU-10159</t>
  </si>
  <si>
    <t>Premium Support v5</t>
  </si>
  <si>
    <t>SKU-10160</t>
  </si>
  <si>
    <t>Onsite Support v1</t>
  </si>
  <si>
    <t>SKU-10161</t>
  </si>
  <si>
    <t>Onsite Support v2</t>
  </si>
  <si>
    <t>SKU-10162</t>
  </si>
  <si>
    <t>Onsite Support v3</t>
  </si>
  <si>
    <t>SKU-10163</t>
  </si>
  <si>
    <t>Onsite Support v4</t>
  </si>
  <si>
    <t>SKU-10164</t>
  </si>
  <si>
    <t>Onsite Support v5</t>
  </si>
  <si>
    <t>SKU-10165</t>
  </si>
  <si>
    <t>Accessories</t>
  </si>
  <si>
    <t>Cables</t>
  </si>
  <si>
    <t>USB-C Cable v1</t>
  </si>
  <si>
    <t>SKU-10166</t>
  </si>
  <si>
    <t>USB-C Cable v2</t>
  </si>
  <si>
    <t>SKU-10167</t>
  </si>
  <si>
    <t>USB-C Cable v3</t>
  </si>
  <si>
    <t>SKU-10168</t>
  </si>
  <si>
    <t>USB-C Cable v4</t>
  </si>
  <si>
    <t>SKU-10169</t>
  </si>
  <si>
    <t>USB-C Cable v5</t>
  </si>
  <si>
    <t>SKU-10170</t>
  </si>
  <si>
    <t>HDMI Cable v1</t>
  </si>
  <si>
    <t>SKU-10171</t>
  </si>
  <si>
    <t>HDMI Cable v2</t>
  </si>
  <si>
    <t>SKU-10172</t>
  </si>
  <si>
    <t>HDMI Cable v3</t>
  </si>
  <si>
    <t>SKU-10173</t>
  </si>
  <si>
    <t>HDMI Cable v4</t>
  </si>
  <si>
    <t>SKU-10174</t>
  </si>
  <si>
    <t>HDMI Cable v5</t>
  </si>
  <si>
    <t>SKU-10175</t>
  </si>
  <si>
    <t>Ethernet Cable v1</t>
  </si>
  <si>
    <t>SKU-10176</t>
  </si>
  <si>
    <t>Ethernet Cable v2</t>
  </si>
  <si>
    <t>SKU-10177</t>
  </si>
  <si>
    <t>Ethernet Cable v3</t>
  </si>
  <si>
    <t>SKU-10178</t>
  </si>
  <si>
    <t>Ethernet Cable v4</t>
  </si>
  <si>
    <t>SKU-10179</t>
  </si>
  <si>
    <t>Ethernet Cable v5</t>
  </si>
  <si>
    <t>SKU-10180</t>
  </si>
  <si>
    <t>Power</t>
  </si>
  <si>
    <t>Charger v1</t>
  </si>
  <si>
    <t>SKU-10181</t>
  </si>
  <si>
    <t>Charger v2</t>
  </si>
  <si>
    <t>SKU-10182</t>
  </si>
  <si>
    <t>Charger v3</t>
  </si>
  <si>
    <t>SKU-10183</t>
  </si>
  <si>
    <t>Charger v4</t>
  </si>
  <si>
    <t>SKU-10184</t>
  </si>
  <si>
    <t>Charger v5</t>
  </si>
  <si>
    <t>SKU-10185</t>
  </si>
  <si>
    <t>Power Bank v1</t>
  </si>
  <si>
    <t>SKU-10186</t>
  </si>
  <si>
    <t>Power Bank v2</t>
  </si>
  <si>
    <t>SKU-10187</t>
  </si>
  <si>
    <t>Power Bank v3</t>
  </si>
  <si>
    <t>SKU-10188</t>
  </si>
  <si>
    <t>Power Bank v4</t>
  </si>
  <si>
    <t>SKU-10189</t>
  </si>
  <si>
    <t>Power Bank v5</t>
  </si>
  <si>
    <t>SKU-10190</t>
  </si>
  <si>
    <t>UPS v1</t>
  </si>
  <si>
    <t>SKU-10191</t>
  </si>
  <si>
    <t>UPS v2</t>
  </si>
  <si>
    <t>SKU-10192</t>
  </si>
  <si>
    <t>UPS v3</t>
  </si>
  <si>
    <t>SKU-10193</t>
  </si>
  <si>
    <t>UPS v4</t>
  </si>
  <si>
    <t>SKU-10194</t>
  </si>
  <si>
    <t>UPS v5</t>
  </si>
  <si>
    <t>OrderID</t>
  </si>
  <si>
    <t>LineID</t>
  </si>
  <si>
    <t>OrderDate</t>
  </si>
  <si>
    <t>ShipDate</t>
  </si>
  <si>
    <t>Region</t>
  </si>
  <si>
    <t>State/Prov</t>
  </si>
  <si>
    <t>City</t>
  </si>
  <si>
    <t>Channel</t>
  </si>
  <si>
    <t>PaymentMethod</t>
  </si>
  <si>
    <t>Units</t>
  </si>
  <si>
    <t>UnitPrice</t>
  </si>
  <si>
    <t>DiscountPct</t>
  </si>
  <si>
    <t>Revenue</t>
  </si>
  <si>
    <t>COGS</t>
  </si>
  <si>
    <t>GrossProfit</t>
  </si>
  <si>
    <t>Returned</t>
  </si>
  <si>
    <t>ReturnReason</t>
  </si>
  <si>
    <t>SatisfactionScore</t>
  </si>
  <si>
    <t>Notes</t>
  </si>
  <si>
    <t>Month</t>
  </si>
  <si>
    <t>Quarter</t>
  </si>
  <si>
    <t>O-000001</t>
  </si>
  <si>
    <t>SP</t>
  </si>
  <si>
    <t>Campinas</t>
  </si>
  <si>
    <t>Online</t>
  </si>
  <si>
    <t>PayPal</t>
  </si>
  <si>
    <t xml:space="preserve"> VIP account</t>
  </si>
  <si>
    <t>O-000002</t>
  </si>
  <si>
    <t>VIC</t>
  </si>
  <si>
    <t>Geelong</t>
  </si>
  <si>
    <t>Partner</t>
  </si>
  <si>
    <t>ACH</t>
  </si>
  <si>
    <t>Potential upsell</t>
  </si>
  <si>
    <t>O-000003</t>
  </si>
  <si>
    <t>OS</t>
  </si>
  <si>
    <t>Kobe</t>
  </si>
  <si>
    <t>Wire</t>
  </si>
  <si>
    <t>bundle deal</t>
  </si>
  <si>
    <t>O-000004</t>
  </si>
  <si>
    <t>TX</t>
  </si>
  <si>
    <t>Austin</t>
  </si>
  <si>
    <t>Check discount approval</t>
  </si>
  <si>
    <t>O-000005</t>
  </si>
  <si>
    <t>RJ</t>
  </si>
  <si>
    <t>Petrópolis</t>
  </si>
  <si>
    <t>Credit Card</t>
  </si>
  <si>
    <t>urgent</t>
  </si>
  <si>
    <t>O-000006</t>
  </si>
  <si>
    <t>ARA</t>
  </si>
  <si>
    <t>Lyon</t>
  </si>
  <si>
    <t>Direct</t>
  </si>
  <si>
    <t>O-000007</t>
  </si>
  <si>
    <t>TK</t>
  </si>
  <si>
    <t>Yokohama</t>
  </si>
  <si>
    <t>O-000008</t>
  </si>
  <si>
    <t>CMX</t>
  </si>
  <si>
    <t>Mexico City</t>
  </si>
  <si>
    <t>O-000009</t>
  </si>
  <si>
    <t>Other</t>
  </si>
  <si>
    <t>Follow up next week</t>
  </si>
  <si>
    <t>O-000010</t>
  </si>
  <si>
    <t>NSW</t>
  </si>
  <si>
    <t>Newcastle</t>
  </si>
  <si>
    <t>O-000011</t>
  </si>
  <si>
    <t>MH</t>
  </si>
  <si>
    <t>Pune</t>
  </si>
  <si>
    <t xml:space="preserve"> urgent</t>
  </si>
  <si>
    <t>O-000012</t>
  </si>
  <si>
    <t>Wollongong</t>
  </si>
  <si>
    <t>O-000013</t>
  </si>
  <si>
    <t>GREEN ENTERPRISES INC</t>
  </si>
  <si>
    <t>Melbourne</t>
  </si>
  <si>
    <t>late delivery?</t>
  </si>
  <si>
    <t>O-000014</t>
  </si>
  <si>
    <t>BC</t>
  </si>
  <si>
    <t>Kelowna</t>
  </si>
  <si>
    <t>Customer requested invoice</t>
  </si>
  <si>
    <t>O-000015</t>
  </si>
  <si>
    <t>RM</t>
  </si>
  <si>
    <t>Maipú</t>
  </si>
  <si>
    <t>O-000016</t>
  </si>
  <si>
    <t>QC</t>
  </si>
  <si>
    <t>Montreal</t>
  </si>
  <si>
    <t>O-000017</t>
  </si>
  <si>
    <t xml:space="preserve">Needs review  </t>
  </si>
  <si>
    <t>O-000018</t>
  </si>
  <si>
    <t>Ballarat</t>
  </si>
  <si>
    <t>O-000019</t>
  </si>
  <si>
    <t xml:space="preserve">North Analytics LLC  </t>
  </si>
  <si>
    <t>Chiba</t>
  </si>
  <si>
    <t xml:space="preserve"> Customer requested invoice</t>
  </si>
  <si>
    <t>O-000020</t>
  </si>
  <si>
    <t>Invoice</t>
  </si>
  <si>
    <t>O-000021</t>
  </si>
  <si>
    <t>BY</t>
  </si>
  <si>
    <t>Munich</t>
  </si>
  <si>
    <t>O-000022</t>
  </si>
  <si>
    <t>Osaka</t>
  </si>
  <si>
    <t>O-000023</t>
  </si>
  <si>
    <t>JAL</t>
  </si>
  <si>
    <t>Zapopan</t>
  </si>
  <si>
    <t>O-000024</t>
  </si>
  <si>
    <t>IDF</t>
  </si>
  <si>
    <t>Boulogne-Billancourt</t>
  </si>
  <si>
    <t>O-000025</t>
  </si>
  <si>
    <t>O-000026</t>
  </si>
  <si>
    <t>O-000027</t>
  </si>
  <si>
    <t>ENG</t>
  </si>
  <si>
    <t>London</t>
  </si>
  <si>
    <t>O-000028</t>
  </si>
  <si>
    <t>O-000029</t>
  </si>
  <si>
    <t>Santos</t>
  </si>
  <si>
    <t>O-000030</t>
  </si>
  <si>
    <t>O-000031</t>
  </si>
  <si>
    <t>Grenoble</t>
  </si>
  <si>
    <t>O-000032</t>
  </si>
  <si>
    <t>O-000033</t>
  </si>
  <si>
    <t>Mumbai</t>
  </si>
  <si>
    <t>O-000034</t>
  </si>
  <si>
    <t>Manchester</t>
  </si>
  <si>
    <t xml:space="preserve">urgent  </t>
  </si>
  <si>
    <t>O-000035</t>
  </si>
  <si>
    <t>O-000036</t>
  </si>
  <si>
    <t xml:space="preserve"> Green Enterprises Inc</t>
  </si>
  <si>
    <t>O-000037</t>
  </si>
  <si>
    <t>Coyoacán</t>
  </si>
  <si>
    <t>O-000038</t>
  </si>
  <si>
    <t>O-000039</t>
  </si>
  <si>
    <t>WA</t>
  </si>
  <si>
    <t>Tacoma</t>
  </si>
  <si>
    <t>O-000040</t>
  </si>
  <si>
    <t>O-000041</t>
  </si>
  <si>
    <t>Versailles</t>
  </si>
  <si>
    <t>O-000042</t>
  </si>
  <si>
    <t>Puente Alto</t>
  </si>
  <si>
    <t>LATE DELIVERY?</t>
  </si>
  <si>
    <t>O-000043</t>
  </si>
  <si>
    <t>BE</t>
  </si>
  <si>
    <t>Berlin</t>
  </si>
  <si>
    <t>O-000044</t>
  </si>
  <si>
    <t>Vertex Healthcare INC</t>
  </si>
  <si>
    <t>Santiago</t>
  </si>
  <si>
    <t>O-000045</t>
  </si>
  <si>
    <t>KA</t>
  </si>
  <si>
    <t>Mysuru</t>
  </si>
  <si>
    <t>O-000046</t>
  </si>
  <si>
    <t>O-000047</t>
  </si>
  <si>
    <t>Quebec City</t>
  </si>
  <si>
    <t>O-000048</t>
  </si>
  <si>
    <t>O-000049</t>
  </si>
  <si>
    <t xml:space="preserve"> Follow up next week</t>
  </si>
  <si>
    <t>O-000050</t>
  </si>
  <si>
    <t>O-000051</t>
  </si>
  <si>
    <t>Sakai</t>
  </si>
  <si>
    <t>O-000052</t>
  </si>
  <si>
    <t>Guadalajara</t>
  </si>
  <si>
    <t>O-000053</t>
  </si>
  <si>
    <t>Spandau</t>
  </si>
  <si>
    <t>O-000054</t>
  </si>
  <si>
    <t>O-000055</t>
  </si>
  <si>
    <t>O-000056</t>
  </si>
  <si>
    <t xml:space="preserve">  VIP account</t>
  </si>
  <si>
    <t>O-000057</t>
  </si>
  <si>
    <t>Seattle</t>
  </si>
  <si>
    <t>O-000058</t>
  </si>
  <si>
    <t>O-000059</t>
  </si>
  <si>
    <t>Niterói</t>
  </si>
  <si>
    <t>FOLLOW UP NEXT WEEK</t>
  </si>
  <si>
    <t>O-000060</t>
  </si>
  <si>
    <t>O-000061</t>
  </si>
  <si>
    <t>São Paulo</t>
  </si>
  <si>
    <t>O-000062</t>
  </si>
  <si>
    <t>O-000063</t>
  </si>
  <si>
    <t>Pioneer Systems INC</t>
  </si>
  <si>
    <t>O-000064</t>
  </si>
  <si>
    <t>Dallas</t>
  </si>
  <si>
    <t>Quality issue</t>
  </si>
  <si>
    <t>O-000065</t>
  </si>
  <si>
    <t>O-000066</t>
  </si>
  <si>
    <t>O-000067</t>
  </si>
  <si>
    <t xml:space="preserve"> Needs review  </t>
  </si>
  <si>
    <t>O-000068</t>
  </si>
  <si>
    <t>Laval</t>
  </si>
  <si>
    <t>O-000069</t>
  </si>
  <si>
    <t>O-000070</t>
  </si>
  <si>
    <t>O-000071</t>
  </si>
  <si>
    <t>Potsdam</t>
  </si>
  <si>
    <t>O-000072</t>
  </si>
  <si>
    <t xml:space="preserve">late delivery?  </t>
  </si>
  <si>
    <t>O-000073</t>
  </si>
  <si>
    <t>Everest Manufacturing INC</t>
  </si>
  <si>
    <t>Vancouver</t>
  </si>
  <si>
    <t>O-000074</t>
  </si>
  <si>
    <t>O-000075</t>
  </si>
  <si>
    <t>O-000076</t>
  </si>
  <si>
    <t>QUANTUM ENTERPRISES INC</t>
  </si>
  <si>
    <t>O-000077</t>
  </si>
  <si>
    <t>O-000078</t>
  </si>
  <si>
    <t>SCT</t>
  </si>
  <si>
    <t>Glasgow</t>
  </si>
  <si>
    <t>O-000079</t>
  </si>
  <si>
    <t>O-000080</t>
  </si>
  <si>
    <t>Saint-Étienne</t>
  </si>
  <si>
    <t>O-000081</t>
  </si>
  <si>
    <t>O-000082</t>
  </si>
  <si>
    <t>O-000083</t>
  </si>
  <si>
    <t>O-000084</t>
  </si>
  <si>
    <t>O-000085</t>
  </si>
  <si>
    <t>O-000086</t>
  </si>
  <si>
    <t>O-000087</t>
  </si>
  <si>
    <t>Edinburgh</t>
  </si>
  <si>
    <t>O-000088</t>
  </si>
  <si>
    <t>O-000089</t>
  </si>
  <si>
    <t>O-000090</t>
  </si>
  <si>
    <t>NY</t>
  </si>
  <si>
    <t>Albany</t>
  </si>
  <si>
    <t>O-000091</t>
  </si>
  <si>
    <t>O-000092</t>
  </si>
  <si>
    <t>O-000093</t>
  </si>
  <si>
    <t xml:space="preserve"> Apex Retail Corp</t>
  </si>
  <si>
    <t>O-000094</t>
  </si>
  <si>
    <t>O-000095</t>
  </si>
  <si>
    <t>O-000096</t>
  </si>
  <si>
    <t>O-000097</t>
  </si>
  <si>
    <t>O-000098</t>
  </si>
  <si>
    <t>Damaged</t>
  </si>
  <si>
    <t>O-000099</t>
  </si>
  <si>
    <t>Tlalpan</t>
  </si>
  <si>
    <t>O-000100</t>
  </si>
  <si>
    <t>O-000101</t>
  </si>
  <si>
    <t>IL</t>
  </si>
  <si>
    <t>Naperville</t>
  </si>
  <si>
    <t>O-000102</t>
  </si>
  <si>
    <t>Aberdeen</t>
  </si>
  <si>
    <t>O-000103</t>
  </si>
  <si>
    <t>O-000104</t>
  </si>
  <si>
    <t>ON</t>
  </si>
  <si>
    <t>Toronto</t>
  </si>
  <si>
    <t>O-000105</t>
  </si>
  <si>
    <t>O-000106</t>
  </si>
  <si>
    <t>DL</t>
  </si>
  <si>
    <t>New Delhi</t>
  </si>
  <si>
    <t>O-000107</t>
  </si>
  <si>
    <t>O-000108</t>
  </si>
  <si>
    <t>O-000109</t>
  </si>
  <si>
    <t xml:space="preserve">Follow up next week  </t>
  </si>
  <si>
    <t>O-000110</t>
  </si>
  <si>
    <t>O-000111</t>
  </si>
  <si>
    <t>O-000112</t>
  </si>
  <si>
    <t>O-000113</t>
  </si>
  <si>
    <t>O-000114</t>
  </si>
  <si>
    <t>O-000115</t>
  </si>
  <si>
    <t xml:space="preserve">Bright Holdings Ltd  </t>
  </si>
  <si>
    <t>O-000116</t>
  </si>
  <si>
    <t>O-000117</t>
  </si>
  <si>
    <t>O-000118</t>
  </si>
  <si>
    <t>Nuremberg</t>
  </si>
  <si>
    <t>O-000119</t>
  </si>
  <si>
    <t>O-000120</t>
  </si>
  <si>
    <t>Orchid Solutions Llc</t>
  </si>
  <si>
    <t>O-000121</t>
  </si>
  <si>
    <t xml:space="preserve"> Prime Partners Inc</t>
  </si>
  <si>
    <t>O-000122</t>
  </si>
  <si>
    <t>Late delivery</t>
  </si>
  <si>
    <t>O-000123</t>
  </si>
  <si>
    <t>O-000124</t>
  </si>
  <si>
    <t>O-000125</t>
  </si>
  <si>
    <t>O-000126</t>
  </si>
  <si>
    <t>O-000127</t>
  </si>
  <si>
    <t>O-000128</t>
  </si>
  <si>
    <t>Chicago</t>
  </si>
  <si>
    <t>Follow Up Next Week</t>
  </si>
  <si>
    <t>O-000129</t>
  </si>
  <si>
    <t xml:space="preserve"> VIP account  </t>
  </si>
  <si>
    <t>O-000130</t>
  </si>
  <si>
    <t>Nagpur</t>
  </si>
  <si>
    <t>O-000131</t>
  </si>
  <si>
    <t>O-000132</t>
  </si>
  <si>
    <t>Gurugram</t>
  </si>
  <si>
    <t>O-000133</t>
  </si>
  <si>
    <t>O-000134</t>
  </si>
  <si>
    <t>O-000135</t>
  </si>
  <si>
    <t>O-000136</t>
  </si>
  <si>
    <t>O-000137</t>
  </si>
  <si>
    <t>O-000138</t>
  </si>
  <si>
    <t xml:space="preserve">NEEDS REVIEW  </t>
  </si>
  <si>
    <t>O-000139</t>
  </si>
  <si>
    <t>Buffalo</t>
  </si>
  <si>
    <t>O-000140</t>
  </si>
  <si>
    <t>O-000141</t>
  </si>
  <si>
    <t>O-000142</t>
  </si>
  <si>
    <t>O-000143</t>
  </si>
  <si>
    <t>O-000144</t>
  </si>
  <si>
    <t>Tokyo</t>
  </si>
  <si>
    <t>O-000145</t>
  </si>
  <si>
    <t>O-000146</t>
  </si>
  <si>
    <t>Hamilton</t>
  </si>
  <si>
    <t>O-000147</t>
  </si>
  <si>
    <t>O-000148</t>
  </si>
  <si>
    <t>Noida</t>
  </si>
  <si>
    <t>O-000149</t>
  </si>
  <si>
    <t>O-000150</t>
  </si>
  <si>
    <t>O-000151</t>
  </si>
  <si>
    <t>O-000152</t>
  </si>
  <si>
    <t>Mangaluru</t>
  </si>
  <si>
    <t>CHECK DISCOUNT APPROVAL</t>
  </si>
  <si>
    <t>O-000153</t>
  </si>
  <si>
    <t>Victoria</t>
  </si>
  <si>
    <t>O-000154</t>
  </si>
  <si>
    <t>Springfield</t>
  </si>
  <si>
    <t>O-000155</t>
  </si>
  <si>
    <t xml:space="preserve">Orchid Industries Inc  </t>
  </si>
  <si>
    <t>O-000156</t>
  </si>
  <si>
    <t>O-000157</t>
  </si>
  <si>
    <t>BRIGHT GROUP CO</t>
  </si>
  <si>
    <t>Birmingham</t>
  </si>
  <si>
    <t>O-000158</t>
  </si>
  <si>
    <t>O-000159</t>
  </si>
  <si>
    <t>O-000160</t>
  </si>
  <si>
    <t>O-000161</t>
  </si>
  <si>
    <t>O-000162</t>
  </si>
  <si>
    <t>O-000163</t>
  </si>
  <si>
    <t>Sydney</t>
  </si>
  <si>
    <t>O-000164</t>
  </si>
  <si>
    <t>O-000165</t>
  </si>
  <si>
    <t>O-000166</t>
  </si>
  <si>
    <t>O-000167</t>
  </si>
  <si>
    <t>O-000168</t>
  </si>
  <si>
    <t>O-000169</t>
  </si>
  <si>
    <t>IRON ENTERPRISES CO</t>
  </si>
  <si>
    <t>O-000170</t>
  </si>
  <si>
    <t>O-000171</t>
  </si>
  <si>
    <t>O-000172</t>
  </si>
  <si>
    <t>O-000173</t>
  </si>
  <si>
    <t>Late Delivery?</t>
  </si>
  <si>
    <t>O-000174</t>
  </si>
  <si>
    <t>O-000175</t>
  </si>
  <si>
    <t>O-000176</t>
  </si>
  <si>
    <t>O-000177</t>
  </si>
  <si>
    <t>O-000178</t>
  </si>
  <si>
    <t xml:space="preserve">Needs review    </t>
  </si>
  <si>
    <t>O-000179</t>
  </si>
  <si>
    <t>O-000180</t>
  </si>
  <si>
    <t>Tlaquepaque</t>
  </si>
  <si>
    <t>O-000181</t>
  </si>
  <si>
    <t xml:space="preserve">Iron Enterprises LLC  </t>
  </si>
  <si>
    <t>O-000182</t>
  </si>
  <si>
    <t>O-000183</t>
  </si>
  <si>
    <t xml:space="preserve">Potential upsell  </t>
  </si>
  <si>
    <t>O-000184</t>
  </si>
  <si>
    <t>Wrong item</t>
  </si>
  <si>
    <t>O-000185</t>
  </si>
  <si>
    <t>Augsburg</t>
  </si>
  <si>
    <t>O-000186</t>
  </si>
  <si>
    <t>O-000187</t>
  </si>
  <si>
    <t>O-000188</t>
  </si>
  <si>
    <t>O-000189</t>
  </si>
  <si>
    <t xml:space="preserve"> Potential upsell</t>
  </si>
  <si>
    <t>O-000190</t>
  </si>
  <si>
    <t>O-000191</t>
  </si>
  <si>
    <t>O-000192</t>
  </si>
  <si>
    <t>O-000193</t>
  </si>
  <si>
    <t>O-000194</t>
  </si>
  <si>
    <t>O-000195</t>
  </si>
  <si>
    <t>O-000196</t>
  </si>
  <si>
    <t>Ottawa</t>
  </si>
  <si>
    <t>O-000197</t>
  </si>
  <si>
    <t>O-000198</t>
  </si>
  <si>
    <t>O-000199</t>
  </si>
  <si>
    <t>O-000200</t>
  </si>
  <si>
    <t>O-000201</t>
  </si>
  <si>
    <t>O-000202</t>
  </si>
  <si>
    <t>Paris</t>
  </si>
  <si>
    <t>O-000203</t>
  </si>
  <si>
    <t>O-000204</t>
  </si>
  <si>
    <t>Rio de Janeiro</t>
  </si>
  <si>
    <t>O-000205</t>
  </si>
  <si>
    <t>O-000206</t>
  </si>
  <si>
    <t>O-000207</t>
  </si>
  <si>
    <t>O-000208</t>
  </si>
  <si>
    <t>O-000209</t>
  </si>
  <si>
    <t xml:space="preserve"> Vip Account</t>
  </si>
  <si>
    <t>O-000210</t>
  </si>
  <si>
    <t>O-000211</t>
  </si>
  <si>
    <t>O-000212</t>
  </si>
  <si>
    <t>O-000213</t>
  </si>
  <si>
    <t>CA</t>
  </si>
  <si>
    <t>Los Angeles</t>
  </si>
  <si>
    <t>O-000214</t>
  </si>
  <si>
    <t>O-000215</t>
  </si>
  <si>
    <t>O-000216</t>
  </si>
  <si>
    <t>O-000217</t>
  </si>
  <si>
    <t>O-000218</t>
  </si>
  <si>
    <t>O-000219</t>
  </si>
  <si>
    <t>O-000220</t>
  </si>
  <si>
    <t>O-000221</t>
  </si>
  <si>
    <t>O-000222</t>
  </si>
  <si>
    <t>O-000223</t>
  </si>
  <si>
    <t>O-000224</t>
  </si>
  <si>
    <t>O-000225</t>
  </si>
  <si>
    <t>O-000226</t>
  </si>
  <si>
    <t>O-000227</t>
  </si>
  <si>
    <t>O-000228</t>
  </si>
  <si>
    <t>O-000229</t>
  </si>
  <si>
    <t>O-000230</t>
  </si>
  <si>
    <t>O-000231</t>
  </si>
  <si>
    <t>O-000232</t>
  </si>
  <si>
    <t>O-000233</t>
  </si>
  <si>
    <t>O-000234</t>
  </si>
  <si>
    <t>O-000235</t>
  </si>
  <si>
    <t>O-000236</t>
  </si>
  <si>
    <t>O-000237</t>
  </si>
  <si>
    <t>O-000238</t>
  </si>
  <si>
    <t>O-000239</t>
  </si>
  <si>
    <t>O-000240</t>
  </si>
  <si>
    <t>O-000241</t>
  </si>
  <si>
    <t>O-000242</t>
  </si>
  <si>
    <t>O-000243</t>
  </si>
  <si>
    <t>O-000244</t>
  </si>
  <si>
    <t>O-000245</t>
  </si>
  <si>
    <t>O-000246</t>
  </si>
  <si>
    <t>O-000247</t>
  </si>
  <si>
    <t>O-000248</t>
  </si>
  <si>
    <t>O-000249</t>
  </si>
  <si>
    <t>O-000250</t>
  </si>
  <si>
    <t>O-000251</t>
  </si>
  <si>
    <t>O-000252</t>
  </si>
  <si>
    <t>O-000253</t>
  </si>
  <si>
    <t>O-000254</t>
  </si>
  <si>
    <t>O-000255</t>
  </si>
  <si>
    <t>O-000256</t>
  </si>
  <si>
    <t>O-000257</t>
  </si>
  <si>
    <t>Customer Requested Invoice</t>
  </si>
  <si>
    <t>O-000258</t>
  </si>
  <si>
    <t>O-000259</t>
  </si>
  <si>
    <t>O-000260</t>
  </si>
  <si>
    <t>O-000261</t>
  </si>
  <si>
    <t xml:space="preserve">Cedar Industries Ltd  </t>
  </si>
  <si>
    <t>O-000262</t>
  </si>
  <si>
    <t>O-000263</t>
  </si>
  <si>
    <t>O-000264</t>
  </si>
  <si>
    <t>O-000265</t>
  </si>
  <si>
    <t>San Diego</t>
  </si>
  <si>
    <t>O-000266</t>
  </si>
  <si>
    <t>Changed mind</t>
  </si>
  <si>
    <t>O-000267</t>
  </si>
  <si>
    <t>O-000268</t>
  </si>
  <si>
    <t>O-000269</t>
  </si>
  <si>
    <t>O-000270</t>
  </si>
  <si>
    <t>O-000271</t>
  </si>
  <si>
    <t>O-000272</t>
  </si>
  <si>
    <t>O-000273</t>
  </si>
  <si>
    <t>O-000274</t>
  </si>
  <si>
    <t>O-000275</t>
  </si>
  <si>
    <t>O-000276</t>
  </si>
  <si>
    <t>O-000277</t>
  </si>
  <si>
    <t>Cobalt Systems Llc</t>
  </si>
  <si>
    <t>New York</t>
  </si>
  <si>
    <t>O-000278</t>
  </si>
  <si>
    <t>O-000279</t>
  </si>
  <si>
    <t xml:space="preserve"> late delivery?</t>
  </si>
  <si>
    <t>O-000280</t>
  </si>
  <si>
    <t>O-000281</t>
  </si>
  <si>
    <t>O-000282</t>
  </si>
  <si>
    <t>San Francisco</t>
  </si>
  <si>
    <t>O-000283</t>
  </si>
  <si>
    <t>O-000284</t>
  </si>
  <si>
    <t>O-000285</t>
  </si>
  <si>
    <t>O-000286</t>
  </si>
  <si>
    <t>O-000287</t>
  </si>
  <si>
    <t>O-000288</t>
  </si>
  <si>
    <t>POTENTIAL UPSELL</t>
  </si>
  <si>
    <t>O-000289</t>
  </si>
  <si>
    <t>O-000290</t>
  </si>
  <si>
    <t>O-000291</t>
  </si>
  <si>
    <t>O-000292</t>
  </si>
  <si>
    <t>O-000293</t>
  </si>
  <si>
    <t>O-000294</t>
  </si>
  <si>
    <t>O-000295</t>
  </si>
  <si>
    <t>O-000296</t>
  </si>
  <si>
    <t>O-000297</t>
  </si>
  <si>
    <t>O-000298</t>
  </si>
  <si>
    <t>O-000299</t>
  </si>
  <si>
    <t>O-000300</t>
  </si>
  <si>
    <t>O-000301</t>
  </si>
  <si>
    <t>O-000302</t>
  </si>
  <si>
    <t>SAGE GROUP CORP</t>
  </si>
  <si>
    <t>O-000303</t>
  </si>
  <si>
    <t>O-000304</t>
  </si>
  <si>
    <t>URGENT</t>
  </si>
  <si>
    <t>O-000305</t>
  </si>
  <si>
    <t>O-000306</t>
  </si>
  <si>
    <t>O-000307</t>
  </si>
  <si>
    <t>Potential Upsell</t>
  </si>
  <si>
    <t>O-000308</t>
  </si>
  <si>
    <t>O-000309</t>
  </si>
  <si>
    <t>O-000310</t>
  </si>
  <si>
    <t>CEDAR INDUSTRIES LTD</t>
  </si>
  <si>
    <t>O-000311</t>
  </si>
  <si>
    <t>O-000312</t>
  </si>
  <si>
    <t>O-000313</t>
  </si>
  <si>
    <t>Urgent</t>
  </si>
  <si>
    <t>O-000314</t>
  </si>
  <si>
    <t>O-000315</t>
  </si>
  <si>
    <t>O-000316</t>
  </si>
  <si>
    <t>O-000317</t>
  </si>
  <si>
    <t>O-000318</t>
  </si>
  <si>
    <t>O-000319</t>
  </si>
  <si>
    <t>O-000320</t>
  </si>
  <si>
    <t>O-000321</t>
  </si>
  <si>
    <t>O-000322</t>
  </si>
  <si>
    <t>O-000323</t>
  </si>
  <si>
    <t>O-000324</t>
  </si>
  <si>
    <t>O-000325</t>
  </si>
  <si>
    <t>O-000326</t>
  </si>
  <si>
    <t>O-000327</t>
  </si>
  <si>
    <t>O-000328</t>
  </si>
  <si>
    <t>O-000329</t>
  </si>
  <si>
    <t>O-000330</t>
  </si>
  <si>
    <t>O-000331</t>
  </si>
  <si>
    <t>O-000332</t>
  </si>
  <si>
    <t>O-000333</t>
  </si>
  <si>
    <t>O-000334</t>
  </si>
  <si>
    <t>O-000335</t>
  </si>
  <si>
    <t>O-000336</t>
  </si>
  <si>
    <t>O-000337</t>
  </si>
  <si>
    <t>O-000338</t>
  </si>
  <si>
    <t>O-000339</t>
  </si>
  <si>
    <t>O-000340</t>
  </si>
  <si>
    <t>O-000341</t>
  </si>
  <si>
    <t>O-000342</t>
  </si>
  <si>
    <t>O-000343</t>
  </si>
  <si>
    <t>GOLDEN HEALTHCARE CO</t>
  </si>
  <si>
    <t>O-000344</t>
  </si>
  <si>
    <t>O-000345</t>
  </si>
  <si>
    <t>O-000346</t>
  </si>
  <si>
    <t>O-000347</t>
  </si>
  <si>
    <t>O-000348</t>
  </si>
  <si>
    <t>O-000349</t>
  </si>
  <si>
    <t>O-000350</t>
  </si>
  <si>
    <t>O-000351</t>
  </si>
  <si>
    <t>O-000352</t>
  </si>
  <si>
    <t>O-000353</t>
  </si>
  <si>
    <t>O-000354</t>
  </si>
  <si>
    <t>O-000355</t>
  </si>
  <si>
    <t>O-000356</t>
  </si>
  <si>
    <t>O-000357</t>
  </si>
  <si>
    <t>O-000358</t>
  </si>
  <si>
    <t>O-000359</t>
  </si>
  <si>
    <t>Houston</t>
  </si>
  <si>
    <t>O-000360</t>
  </si>
  <si>
    <t>O-000361</t>
  </si>
  <si>
    <t>O-000362</t>
  </si>
  <si>
    <t>O-000363</t>
  </si>
  <si>
    <t>O-000364</t>
  </si>
  <si>
    <t>O-000365</t>
  </si>
  <si>
    <t>O-000366</t>
  </si>
  <si>
    <t>O-000367</t>
  </si>
  <si>
    <t>O-000368</t>
  </si>
  <si>
    <t>O-000369</t>
  </si>
  <si>
    <t>O-000370</t>
  </si>
  <si>
    <t>O-000371</t>
  </si>
  <si>
    <t>O-000372</t>
  </si>
  <si>
    <t>O-000373</t>
  </si>
  <si>
    <t>O-000374</t>
  </si>
  <si>
    <t>O-000375</t>
  </si>
  <si>
    <t>COBALT MANUFACTURING LTD</t>
  </si>
  <si>
    <t>O-000376</t>
  </si>
  <si>
    <t>O-000377</t>
  </si>
  <si>
    <t>GOLDEN MANUFACTURING CO</t>
  </si>
  <si>
    <t>O-000378</t>
  </si>
  <si>
    <t>O-000379</t>
  </si>
  <si>
    <t>O-000380</t>
  </si>
  <si>
    <t>O-000381</t>
  </si>
  <si>
    <t xml:space="preserve">Vertex Holdings Co  </t>
  </si>
  <si>
    <t xml:space="preserve">Needs Review  </t>
  </si>
  <si>
    <t>O-000382</t>
  </si>
  <si>
    <t>O-000383</t>
  </si>
  <si>
    <t>O-000384</t>
  </si>
  <si>
    <t>O-000385</t>
  </si>
  <si>
    <t>O-000386</t>
  </si>
  <si>
    <t>O-000387</t>
  </si>
  <si>
    <t>O-000388</t>
  </si>
  <si>
    <t>O-000389</t>
  </si>
  <si>
    <t>O-000390</t>
  </si>
  <si>
    <t>O-000391</t>
  </si>
  <si>
    <t>O-000392</t>
  </si>
  <si>
    <t>O-000393</t>
  </si>
  <si>
    <t xml:space="preserve"> Summit Healthcare Ltd</t>
  </si>
  <si>
    <t>O-000394</t>
  </si>
  <si>
    <t>O-000395</t>
  </si>
  <si>
    <t>O-000396</t>
  </si>
  <si>
    <t>O-000397</t>
  </si>
  <si>
    <t>O-000398</t>
  </si>
  <si>
    <t>O-000399</t>
  </si>
  <si>
    <t>Bundle Deal</t>
  </si>
  <si>
    <t>O-000400</t>
  </si>
  <si>
    <t>O-000401</t>
  </si>
  <si>
    <t>O-000402</t>
  </si>
  <si>
    <t>O-000403</t>
  </si>
  <si>
    <t>O-000404</t>
  </si>
  <si>
    <t>O-000405</t>
  </si>
  <si>
    <t>O-000406</t>
  </si>
  <si>
    <t xml:space="preserve">Everest Logistics Co  </t>
  </si>
  <si>
    <t>O-000407</t>
  </si>
  <si>
    <t>O-000408</t>
  </si>
  <si>
    <t>O-000409</t>
  </si>
  <si>
    <t>O-000410</t>
  </si>
  <si>
    <t>O-000411</t>
  </si>
  <si>
    <t>O-000412</t>
  </si>
  <si>
    <t>O-000413</t>
  </si>
  <si>
    <t>NIMBUS DYNAMICS CORP</t>
  </si>
  <si>
    <t>O-000414</t>
  </si>
  <si>
    <t>O-000415</t>
  </si>
  <si>
    <t>O-000416</t>
  </si>
  <si>
    <t>RAPID TECH LTD</t>
  </si>
  <si>
    <t>Spokane</t>
  </si>
  <si>
    <t>O-000417</t>
  </si>
  <si>
    <t>O-000418</t>
  </si>
  <si>
    <t>O-000419</t>
  </si>
  <si>
    <t>O-000420</t>
  </si>
  <si>
    <t>O-000421</t>
  </si>
  <si>
    <t>O-000422</t>
  </si>
  <si>
    <t>O-000423</t>
  </si>
  <si>
    <t>O-000424</t>
  </si>
  <si>
    <t>O-000425</t>
  </si>
  <si>
    <t xml:space="preserve">Orchid Dynamics LLC  </t>
  </si>
  <si>
    <t>O-000426</t>
  </si>
  <si>
    <t>O-000427</t>
  </si>
  <si>
    <t>O-000428</t>
  </si>
  <si>
    <t xml:space="preserve">Customer requested invoice  </t>
  </si>
  <si>
    <t>O-000429</t>
  </si>
  <si>
    <t>O-000430</t>
  </si>
  <si>
    <t>O-000431</t>
  </si>
  <si>
    <t>Bengaluru</t>
  </si>
  <si>
    <t>O-000432</t>
  </si>
  <si>
    <t>O-000433</t>
  </si>
  <si>
    <t>O-000434</t>
  </si>
  <si>
    <t>O-000435</t>
  </si>
  <si>
    <t>O-000436</t>
  </si>
  <si>
    <t>O-000437</t>
  </si>
  <si>
    <t>O-000438</t>
  </si>
  <si>
    <t>O-000439</t>
  </si>
  <si>
    <t>O-000440</t>
  </si>
  <si>
    <t>O-000441</t>
  </si>
  <si>
    <t>O-000442</t>
  </si>
  <si>
    <t>O-000443</t>
  </si>
  <si>
    <t>O-000444</t>
  </si>
  <si>
    <t>O-000445</t>
  </si>
  <si>
    <t>O-000446</t>
  </si>
  <si>
    <t>O-000447</t>
  </si>
  <si>
    <t>O-000448</t>
  </si>
  <si>
    <t>O-000449</t>
  </si>
  <si>
    <t>O-000450</t>
  </si>
  <si>
    <t>O-000451</t>
  </si>
  <si>
    <t>O-000452</t>
  </si>
  <si>
    <t>O-000453</t>
  </si>
  <si>
    <t>O-000454</t>
  </si>
  <si>
    <t>O-000455</t>
  </si>
  <si>
    <t>O-000456</t>
  </si>
  <si>
    <t>O-000457</t>
  </si>
  <si>
    <t>O-000458</t>
  </si>
  <si>
    <t>O-000459</t>
  </si>
  <si>
    <t>O-000460</t>
  </si>
  <si>
    <t>O-000461</t>
  </si>
  <si>
    <t>O-000462</t>
  </si>
  <si>
    <t>O-000463</t>
  </si>
  <si>
    <t>O-000464</t>
  </si>
  <si>
    <t>O-000465</t>
  </si>
  <si>
    <t>O-000466</t>
  </si>
  <si>
    <t xml:space="preserve">Silver Dynamics Co  </t>
  </si>
  <si>
    <t>O-000467</t>
  </si>
  <si>
    <t>O-000468</t>
  </si>
  <si>
    <t>O-000469</t>
  </si>
  <si>
    <t>O-000470</t>
  </si>
  <si>
    <t>O-000471</t>
  </si>
  <si>
    <t>O-000472</t>
  </si>
  <si>
    <t>O-000473</t>
  </si>
  <si>
    <t>O-000474</t>
  </si>
  <si>
    <t>O-000475</t>
  </si>
  <si>
    <t>O-000476</t>
  </si>
  <si>
    <t>O-000477</t>
  </si>
  <si>
    <t>Check Discount Approval</t>
  </si>
  <si>
    <t>O-000478</t>
  </si>
  <si>
    <t>O-000479</t>
  </si>
  <si>
    <t>O-000480</t>
  </si>
  <si>
    <t>O-000481</t>
  </si>
  <si>
    <t>O-000482</t>
  </si>
  <si>
    <t>O-000483</t>
  </si>
  <si>
    <t>O-000484</t>
  </si>
  <si>
    <t>GREEN PARTNERS INC</t>
  </si>
  <si>
    <t>O-000485</t>
  </si>
  <si>
    <t>O-000486</t>
  </si>
  <si>
    <t>O-000487</t>
  </si>
  <si>
    <t>O-000488</t>
  </si>
  <si>
    <t>O-000489</t>
  </si>
  <si>
    <t>O-000490</t>
  </si>
  <si>
    <t>O-000491</t>
  </si>
  <si>
    <t>O-000492</t>
  </si>
  <si>
    <t>O-000493</t>
  </si>
  <si>
    <t>O-000494</t>
  </si>
  <si>
    <t>O-000495</t>
  </si>
  <si>
    <t>O-000496</t>
  </si>
  <si>
    <t>O-000497</t>
  </si>
  <si>
    <t>O-000498</t>
  </si>
  <si>
    <t>O-000499</t>
  </si>
  <si>
    <t>O-000500</t>
  </si>
  <si>
    <t>O-000501</t>
  </si>
  <si>
    <t xml:space="preserve"> Iron Enterprises LLC</t>
  </si>
  <si>
    <t>O-000502</t>
  </si>
  <si>
    <t>O-000503</t>
  </si>
  <si>
    <t>O-000504</t>
  </si>
  <si>
    <t>O-000505</t>
  </si>
  <si>
    <t>O-000506</t>
  </si>
  <si>
    <t xml:space="preserve"> VIP ACCOUNT</t>
  </si>
  <si>
    <t>O-000507</t>
  </si>
  <si>
    <t>O-000508</t>
  </si>
  <si>
    <t>O-000509</t>
  </si>
  <si>
    <t>O-000510</t>
  </si>
  <si>
    <t>O-000511</t>
  </si>
  <si>
    <t>O-000512</t>
  </si>
  <si>
    <t>O-000513</t>
  </si>
  <si>
    <t>O-000514</t>
  </si>
  <si>
    <t>O-000515</t>
  </si>
  <si>
    <t>O-000516</t>
  </si>
  <si>
    <t>O-000517</t>
  </si>
  <si>
    <t>O-000518</t>
  </si>
  <si>
    <t>O-000519</t>
  </si>
  <si>
    <t>O-000520</t>
  </si>
  <si>
    <t>O-000521</t>
  </si>
  <si>
    <t>O-000522</t>
  </si>
  <si>
    <t>O-000523</t>
  </si>
  <si>
    <t>O-000524</t>
  </si>
  <si>
    <t>O-000525</t>
  </si>
  <si>
    <t>O-000526</t>
  </si>
  <si>
    <t>O-000527</t>
  </si>
  <si>
    <t>O-000528</t>
  </si>
  <si>
    <t>O-000529</t>
  </si>
  <si>
    <t>O-000530</t>
  </si>
  <si>
    <t>O-000531</t>
  </si>
  <si>
    <t>O-000532</t>
  </si>
  <si>
    <t>O-000533</t>
  </si>
  <si>
    <t>O-000534</t>
  </si>
  <si>
    <t>O-000535</t>
  </si>
  <si>
    <t>O-000536</t>
  </si>
  <si>
    <t>O-000537</t>
  </si>
  <si>
    <t>O-000538</t>
  </si>
  <si>
    <t>O-000539</t>
  </si>
  <si>
    <t>O-000540</t>
  </si>
  <si>
    <t>O-000541</t>
  </si>
  <si>
    <t>O-000542</t>
  </si>
  <si>
    <t>O-000543</t>
  </si>
  <si>
    <t>O-000544</t>
  </si>
  <si>
    <t>O-000545</t>
  </si>
  <si>
    <t>O-000546</t>
  </si>
  <si>
    <t>O-000547</t>
  </si>
  <si>
    <t>O-000548</t>
  </si>
  <si>
    <t>O-000549</t>
  </si>
  <si>
    <t>O-000550</t>
  </si>
  <si>
    <t>O-000551</t>
  </si>
  <si>
    <t>O-000552</t>
  </si>
  <si>
    <t>O-000553</t>
  </si>
  <si>
    <t>O-000554</t>
  </si>
  <si>
    <t>O-000555</t>
  </si>
  <si>
    <t>O-000556</t>
  </si>
  <si>
    <t>O-000557</t>
  </si>
  <si>
    <t>O-000558</t>
  </si>
  <si>
    <t>O-000559</t>
  </si>
  <si>
    <t>O-000560</t>
  </si>
  <si>
    <t>O-000561</t>
  </si>
  <si>
    <t>BLUE HEALTHCARE INC</t>
  </si>
  <si>
    <t>O-000562</t>
  </si>
  <si>
    <t>O-000563</t>
  </si>
  <si>
    <t>O-000564</t>
  </si>
  <si>
    <t>O-000565</t>
  </si>
  <si>
    <t>O-000566</t>
  </si>
  <si>
    <t>O-000567</t>
  </si>
  <si>
    <t>O-000568</t>
  </si>
  <si>
    <t>O-000569</t>
  </si>
  <si>
    <t>O-000570</t>
  </si>
  <si>
    <t>O-000571</t>
  </si>
  <si>
    <t>O-000572</t>
  </si>
  <si>
    <t>O-000573</t>
  </si>
  <si>
    <t>O-000574</t>
  </si>
  <si>
    <t>O-000575</t>
  </si>
  <si>
    <t>O-000576</t>
  </si>
  <si>
    <t>O-000577</t>
  </si>
  <si>
    <t>O-000578</t>
  </si>
  <si>
    <t>O-000579</t>
  </si>
  <si>
    <t>O-000580</t>
  </si>
  <si>
    <t>O-000581</t>
  </si>
  <si>
    <t>O-000582</t>
  </si>
  <si>
    <t>O-000583</t>
  </si>
  <si>
    <t xml:space="preserve"> Vertex Healthcare Inc</t>
  </si>
  <si>
    <t>O-000584</t>
  </si>
  <si>
    <t>EVEREST ANALYTICS LLC</t>
  </si>
  <si>
    <t>O-000585</t>
  </si>
  <si>
    <t>O-000586</t>
  </si>
  <si>
    <t>O-000587</t>
  </si>
  <si>
    <t>O-000588</t>
  </si>
  <si>
    <t>O-000589</t>
  </si>
  <si>
    <t>O-000590</t>
  </si>
  <si>
    <t>O-000591</t>
  </si>
  <si>
    <t>O-000592</t>
  </si>
  <si>
    <t>O-000593</t>
  </si>
  <si>
    <t>O-000594</t>
  </si>
  <si>
    <t>O-000595</t>
  </si>
  <si>
    <t>O-000596</t>
  </si>
  <si>
    <t>O-000597</t>
  </si>
  <si>
    <t>O-000598</t>
  </si>
  <si>
    <t>O-000599</t>
  </si>
  <si>
    <t>O-000600</t>
  </si>
  <si>
    <t>O-000601</t>
  </si>
  <si>
    <t>O-000602</t>
  </si>
  <si>
    <t>O-000603</t>
  </si>
  <si>
    <t>O-000604</t>
  </si>
  <si>
    <t>O-000605</t>
  </si>
  <si>
    <t>O-000606</t>
  </si>
  <si>
    <t>O-000607</t>
  </si>
  <si>
    <t>O-000608</t>
  </si>
  <si>
    <t>O-000609</t>
  </si>
  <si>
    <t>O-000610</t>
  </si>
  <si>
    <t>O-000611</t>
  </si>
  <si>
    <t>O-000612</t>
  </si>
  <si>
    <t>O-000613</t>
  </si>
  <si>
    <t>O-000614</t>
  </si>
  <si>
    <t>O-000615</t>
  </si>
  <si>
    <t>O-000616</t>
  </si>
  <si>
    <t>O-000617</t>
  </si>
  <si>
    <t>O-000618</t>
  </si>
  <si>
    <t xml:space="preserve"> Cobalt Holdings Corp</t>
  </si>
  <si>
    <t>O-000619</t>
  </si>
  <si>
    <t>O-000620</t>
  </si>
  <si>
    <t>O-000621</t>
  </si>
  <si>
    <t>O-000622</t>
  </si>
  <si>
    <t>O-000623</t>
  </si>
  <si>
    <t xml:space="preserve">Prime Labs Co  </t>
  </si>
  <si>
    <t>O-000624</t>
  </si>
  <si>
    <t>O-000625</t>
  </si>
  <si>
    <t>O-000626</t>
  </si>
  <si>
    <t>O-000627</t>
  </si>
  <si>
    <t>BUNDLE DEAL</t>
  </si>
  <si>
    <t>O-000628</t>
  </si>
  <si>
    <t>O-000629</t>
  </si>
  <si>
    <t>O-000630</t>
  </si>
  <si>
    <t>O-000631</t>
  </si>
  <si>
    <t>O-000632</t>
  </si>
  <si>
    <t>O-000633</t>
  </si>
  <si>
    <t>O-000634</t>
  </si>
  <si>
    <t>O-000635</t>
  </si>
  <si>
    <t>O-000636</t>
  </si>
  <si>
    <t>O-000637</t>
  </si>
  <si>
    <t>O-000638</t>
  </si>
  <si>
    <t>O-000639</t>
  </si>
  <si>
    <t>O-000640</t>
  </si>
  <si>
    <t>O-000641</t>
  </si>
  <si>
    <t>O-000642</t>
  </si>
  <si>
    <t>O-000643</t>
  </si>
  <si>
    <t>O-000644</t>
  </si>
  <si>
    <t>O-000645</t>
  </si>
  <si>
    <t xml:space="preserve">Vertex Logistics Corp  </t>
  </si>
  <si>
    <t>O-000646</t>
  </si>
  <si>
    <t>O-000647</t>
  </si>
  <si>
    <t>O-000648</t>
  </si>
  <si>
    <t>O-000649</t>
  </si>
  <si>
    <t>O-000650</t>
  </si>
  <si>
    <t>O-000651</t>
  </si>
  <si>
    <t>O-000652</t>
  </si>
  <si>
    <t>O-000653</t>
  </si>
  <si>
    <t>O-000654</t>
  </si>
  <si>
    <t>O-000655</t>
  </si>
  <si>
    <t>O-000656</t>
  </si>
  <si>
    <t>O-000657</t>
  </si>
  <si>
    <t>O-000658</t>
  </si>
  <si>
    <t>O-000659</t>
  </si>
  <si>
    <t>O-000660</t>
  </si>
  <si>
    <t>O-000661</t>
  </si>
  <si>
    <t>O-000662</t>
  </si>
  <si>
    <t>O-000663</t>
  </si>
  <si>
    <t>O-000664</t>
  </si>
  <si>
    <t>O-000665</t>
  </si>
  <si>
    <t>O-000666</t>
  </si>
  <si>
    <t>O-000667</t>
  </si>
  <si>
    <t>O-000668</t>
  </si>
  <si>
    <t>O-000669</t>
  </si>
  <si>
    <t>O-000670</t>
  </si>
  <si>
    <t>O-000671</t>
  </si>
  <si>
    <t>O-000672</t>
  </si>
  <si>
    <t>O-000673</t>
  </si>
  <si>
    <t>O-000674</t>
  </si>
  <si>
    <t>O-000675</t>
  </si>
  <si>
    <t>O-000676</t>
  </si>
  <si>
    <t>O-000677</t>
  </si>
  <si>
    <t>O-000678</t>
  </si>
  <si>
    <t>O-000679</t>
  </si>
  <si>
    <t>O-000680</t>
  </si>
  <si>
    <t>O-000681</t>
  </si>
  <si>
    <t xml:space="preserve">Apex Solutions LLC  </t>
  </si>
  <si>
    <t>O-000682</t>
  </si>
  <si>
    <t>O-000683</t>
  </si>
  <si>
    <t xml:space="preserve">Sage Group Corp  </t>
  </si>
  <si>
    <t>O-000684</t>
  </si>
  <si>
    <t>O-000685</t>
  </si>
  <si>
    <t>O-000686</t>
  </si>
  <si>
    <t>O-000687</t>
  </si>
  <si>
    <t>O-000688</t>
  </si>
  <si>
    <t>O-000689</t>
  </si>
  <si>
    <t>O-000690</t>
  </si>
  <si>
    <t>O-000691</t>
  </si>
  <si>
    <t>O-000692</t>
  </si>
  <si>
    <t>O-000693</t>
  </si>
  <si>
    <t>O-000694</t>
  </si>
  <si>
    <t>O-000695</t>
  </si>
  <si>
    <t>O-000696</t>
  </si>
  <si>
    <t>O-000697</t>
  </si>
  <si>
    <t>O-000698</t>
  </si>
  <si>
    <t>O-000699</t>
  </si>
  <si>
    <t>O-000700</t>
  </si>
  <si>
    <t>O-000701</t>
  </si>
  <si>
    <t>O-000702</t>
  </si>
  <si>
    <t>O-000703</t>
  </si>
  <si>
    <t>O-000704</t>
  </si>
  <si>
    <t>O-000705</t>
  </si>
  <si>
    <t>O-000706</t>
  </si>
  <si>
    <t>O-000707</t>
  </si>
  <si>
    <t>O-000708</t>
  </si>
  <si>
    <t xml:space="preserve"> Cobalt Healthcare Ltd</t>
  </si>
  <si>
    <t>O-000709</t>
  </si>
  <si>
    <t>O-000710</t>
  </si>
  <si>
    <t>O-000711</t>
  </si>
  <si>
    <t>O-000712</t>
  </si>
  <si>
    <t>O-000713</t>
  </si>
  <si>
    <t>O-000714</t>
  </si>
  <si>
    <t>O-000715</t>
  </si>
  <si>
    <t>O-000716</t>
  </si>
  <si>
    <t>O-000717</t>
  </si>
  <si>
    <t xml:space="preserve"> Quantum Healthcare Co</t>
  </si>
  <si>
    <t>O-000718</t>
  </si>
  <si>
    <t>BRIGHT LOGISTICS LTD</t>
  </si>
  <si>
    <t>O-000719</t>
  </si>
  <si>
    <t>O-000720</t>
  </si>
  <si>
    <t>O-000721</t>
  </si>
  <si>
    <t xml:space="preserve"> Everest Healthcare Corp</t>
  </si>
  <si>
    <t>O-000722</t>
  </si>
  <si>
    <t>O-000723</t>
  </si>
  <si>
    <t>O-000724</t>
  </si>
  <si>
    <t xml:space="preserve">Rapid Healthcare Ltd  </t>
  </si>
  <si>
    <t>O-000725</t>
  </si>
  <si>
    <t>O-000726</t>
  </si>
  <si>
    <t>O-000727</t>
  </si>
  <si>
    <t>O-000728</t>
  </si>
  <si>
    <t>O-000729</t>
  </si>
  <si>
    <t>O-000730</t>
  </si>
  <si>
    <t>O-000731</t>
  </si>
  <si>
    <t>O-000732</t>
  </si>
  <si>
    <t>O-000733</t>
  </si>
  <si>
    <t>O-000734</t>
  </si>
  <si>
    <t>O-000735</t>
  </si>
  <si>
    <t>O-000736</t>
  </si>
  <si>
    <t>O-000737</t>
  </si>
  <si>
    <t>O-000738</t>
  </si>
  <si>
    <t>O-000739</t>
  </si>
  <si>
    <t xml:space="preserve"> Cobalt Partners Corp</t>
  </si>
  <si>
    <t>O-000740</t>
  </si>
  <si>
    <t>O-000741</t>
  </si>
  <si>
    <t>O-000742</t>
  </si>
  <si>
    <t>O-000743</t>
  </si>
  <si>
    <t>O-000744</t>
  </si>
  <si>
    <t>O-000745</t>
  </si>
  <si>
    <t>O-000746</t>
  </si>
  <si>
    <t>O-000747</t>
  </si>
  <si>
    <t>O-000748</t>
  </si>
  <si>
    <t>O-000749</t>
  </si>
  <si>
    <t>O-000750</t>
  </si>
  <si>
    <t>O-000751</t>
  </si>
  <si>
    <t>O-000752</t>
  </si>
  <si>
    <t xml:space="preserve"> Nimbus Solutions Inc</t>
  </si>
  <si>
    <t>O-000753</t>
  </si>
  <si>
    <t xml:space="preserve">Apex Logistics Ltd  </t>
  </si>
  <si>
    <t>O-000754</t>
  </si>
  <si>
    <t xml:space="preserve">Check discount approval  </t>
  </si>
  <si>
    <t>O-000755</t>
  </si>
  <si>
    <t>O-000756</t>
  </si>
  <si>
    <t>O-000757</t>
  </si>
  <si>
    <t>O-000758</t>
  </si>
  <si>
    <t>O-000759</t>
  </si>
  <si>
    <t>O-000760</t>
  </si>
  <si>
    <t>O-000761</t>
  </si>
  <si>
    <t>O-000762</t>
  </si>
  <si>
    <t>O-000763</t>
  </si>
  <si>
    <t>O-000764</t>
  </si>
  <si>
    <t>O-000765</t>
  </si>
  <si>
    <t>O-000766</t>
  </si>
  <si>
    <t>O-000767</t>
  </si>
  <si>
    <t>O-000768</t>
  </si>
  <si>
    <t>O-000769</t>
  </si>
  <si>
    <t>O-000770</t>
  </si>
  <si>
    <t>O-000771</t>
  </si>
  <si>
    <t>O-000772</t>
  </si>
  <si>
    <t>O-000773</t>
  </si>
  <si>
    <t>O-000774</t>
  </si>
  <si>
    <t>O-000775</t>
  </si>
  <si>
    <t>Vertex Enterprises Llc</t>
  </si>
  <si>
    <t>O-000776</t>
  </si>
  <si>
    <t>O-000777</t>
  </si>
  <si>
    <t>O-000778</t>
  </si>
  <si>
    <t>O-000779</t>
  </si>
  <si>
    <t>O-000780</t>
  </si>
  <si>
    <t>O-000781</t>
  </si>
  <si>
    <t>O-000782</t>
  </si>
  <si>
    <t>O-000783</t>
  </si>
  <si>
    <t>O-000784</t>
  </si>
  <si>
    <t>O-000785</t>
  </si>
  <si>
    <t>O-000786</t>
  </si>
  <si>
    <t>O-000787</t>
  </si>
  <si>
    <t>O-000788</t>
  </si>
  <si>
    <t xml:space="preserve"> Check discount approval</t>
  </si>
  <si>
    <t>O-000789</t>
  </si>
  <si>
    <t>GOLDEN SOLUTIONS LLC</t>
  </si>
  <si>
    <t>O-000790</t>
  </si>
  <si>
    <t>O-000791</t>
  </si>
  <si>
    <t>O-000792</t>
  </si>
  <si>
    <t>O-000793</t>
  </si>
  <si>
    <t>O-000794</t>
  </si>
  <si>
    <t>NORTH SOLUTIONS CO</t>
  </si>
  <si>
    <t>O-000795</t>
  </si>
  <si>
    <t>O-000796</t>
  </si>
  <si>
    <t>O-000797</t>
  </si>
  <si>
    <t>O-000798</t>
  </si>
  <si>
    <t>O-000799</t>
  </si>
  <si>
    <t>O-000800</t>
  </si>
  <si>
    <t>O-000801</t>
  </si>
  <si>
    <t>O-000802</t>
  </si>
  <si>
    <t>O-000803</t>
  </si>
  <si>
    <t>O-000804</t>
  </si>
  <si>
    <t>O-000805</t>
  </si>
  <si>
    <t>O-000806</t>
  </si>
  <si>
    <t>O-000807</t>
  </si>
  <si>
    <t>O-000808</t>
  </si>
  <si>
    <t>O-000809</t>
  </si>
  <si>
    <t>O-000810</t>
  </si>
  <si>
    <t>O-000811</t>
  </si>
  <si>
    <t>O-000812</t>
  </si>
  <si>
    <t>O-000813</t>
  </si>
  <si>
    <t>O-000814</t>
  </si>
  <si>
    <t>O-000815</t>
  </si>
  <si>
    <t>O-000816</t>
  </si>
  <si>
    <t>O-000817</t>
  </si>
  <si>
    <t>O-000818</t>
  </si>
  <si>
    <t>O-000819</t>
  </si>
  <si>
    <t>O-000820</t>
  </si>
  <si>
    <t>O-000821</t>
  </si>
  <si>
    <t>O-000822</t>
  </si>
  <si>
    <t>O-000823</t>
  </si>
  <si>
    <t>O-000824</t>
  </si>
  <si>
    <t>O-000825</t>
  </si>
  <si>
    <t>O-000826</t>
  </si>
  <si>
    <t>O-000827</t>
  </si>
  <si>
    <t>O-000828</t>
  </si>
  <si>
    <t>O-000829</t>
  </si>
  <si>
    <t xml:space="preserve">Apex Enterprises LLC  </t>
  </si>
  <si>
    <t>O-000830</t>
  </si>
  <si>
    <t>O-000831</t>
  </si>
  <si>
    <t>O-000832</t>
  </si>
  <si>
    <t>O-000833</t>
  </si>
  <si>
    <t>O-000834</t>
  </si>
  <si>
    <t>O-000835</t>
  </si>
  <si>
    <t>O-000836</t>
  </si>
  <si>
    <t>O-000837</t>
  </si>
  <si>
    <t>O-000838</t>
  </si>
  <si>
    <t>O-000839</t>
  </si>
  <si>
    <t>O-000840</t>
  </si>
  <si>
    <t>O-000841</t>
  </si>
  <si>
    <t>O-000842</t>
  </si>
  <si>
    <t>SUMMIT ENTERPRISES CO</t>
  </si>
  <si>
    <t>O-000843</t>
  </si>
  <si>
    <t>O-000844</t>
  </si>
  <si>
    <t>O-000845</t>
  </si>
  <si>
    <t>O-000846</t>
  </si>
  <si>
    <t>O-000847</t>
  </si>
  <si>
    <t>O-000848</t>
  </si>
  <si>
    <t>NORTH LABS INC</t>
  </si>
  <si>
    <t>O-000849</t>
  </si>
  <si>
    <t>O-000850</t>
  </si>
  <si>
    <t>PIONEER HOLDINGS INC</t>
  </si>
  <si>
    <t>O-000851</t>
  </si>
  <si>
    <t>Golden Analytics Llc</t>
  </si>
  <si>
    <t>O-000852</t>
  </si>
  <si>
    <t>O-000853</t>
  </si>
  <si>
    <t>O-000854</t>
  </si>
  <si>
    <t>O-000855</t>
  </si>
  <si>
    <t>O-000856</t>
  </si>
  <si>
    <t>O-000857</t>
  </si>
  <si>
    <t>O-000858</t>
  </si>
  <si>
    <t>O-000859</t>
  </si>
  <si>
    <t>O-000860</t>
  </si>
  <si>
    <t xml:space="preserve">Blue Tech Ltd  </t>
  </si>
  <si>
    <t>O-000861</t>
  </si>
  <si>
    <t>O-000862</t>
  </si>
  <si>
    <t>O-000863</t>
  </si>
  <si>
    <t>O-000864</t>
  </si>
  <si>
    <t>O-000865</t>
  </si>
  <si>
    <t>O-000866</t>
  </si>
  <si>
    <t>O-000867</t>
  </si>
  <si>
    <t>O-000868</t>
  </si>
  <si>
    <t>O-000869</t>
  </si>
  <si>
    <t>O-000870</t>
  </si>
  <si>
    <t>O-000871</t>
  </si>
  <si>
    <t>O-000872</t>
  </si>
  <si>
    <t>O-000873</t>
  </si>
  <si>
    <t>O-000874</t>
  </si>
  <si>
    <t>O-000875</t>
  </si>
  <si>
    <t>O-000876</t>
  </si>
  <si>
    <t>O-000877</t>
  </si>
  <si>
    <t>O-000878</t>
  </si>
  <si>
    <t>O-000879</t>
  </si>
  <si>
    <t>O-000880</t>
  </si>
  <si>
    <t>O-000881</t>
  </si>
  <si>
    <t>O-000882</t>
  </si>
  <si>
    <t>O-000883</t>
  </si>
  <si>
    <t>O-000884</t>
  </si>
  <si>
    <t>O-000885</t>
  </si>
  <si>
    <t>O-000886</t>
  </si>
  <si>
    <t>O-000887</t>
  </si>
  <si>
    <t>O-000888</t>
  </si>
  <si>
    <t>O-000889</t>
  </si>
  <si>
    <t>O-000890</t>
  </si>
  <si>
    <t>O-000891</t>
  </si>
  <si>
    <t>O-000892</t>
  </si>
  <si>
    <t>O-000893</t>
  </si>
  <si>
    <t>O-000894</t>
  </si>
  <si>
    <t>O-000895</t>
  </si>
  <si>
    <t xml:space="preserve"> Rapid Dynamics Co</t>
  </si>
  <si>
    <t>O-000896</t>
  </si>
  <si>
    <t>O-000897</t>
  </si>
  <si>
    <t>O-000898</t>
  </si>
  <si>
    <t>O-000899</t>
  </si>
  <si>
    <t>O-000900</t>
  </si>
  <si>
    <t>O-000901</t>
  </si>
  <si>
    <t>O-000902</t>
  </si>
  <si>
    <t>O-000903</t>
  </si>
  <si>
    <t>O-000904</t>
  </si>
  <si>
    <t>O-000905</t>
  </si>
  <si>
    <t>O-000906</t>
  </si>
  <si>
    <t>O-000907</t>
  </si>
  <si>
    <t>O-000908</t>
  </si>
  <si>
    <t>O-000909</t>
  </si>
  <si>
    <t>CEDAR SOLUTIONS INC</t>
  </si>
  <si>
    <t>O-000910</t>
  </si>
  <si>
    <t>O-000911</t>
  </si>
  <si>
    <t>O-000912</t>
  </si>
  <si>
    <t>O-000913</t>
  </si>
  <si>
    <t>O-000914</t>
  </si>
  <si>
    <t>O-000915</t>
  </si>
  <si>
    <t>O-000916</t>
  </si>
  <si>
    <t>O-000917</t>
  </si>
  <si>
    <t>O-000918</t>
  </si>
  <si>
    <t>O-000919</t>
  </si>
  <si>
    <t>O-000920</t>
  </si>
  <si>
    <t>O-000921</t>
  </si>
  <si>
    <t>O-000922</t>
  </si>
  <si>
    <t xml:space="preserve">Blue Healthcare Ltd  </t>
  </si>
  <si>
    <t>O-000923</t>
  </si>
  <si>
    <t>O-000924</t>
  </si>
  <si>
    <t>O-000925</t>
  </si>
  <si>
    <t>O-000926</t>
  </si>
  <si>
    <t>O-000927</t>
  </si>
  <si>
    <t>O-000928</t>
  </si>
  <si>
    <t>Nimbus Partners Llc</t>
  </si>
  <si>
    <t>O-000929</t>
  </si>
  <si>
    <t>O-000930</t>
  </si>
  <si>
    <t>O-000931</t>
  </si>
  <si>
    <t>O-000932</t>
  </si>
  <si>
    <t>O-000933</t>
  </si>
  <si>
    <t>O-000934</t>
  </si>
  <si>
    <t>O-000935</t>
  </si>
  <si>
    <t>O-000936</t>
  </si>
  <si>
    <t>O-000937</t>
  </si>
  <si>
    <t>O-000938</t>
  </si>
  <si>
    <t>O-000939</t>
  </si>
  <si>
    <t>O-000940</t>
  </si>
  <si>
    <t>O-000941</t>
  </si>
  <si>
    <t>O-000942</t>
  </si>
  <si>
    <t xml:space="preserve"> Quantum Partners Ltd</t>
  </si>
  <si>
    <t>O-000943</t>
  </si>
  <si>
    <t>O-000944</t>
  </si>
  <si>
    <t>O-000945</t>
  </si>
  <si>
    <t>QUANTUM LABS LLC</t>
  </si>
  <si>
    <t>O-000946</t>
  </si>
  <si>
    <t>O-000947</t>
  </si>
  <si>
    <t>O-000948</t>
  </si>
  <si>
    <t>O-000949</t>
  </si>
  <si>
    <t>O-000950</t>
  </si>
  <si>
    <t>O-000951</t>
  </si>
  <si>
    <t>Pioneer Holdings INC</t>
  </si>
  <si>
    <t>O-000952</t>
  </si>
  <si>
    <t>O-000953</t>
  </si>
  <si>
    <t>O-000954</t>
  </si>
  <si>
    <t>O-000955</t>
  </si>
  <si>
    <t>O-000956</t>
  </si>
  <si>
    <t>O-000957</t>
  </si>
  <si>
    <t>O-000958</t>
  </si>
  <si>
    <t>O-000959</t>
  </si>
  <si>
    <t>O-000960</t>
  </si>
  <si>
    <t>O-000961</t>
  </si>
  <si>
    <t>O-000962</t>
  </si>
  <si>
    <t>O-000963</t>
  </si>
  <si>
    <t>O-000964</t>
  </si>
  <si>
    <t>ORCHID SOLUTIONS CO</t>
  </si>
  <si>
    <t>O-000965</t>
  </si>
  <si>
    <t>O-000966</t>
  </si>
  <si>
    <t>O-000967</t>
  </si>
  <si>
    <t>O-000968</t>
  </si>
  <si>
    <t>O-000969</t>
  </si>
  <si>
    <t>O-000970</t>
  </si>
  <si>
    <t>O-000971</t>
  </si>
  <si>
    <t>O-000972</t>
  </si>
  <si>
    <t>O-000973</t>
  </si>
  <si>
    <t>O-000974</t>
  </si>
  <si>
    <t>O-000975</t>
  </si>
  <si>
    <t>O-000976</t>
  </si>
  <si>
    <t>O-000977</t>
  </si>
  <si>
    <t>O-000978</t>
  </si>
  <si>
    <t>O-000979</t>
  </si>
  <si>
    <t>O-000980</t>
  </si>
  <si>
    <t>O-000981</t>
  </si>
  <si>
    <t>O-000982</t>
  </si>
  <si>
    <t xml:space="preserve"> Iron Logistics Inc</t>
  </si>
  <si>
    <t>O-000983</t>
  </si>
  <si>
    <t>O-000984</t>
  </si>
  <si>
    <t>O-000985</t>
  </si>
  <si>
    <t>O-000986</t>
  </si>
  <si>
    <t>O-000987</t>
  </si>
  <si>
    <t>O-000988</t>
  </si>
  <si>
    <t>O-000989</t>
  </si>
  <si>
    <t>O-000990</t>
  </si>
  <si>
    <t>O-000991</t>
  </si>
  <si>
    <t>O-000992</t>
  </si>
  <si>
    <t>O-000993</t>
  </si>
  <si>
    <t>O-000994</t>
  </si>
  <si>
    <t>O-000995</t>
  </si>
  <si>
    <t>O-000996</t>
  </si>
  <si>
    <t>O-000997</t>
  </si>
  <si>
    <t>O-000998</t>
  </si>
  <si>
    <t>O-000999</t>
  </si>
  <si>
    <t>O-001000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</si>
</sst>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\$#,##0.00"/>
  </numFmts>
  <fonts count="3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3" borderId="0" xfId="0" applyFont="1" applyFill="1" applyAlignment="1">
      <alignment horizontal="center" wrapText="1"/>
    </xf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0" fontId="2" fillId="2" borderId="0" xfId="0" applyFont="1" applyFill="1" applyAlignment="1">
      <alignment horizontal="center" vertical="center" wrapText="1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SalesReps" displayName="tblSalesReps" ref="A1:E16">
  <autoFilter ref="A1:E16" xr:uid="{00000000-0009-0000-0100-000001000000}"/>
  <tableColumns count="5">
    <tableColumn id="1" xr3:uid="{00000000-0010-0000-0000-000001000000}" name="SalesRepID"/>
    <tableColumn id="2" xr3:uid="{00000000-0010-0000-0000-000002000000}" name="SalesRepName"/>
    <tableColumn id="3" xr3:uid="{00000000-0010-0000-0000-000003000000}" name="Team"/>
    <tableColumn id="4" xr3:uid="{00000000-0010-0000-0000-000004000000}" name="HireDate"/>
    <tableColumn id="5" xr3:uid="{00000000-0010-0000-0000-000005000000}" name="RegionFocu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Customers" displayName="tblCustomers" ref="A1:H301">
  <autoFilter ref="A1:H301" xr:uid="{00000000-0009-0000-0100-000002000000}"/>
  <tableColumns count="8">
    <tableColumn id="1" xr3:uid="{00000000-0010-0000-0100-000001000000}" name="CustomerID"/>
    <tableColumn id="2" xr3:uid="{00000000-0010-0000-0100-000002000000}" name="CustomerName"/>
    <tableColumn id="3" xr3:uid="{00000000-0010-0000-0100-000003000000}" name="Segment"/>
    <tableColumn id="4" xr3:uid="{00000000-0010-0000-0100-000004000000}" name="Industry"/>
    <tableColumn id="5" xr3:uid="{00000000-0010-0000-0100-000005000000}" name="Employees"/>
    <tableColumn id="6" xr3:uid="{00000000-0010-0000-0100-000006000000}" name="SignupDate"/>
    <tableColumn id="7" xr3:uid="{00000000-0010-0000-0100-000007000000}" name="Country"/>
    <tableColumn id="8" xr3:uid="{00000000-0010-0000-0100-000008000000}" name="AccountOwnerID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Products" displayName="tblProducts" ref="A1:G196">
  <autoFilter ref="A1:G196" xr:uid="{00000000-0009-0000-0100-000003000000}"/>
  <tableColumns count="7">
    <tableColumn id="1" xr3:uid="{00000000-0010-0000-0200-000001000000}" name="SKU"/>
    <tableColumn id="2" xr3:uid="{00000000-0010-0000-0200-000002000000}" name="ProductCategory"/>
    <tableColumn id="3" xr3:uid="{00000000-0010-0000-0200-000003000000}" name="Subcategory"/>
    <tableColumn id="4" xr3:uid="{00000000-0010-0000-0200-000004000000}" name="ProductName"/>
    <tableColumn id="5" xr3:uid="{00000000-0010-0000-0200-000005000000}" name="UnitCost"/>
    <tableColumn id="6" xr3:uid="{00000000-0010-0000-0200-000006000000}" name="ListPrice"/>
    <tableColumn id="7" xr3:uid="{00000000-0010-0000-0200-000007000000}" name="Activ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Transactions" displayName="tblTransactions" ref="A1:AF1001">
  <autoFilter ref="A1:AF1001" xr:uid="{00000000-0009-0000-0100-000004000000}"/>
  <tableColumns count="32">
    <tableColumn id="1" xr3:uid="{00000000-0010-0000-0300-000001000000}" name="OrderID"/>
    <tableColumn id="2" xr3:uid="{00000000-0010-0000-0300-000002000000}" name="LineID"/>
    <tableColumn id="3" xr3:uid="{00000000-0010-0000-0300-000003000000}" name="OrderDate"/>
    <tableColumn id="4" xr3:uid="{00000000-0010-0000-0300-000004000000}" name="ShipDate"/>
    <tableColumn id="5" xr3:uid="{00000000-0010-0000-0300-000005000000}" name="CustomerID"/>
    <tableColumn id="6" xr3:uid="{00000000-0010-0000-0300-000006000000}" name="CustomerName"/>
    <tableColumn id="7" xr3:uid="{00000000-0010-0000-0300-000007000000}" name="Segment"/>
    <tableColumn id="8" xr3:uid="{00000000-0010-0000-0300-000008000000}" name="Region"/>
    <tableColumn id="9" xr3:uid="{00000000-0010-0000-0300-000009000000}" name="Country"/>
    <tableColumn id="10" xr3:uid="{00000000-0010-0000-0300-00000A000000}" name="State/Prov"/>
    <tableColumn id="11" xr3:uid="{00000000-0010-0000-0300-00000B000000}" name="City"/>
    <tableColumn id="12" xr3:uid="{00000000-0010-0000-0300-00000C000000}" name="SKU"/>
    <tableColumn id="13" xr3:uid="{00000000-0010-0000-0300-00000D000000}" name="ProductCategory"/>
    <tableColumn id="14" xr3:uid="{00000000-0010-0000-0300-00000E000000}" name="Subcategory"/>
    <tableColumn id="15" xr3:uid="{00000000-0010-0000-0300-00000F000000}" name="ProductName"/>
    <tableColumn id="16" xr3:uid="{00000000-0010-0000-0300-000010000000}" name="SalesRepID"/>
    <tableColumn id="17" xr3:uid="{00000000-0010-0000-0300-000011000000}" name="SalesRepName"/>
    <tableColumn id="18" xr3:uid="{00000000-0010-0000-0300-000012000000}" name="Channel"/>
    <tableColumn id="19" xr3:uid="{00000000-0010-0000-0300-000013000000}" name="PaymentMethod"/>
    <tableColumn id="20" xr3:uid="{00000000-0010-0000-0300-000014000000}" name="Units"/>
    <tableColumn id="21" xr3:uid="{00000000-0010-0000-0300-000015000000}" name="UnitPrice"/>
    <tableColumn id="22" xr3:uid="{00000000-0010-0000-0300-000016000000}" name="UnitCost"/>
    <tableColumn id="23" xr3:uid="{00000000-0010-0000-0300-000017000000}" name="DiscountPct"/>
    <tableColumn id="24" xr3:uid="{00000000-0010-0000-0300-000018000000}" name="Revenue"/>
    <tableColumn id="25" xr3:uid="{00000000-0010-0000-0300-000019000000}" name="COGS"/>
    <tableColumn id="26" xr3:uid="{00000000-0010-0000-0300-00001A000000}" name="GrossProfit"/>
    <tableColumn id="27" xr3:uid="{00000000-0010-0000-0300-00001B000000}" name="Returned"/>
    <tableColumn id="28" xr3:uid="{00000000-0010-0000-0300-00001C000000}" name="ReturnReason"/>
    <tableColumn id="29" xr3:uid="{00000000-0010-0000-0300-00001D000000}" name="SatisfactionScore"/>
    <tableColumn id="30" xr3:uid="{00000000-0010-0000-0300-00001E000000}" name="Notes"/>
    <tableColumn id="31" xr3:uid="{00000000-0010-0000-0300-00001F000000}" name="Month"/>
    <tableColumn id="32" xr3:uid="{00000000-0010-0000-0300-000020000000}" name="Quarte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"/>
  <sheetViews>
    <sheetView tabSelected="1" workbookViewId="0"/>
  </sheetViews>
  <sheetFormatPr defaultRowHeight="14.4" x14ac:dyDescent="0.3"/>
  <cols>
    <col min="1" max="1" width="110" customWidth="1"/>
  </cols>
  <sheetData>
    <row r="1" spans="1:1" ht="21" x14ac:dyDescent="0.4">
      <c r="A1" s="1" t="s">
        <v>0</v>
      </c>
    </row>
    <row r="3" spans="1:1" x14ac:dyDescent="0.3">
      <c r="A3" s="2" t="s">
        <v>1</v>
      </c>
    </row>
    <row r="4" spans="1:1" x14ac:dyDescent="0.3">
      <c r="A4" s="2" t="s">
        <v>2</v>
      </c>
    </row>
    <row r="5" spans="1:1" x14ac:dyDescent="0.3">
      <c r="A5" s="2" t="s">
        <v>3</v>
      </c>
    </row>
    <row r="6" spans="1:1" x14ac:dyDescent="0.3">
      <c r="A6" s="2" t="s">
        <v>4</v>
      </c>
    </row>
    <row r="7" spans="1:1" x14ac:dyDescent="0.3">
      <c r="A7" s="2" t="s">
        <v>5</v>
      </c>
    </row>
    <row r="8" spans="1:1" x14ac:dyDescent="0.3">
      <c r="A8" s="2"/>
    </row>
    <row r="9" spans="1:1" x14ac:dyDescent="0.3">
      <c r="A9" s="2" t="s">
        <v>6</v>
      </c>
    </row>
    <row r="10" spans="1:1" x14ac:dyDescent="0.3">
      <c r="A10" s="2" t="s">
        <v>7</v>
      </c>
    </row>
    <row r="11" spans="1:1" x14ac:dyDescent="0.3">
      <c r="A11" s="2" t="s">
        <v>8</v>
      </c>
    </row>
    <row r="12" spans="1:1" x14ac:dyDescent="0.3">
      <c r="A12" s="2" t="s">
        <v>9</v>
      </c>
    </row>
    <row r="13" spans="1:1" x14ac:dyDescent="0.3">
      <c r="A13" s="2" t="s">
        <v>10</v>
      </c>
    </row>
    <row r="14" spans="1:1" x14ac:dyDescent="0.3">
      <c r="A14" s="2"/>
    </row>
    <row r="15" spans="1:1" x14ac:dyDescent="0.3">
      <c r="A15" s="2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20" customWidth="1"/>
    <col min="3" max="3" width="10" customWidth="1"/>
    <col min="4" max="4" width="12" customWidth="1"/>
    <col min="5" max="5" width="14" customWidth="1"/>
  </cols>
  <sheetData>
    <row r="1" spans="1:5" ht="28.8" x14ac:dyDescent="0.3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</row>
    <row r="2" spans="1:5" x14ac:dyDescent="0.3">
      <c r="A2" t="s">
        <v>17</v>
      </c>
      <c r="B2" t="s">
        <v>18</v>
      </c>
      <c r="C2" t="s">
        <v>19</v>
      </c>
      <c r="D2" s="4">
        <v>45326</v>
      </c>
      <c r="E2" t="s">
        <v>20</v>
      </c>
    </row>
    <row r="3" spans="1:5" x14ac:dyDescent="0.3">
      <c r="A3" t="s">
        <v>21</v>
      </c>
      <c r="B3" t="s">
        <v>22</v>
      </c>
      <c r="C3" t="s">
        <v>19</v>
      </c>
      <c r="D3" s="4">
        <v>44000</v>
      </c>
      <c r="E3" t="s">
        <v>23</v>
      </c>
    </row>
    <row r="4" spans="1:5" x14ac:dyDescent="0.3">
      <c r="A4" t="s">
        <v>24</v>
      </c>
      <c r="B4" t="s">
        <v>25</v>
      </c>
      <c r="C4" t="s">
        <v>26</v>
      </c>
      <c r="D4" s="4">
        <v>45636</v>
      </c>
      <c r="E4" t="s">
        <v>20</v>
      </c>
    </row>
    <row r="5" spans="1:5" x14ac:dyDescent="0.3">
      <c r="A5" t="s">
        <v>27</v>
      </c>
      <c r="B5" t="s">
        <v>28</v>
      </c>
      <c r="C5" t="s">
        <v>19</v>
      </c>
      <c r="D5" s="4">
        <v>44678</v>
      </c>
      <c r="E5" t="s">
        <v>20</v>
      </c>
    </row>
    <row r="6" spans="1:5" x14ac:dyDescent="0.3">
      <c r="A6" t="s">
        <v>29</v>
      </c>
      <c r="B6" t="s">
        <v>30</v>
      </c>
      <c r="C6" t="s">
        <v>26</v>
      </c>
      <c r="D6" s="4">
        <v>44621</v>
      </c>
      <c r="E6" t="s">
        <v>31</v>
      </c>
    </row>
    <row r="7" spans="1:5" x14ac:dyDescent="0.3">
      <c r="A7" t="s">
        <v>32</v>
      </c>
      <c r="B7" t="s">
        <v>33</v>
      </c>
      <c r="C7" t="s">
        <v>19</v>
      </c>
      <c r="D7" s="4">
        <v>45131</v>
      </c>
      <c r="E7" t="s">
        <v>31</v>
      </c>
    </row>
    <row r="8" spans="1:5" x14ac:dyDescent="0.3">
      <c r="A8" t="s">
        <v>34</v>
      </c>
      <c r="B8" t="s">
        <v>35</v>
      </c>
      <c r="C8" t="s">
        <v>36</v>
      </c>
      <c r="D8" s="4">
        <v>45138</v>
      </c>
      <c r="E8" t="s">
        <v>23</v>
      </c>
    </row>
    <row r="9" spans="1:5" x14ac:dyDescent="0.3">
      <c r="A9" t="s">
        <v>37</v>
      </c>
      <c r="B9" t="s">
        <v>38</v>
      </c>
      <c r="C9" t="s">
        <v>26</v>
      </c>
      <c r="D9" s="4">
        <v>44092</v>
      </c>
      <c r="E9" t="s">
        <v>31</v>
      </c>
    </row>
    <row r="10" spans="1:5" x14ac:dyDescent="0.3">
      <c r="A10" t="s">
        <v>39</v>
      </c>
      <c r="B10" t="s">
        <v>40</v>
      </c>
      <c r="C10" t="s">
        <v>36</v>
      </c>
      <c r="D10" s="4">
        <v>44333</v>
      </c>
      <c r="E10" t="s">
        <v>41</v>
      </c>
    </row>
    <row r="11" spans="1:5" x14ac:dyDescent="0.3">
      <c r="A11" t="s">
        <v>42</v>
      </c>
      <c r="B11" t="s">
        <v>43</v>
      </c>
      <c r="C11" t="s">
        <v>36</v>
      </c>
      <c r="D11" s="4">
        <v>45052</v>
      </c>
      <c r="E11" t="s">
        <v>23</v>
      </c>
    </row>
    <row r="12" spans="1:5" x14ac:dyDescent="0.3">
      <c r="A12" t="s">
        <v>44</v>
      </c>
      <c r="B12" t="s">
        <v>45</v>
      </c>
      <c r="C12" t="s">
        <v>36</v>
      </c>
      <c r="D12" s="4">
        <v>44561</v>
      </c>
      <c r="E12" t="s">
        <v>31</v>
      </c>
    </row>
    <row r="13" spans="1:5" x14ac:dyDescent="0.3">
      <c r="A13" t="s">
        <v>46</v>
      </c>
      <c r="B13" t="s">
        <v>47</v>
      </c>
      <c r="C13" t="s">
        <v>19</v>
      </c>
      <c r="D13" s="4">
        <v>45734</v>
      </c>
      <c r="E13" t="s">
        <v>20</v>
      </c>
    </row>
    <row r="14" spans="1:5" x14ac:dyDescent="0.3">
      <c r="A14" t="s">
        <v>48</v>
      </c>
      <c r="B14" t="s">
        <v>49</v>
      </c>
      <c r="C14" t="s">
        <v>36</v>
      </c>
      <c r="D14" s="4">
        <v>44053</v>
      </c>
      <c r="E14" t="s">
        <v>23</v>
      </c>
    </row>
    <row r="15" spans="1:5" x14ac:dyDescent="0.3">
      <c r="A15" t="s">
        <v>50</v>
      </c>
      <c r="B15" t="s">
        <v>51</v>
      </c>
      <c r="C15" t="s">
        <v>52</v>
      </c>
      <c r="D15" s="4">
        <v>44119</v>
      </c>
      <c r="E15" t="s">
        <v>31</v>
      </c>
    </row>
    <row r="16" spans="1:5" x14ac:dyDescent="0.3">
      <c r="A16" t="s">
        <v>53</v>
      </c>
      <c r="B16" t="s">
        <v>54</v>
      </c>
      <c r="C16" t="s">
        <v>52</v>
      </c>
      <c r="D16" s="4">
        <v>44455</v>
      </c>
      <c r="E16" t="s">
        <v>31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28" customWidth="1"/>
    <col min="3" max="3" width="12" customWidth="1"/>
    <col min="4" max="4" width="14" customWidth="1"/>
    <col min="5" max="5" width="10" customWidth="1"/>
    <col min="6" max="6" width="12" customWidth="1"/>
    <col min="7" max="7" width="10" customWidth="1"/>
    <col min="8" max="8" width="14" customWidth="1"/>
  </cols>
  <sheetData>
    <row r="1" spans="1:8" ht="28.8" x14ac:dyDescent="0.3">
      <c r="A1" s="3" t="s">
        <v>55</v>
      </c>
      <c r="B1" s="3" t="s">
        <v>56</v>
      </c>
      <c r="C1" s="3" t="s">
        <v>57</v>
      </c>
      <c r="D1" s="3" t="s">
        <v>58</v>
      </c>
      <c r="E1" s="3" t="s">
        <v>59</v>
      </c>
      <c r="F1" s="3" t="s">
        <v>60</v>
      </c>
      <c r="G1" s="3" t="s">
        <v>61</v>
      </c>
      <c r="H1" s="3" t="s">
        <v>62</v>
      </c>
    </row>
    <row r="2" spans="1:8" x14ac:dyDescent="0.3">
      <c r="A2" t="s">
        <v>63</v>
      </c>
      <c r="B2" t="s">
        <v>64</v>
      </c>
      <c r="C2" t="s">
        <v>65</v>
      </c>
      <c r="D2" t="s">
        <v>66</v>
      </c>
      <c r="E2" s="5">
        <v>180</v>
      </c>
      <c r="F2" s="4">
        <v>45098</v>
      </c>
      <c r="G2" t="s">
        <v>67</v>
      </c>
      <c r="H2" t="s">
        <v>27</v>
      </c>
    </row>
    <row r="3" spans="1:8" x14ac:dyDescent="0.3">
      <c r="A3" t="s">
        <v>68</v>
      </c>
      <c r="B3" t="s">
        <v>69</v>
      </c>
      <c r="C3" t="s">
        <v>65</v>
      </c>
      <c r="D3" t="s">
        <v>70</v>
      </c>
      <c r="E3" s="5">
        <v>515</v>
      </c>
      <c r="F3" s="4">
        <v>44709</v>
      </c>
      <c r="G3" t="s">
        <v>71</v>
      </c>
      <c r="H3" t="s">
        <v>37</v>
      </c>
    </row>
    <row r="4" spans="1:8" x14ac:dyDescent="0.3">
      <c r="A4" t="s">
        <v>72</v>
      </c>
      <c r="B4" t="s">
        <v>73</v>
      </c>
      <c r="C4" t="s">
        <v>74</v>
      </c>
      <c r="D4" t="s">
        <v>70</v>
      </c>
      <c r="E4" s="5">
        <v>436</v>
      </c>
      <c r="F4" s="4">
        <v>44243</v>
      </c>
      <c r="G4" t="s">
        <v>75</v>
      </c>
      <c r="H4" t="s">
        <v>27</v>
      </c>
    </row>
    <row r="5" spans="1:8" x14ac:dyDescent="0.3">
      <c r="A5" t="s">
        <v>76</v>
      </c>
      <c r="B5" t="s">
        <v>77</v>
      </c>
      <c r="C5" t="s">
        <v>74</v>
      </c>
      <c r="D5" t="s">
        <v>70</v>
      </c>
      <c r="E5" s="5">
        <v>14</v>
      </c>
      <c r="F5" s="4">
        <v>45548</v>
      </c>
      <c r="G5" t="s">
        <v>71</v>
      </c>
      <c r="H5" t="s">
        <v>24</v>
      </c>
    </row>
    <row r="6" spans="1:8" x14ac:dyDescent="0.3">
      <c r="A6" t="s">
        <v>78</v>
      </c>
      <c r="B6" t="s">
        <v>79</v>
      </c>
      <c r="C6" t="s">
        <v>65</v>
      </c>
      <c r="D6" t="s">
        <v>80</v>
      </c>
      <c r="E6" s="5">
        <v>188</v>
      </c>
      <c r="F6" s="4">
        <v>45950</v>
      </c>
      <c r="G6" t="s">
        <v>81</v>
      </c>
      <c r="H6" t="s">
        <v>53</v>
      </c>
    </row>
    <row r="7" spans="1:8" x14ac:dyDescent="0.3">
      <c r="A7" t="s">
        <v>82</v>
      </c>
      <c r="B7" t="s">
        <v>83</v>
      </c>
      <c r="C7" t="s">
        <v>84</v>
      </c>
      <c r="D7" t="s">
        <v>85</v>
      </c>
      <c r="E7" s="5">
        <v>503</v>
      </c>
      <c r="F7" s="4">
        <v>44795</v>
      </c>
      <c r="G7" t="s">
        <v>86</v>
      </c>
      <c r="H7" t="s">
        <v>37</v>
      </c>
    </row>
    <row r="8" spans="1:8" x14ac:dyDescent="0.3">
      <c r="A8" t="s">
        <v>87</v>
      </c>
      <c r="B8" t="s">
        <v>88</v>
      </c>
      <c r="C8" t="s">
        <v>80</v>
      </c>
      <c r="D8" t="s">
        <v>89</v>
      </c>
      <c r="E8" s="5">
        <v>284</v>
      </c>
      <c r="F8" s="4">
        <v>44775</v>
      </c>
      <c r="G8" t="s">
        <v>90</v>
      </c>
      <c r="H8" t="s">
        <v>32</v>
      </c>
    </row>
    <row r="9" spans="1:8" x14ac:dyDescent="0.3">
      <c r="A9" t="s">
        <v>91</v>
      </c>
      <c r="B9" t="s">
        <v>92</v>
      </c>
      <c r="C9" t="s">
        <v>80</v>
      </c>
      <c r="D9" t="s">
        <v>80</v>
      </c>
      <c r="E9" s="5">
        <v>441</v>
      </c>
      <c r="F9" s="4">
        <v>43996</v>
      </c>
      <c r="G9" t="s">
        <v>93</v>
      </c>
      <c r="H9" t="s">
        <v>53</v>
      </c>
    </row>
    <row r="10" spans="1:8" x14ac:dyDescent="0.3">
      <c r="A10" t="s">
        <v>94</v>
      </c>
      <c r="B10" t="s">
        <v>95</v>
      </c>
      <c r="C10" t="s">
        <v>74</v>
      </c>
      <c r="D10" t="s">
        <v>66</v>
      </c>
      <c r="E10" s="5">
        <v>320</v>
      </c>
      <c r="F10" s="4">
        <v>44007</v>
      </c>
      <c r="G10" t="s">
        <v>81</v>
      </c>
      <c r="H10" t="s">
        <v>48</v>
      </c>
    </row>
    <row r="11" spans="1:8" x14ac:dyDescent="0.3">
      <c r="A11" t="s">
        <v>96</v>
      </c>
      <c r="B11" t="s">
        <v>97</v>
      </c>
      <c r="C11" t="s">
        <v>80</v>
      </c>
      <c r="D11" t="s">
        <v>70</v>
      </c>
      <c r="E11" s="5">
        <v>391</v>
      </c>
      <c r="F11" s="4">
        <v>43836</v>
      </c>
      <c r="G11" t="s">
        <v>86</v>
      </c>
      <c r="H11" t="s">
        <v>53</v>
      </c>
    </row>
    <row r="12" spans="1:8" x14ac:dyDescent="0.3">
      <c r="A12" t="s">
        <v>98</v>
      </c>
      <c r="B12" t="s">
        <v>99</v>
      </c>
      <c r="C12" t="s">
        <v>84</v>
      </c>
      <c r="D12" t="s">
        <v>85</v>
      </c>
      <c r="E12" s="5">
        <v>290</v>
      </c>
      <c r="F12" s="4">
        <v>43878</v>
      </c>
      <c r="G12" t="s">
        <v>86</v>
      </c>
      <c r="H12" t="s">
        <v>27</v>
      </c>
    </row>
    <row r="13" spans="1:8" x14ac:dyDescent="0.3">
      <c r="A13" t="s">
        <v>100</v>
      </c>
      <c r="B13" t="s">
        <v>101</v>
      </c>
      <c r="C13" t="s">
        <v>74</v>
      </c>
      <c r="D13" t="s">
        <v>80</v>
      </c>
      <c r="E13" s="5">
        <v>151</v>
      </c>
      <c r="F13" s="4">
        <v>45095</v>
      </c>
      <c r="G13" t="s">
        <v>93</v>
      </c>
      <c r="H13" t="s">
        <v>46</v>
      </c>
    </row>
    <row r="14" spans="1:8" x14ac:dyDescent="0.3">
      <c r="A14" t="s">
        <v>102</v>
      </c>
      <c r="B14" t="s">
        <v>103</v>
      </c>
      <c r="C14" t="s">
        <v>104</v>
      </c>
      <c r="D14" t="s">
        <v>89</v>
      </c>
      <c r="E14" s="5">
        <v>682</v>
      </c>
      <c r="F14" s="4">
        <v>44009</v>
      </c>
      <c r="G14" t="s">
        <v>71</v>
      </c>
      <c r="H14" t="s">
        <v>24</v>
      </c>
    </row>
    <row r="15" spans="1:8" x14ac:dyDescent="0.3">
      <c r="A15" t="s">
        <v>105</v>
      </c>
      <c r="B15" t="s">
        <v>106</v>
      </c>
      <c r="C15" t="s">
        <v>74</v>
      </c>
      <c r="D15" t="s">
        <v>80</v>
      </c>
      <c r="E15" s="5">
        <v>561</v>
      </c>
      <c r="F15" s="4">
        <v>44330</v>
      </c>
      <c r="G15" t="s">
        <v>90</v>
      </c>
      <c r="H15" t="s">
        <v>21</v>
      </c>
    </row>
    <row r="16" spans="1:8" x14ac:dyDescent="0.3">
      <c r="A16" t="s">
        <v>107</v>
      </c>
      <c r="B16" t="s">
        <v>108</v>
      </c>
      <c r="C16" t="s">
        <v>65</v>
      </c>
      <c r="D16" t="s">
        <v>89</v>
      </c>
      <c r="E16" s="5">
        <v>930</v>
      </c>
      <c r="F16" s="4">
        <v>45594</v>
      </c>
      <c r="G16" t="s">
        <v>109</v>
      </c>
      <c r="H16" t="s">
        <v>46</v>
      </c>
    </row>
    <row r="17" spans="1:8" x14ac:dyDescent="0.3">
      <c r="A17" t="s">
        <v>110</v>
      </c>
      <c r="B17" t="s">
        <v>111</v>
      </c>
      <c r="C17" t="s">
        <v>74</v>
      </c>
      <c r="D17" t="s">
        <v>70</v>
      </c>
      <c r="E17" s="5">
        <v>620</v>
      </c>
      <c r="F17" s="4">
        <v>44160</v>
      </c>
      <c r="G17" t="s">
        <v>112</v>
      </c>
      <c r="H17" t="s">
        <v>24</v>
      </c>
    </row>
    <row r="18" spans="1:8" x14ac:dyDescent="0.3">
      <c r="A18" t="s">
        <v>113</v>
      </c>
      <c r="B18" t="s">
        <v>114</v>
      </c>
      <c r="C18" t="s">
        <v>104</v>
      </c>
      <c r="D18" t="s">
        <v>70</v>
      </c>
      <c r="E18" s="5">
        <v>695</v>
      </c>
      <c r="F18" s="4">
        <v>45596</v>
      </c>
      <c r="G18" t="s">
        <v>81</v>
      </c>
      <c r="H18" t="s">
        <v>39</v>
      </c>
    </row>
    <row r="19" spans="1:8" x14ac:dyDescent="0.3">
      <c r="A19" t="s">
        <v>115</v>
      </c>
      <c r="B19" t="s">
        <v>116</v>
      </c>
      <c r="C19" t="s">
        <v>74</v>
      </c>
      <c r="D19" t="s">
        <v>80</v>
      </c>
      <c r="E19" s="5">
        <v>5</v>
      </c>
      <c r="F19" s="4">
        <v>45122</v>
      </c>
      <c r="G19" t="s">
        <v>86</v>
      </c>
      <c r="H19" t="s">
        <v>24</v>
      </c>
    </row>
    <row r="20" spans="1:8" x14ac:dyDescent="0.3">
      <c r="A20" t="s">
        <v>117</v>
      </c>
      <c r="B20" t="s">
        <v>118</v>
      </c>
      <c r="C20" t="s">
        <v>74</v>
      </c>
      <c r="D20" t="s">
        <v>89</v>
      </c>
      <c r="E20" s="5">
        <v>97</v>
      </c>
      <c r="F20" s="4">
        <v>44004</v>
      </c>
      <c r="G20" t="s">
        <v>90</v>
      </c>
      <c r="H20" t="s">
        <v>29</v>
      </c>
    </row>
    <row r="21" spans="1:8" x14ac:dyDescent="0.3">
      <c r="A21" t="s">
        <v>119</v>
      </c>
      <c r="B21" t="s">
        <v>120</v>
      </c>
      <c r="C21" t="s">
        <v>84</v>
      </c>
      <c r="D21" t="s">
        <v>70</v>
      </c>
      <c r="E21" s="5">
        <v>552</v>
      </c>
      <c r="F21" s="4">
        <v>44713</v>
      </c>
      <c r="G21" t="s">
        <v>93</v>
      </c>
      <c r="H21" t="s">
        <v>42</v>
      </c>
    </row>
    <row r="22" spans="1:8" x14ac:dyDescent="0.3">
      <c r="A22" t="s">
        <v>121</v>
      </c>
      <c r="B22" t="s">
        <v>122</v>
      </c>
      <c r="C22" t="s">
        <v>74</v>
      </c>
      <c r="D22" t="s">
        <v>123</v>
      </c>
      <c r="E22" s="5">
        <v>646</v>
      </c>
      <c r="F22" s="4">
        <v>45719</v>
      </c>
      <c r="G22" t="s">
        <v>112</v>
      </c>
      <c r="H22" t="s">
        <v>21</v>
      </c>
    </row>
    <row r="23" spans="1:8" x14ac:dyDescent="0.3">
      <c r="A23" t="s">
        <v>124</v>
      </c>
      <c r="B23" t="s">
        <v>125</v>
      </c>
      <c r="C23" t="s">
        <v>65</v>
      </c>
      <c r="D23" t="s">
        <v>126</v>
      </c>
      <c r="E23" s="5">
        <v>558</v>
      </c>
      <c r="F23" s="4">
        <v>44280</v>
      </c>
      <c r="G23" t="s">
        <v>127</v>
      </c>
      <c r="H23" t="s">
        <v>27</v>
      </c>
    </row>
    <row r="24" spans="1:8" x14ac:dyDescent="0.3">
      <c r="A24" t="s">
        <v>128</v>
      </c>
      <c r="B24" t="s">
        <v>129</v>
      </c>
      <c r="C24" t="s">
        <v>65</v>
      </c>
      <c r="D24" t="s">
        <v>126</v>
      </c>
      <c r="E24" s="5">
        <v>355</v>
      </c>
      <c r="F24" s="4">
        <v>45700</v>
      </c>
      <c r="G24" t="s">
        <v>109</v>
      </c>
      <c r="H24" t="s">
        <v>42</v>
      </c>
    </row>
    <row r="25" spans="1:8" x14ac:dyDescent="0.3">
      <c r="A25" t="s">
        <v>130</v>
      </c>
      <c r="B25" t="s">
        <v>131</v>
      </c>
      <c r="C25" t="s">
        <v>65</v>
      </c>
      <c r="D25" t="s">
        <v>80</v>
      </c>
      <c r="E25" s="5">
        <v>740</v>
      </c>
      <c r="F25" s="4">
        <v>45455</v>
      </c>
      <c r="G25" t="s">
        <v>67</v>
      </c>
      <c r="H25" t="s">
        <v>53</v>
      </c>
    </row>
    <row r="26" spans="1:8" x14ac:dyDescent="0.3">
      <c r="A26" t="s">
        <v>132</v>
      </c>
      <c r="B26" t="s">
        <v>133</v>
      </c>
      <c r="C26" t="s">
        <v>74</v>
      </c>
      <c r="D26" t="s">
        <v>89</v>
      </c>
      <c r="E26" s="5">
        <v>311</v>
      </c>
      <c r="F26" s="4">
        <v>43831</v>
      </c>
      <c r="G26" t="s">
        <v>81</v>
      </c>
      <c r="H26" t="s">
        <v>50</v>
      </c>
    </row>
    <row r="27" spans="1:8" x14ac:dyDescent="0.3">
      <c r="A27" t="s">
        <v>134</v>
      </c>
      <c r="B27" t="s">
        <v>135</v>
      </c>
      <c r="C27" t="s">
        <v>80</v>
      </c>
      <c r="D27" t="s">
        <v>70</v>
      </c>
      <c r="E27" s="5">
        <v>5</v>
      </c>
      <c r="F27" s="4">
        <v>45525</v>
      </c>
      <c r="G27" t="s">
        <v>81</v>
      </c>
      <c r="H27" t="s">
        <v>39</v>
      </c>
    </row>
    <row r="28" spans="1:8" x14ac:dyDescent="0.3">
      <c r="A28" t="s">
        <v>136</v>
      </c>
      <c r="B28" t="s">
        <v>137</v>
      </c>
      <c r="C28" t="s">
        <v>65</v>
      </c>
      <c r="D28" t="s">
        <v>126</v>
      </c>
      <c r="E28" s="5">
        <v>592</v>
      </c>
      <c r="F28" s="4">
        <v>44916</v>
      </c>
      <c r="G28" t="s">
        <v>75</v>
      </c>
      <c r="H28" t="s">
        <v>53</v>
      </c>
    </row>
    <row r="29" spans="1:8" x14ac:dyDescent="0.3">
      <c r="A29" t="s">
        <v>138</v>
      </c>
      <c r="B29" t="s">
        <v>139</v>
      </c>
      <c r="C29" t="s">
        <v>104</v>
      </c>
      <c r="D29" t="s">
        <v>70</v>
      </c>
      <c r="E29" s="5">
        <v>925</v>
      </c>
      <c r="F29" s="4">
        <v>44631</v>
      </c>
      <c r="G29" t="s">
        <v>71</v>
      </c>
      <c r="H29" t="s">
        <v>29</v>
      </c>
    </row>
    <row r="30" spans="1:8" x14ac:dyDescent="0.3">
      <c r="A30" t="s">
        <v>140</v>
      </c>
      <c r="B30" t="s">
        <v>141</v>
      </c>
      <c r="C30" t="s">
        <v>65</v>
      </c>
      <c r="D30" t="s">
        <v>85</v>
      </c>
      <c r="E30" s="5">
        <v>588</v>
      </c>
      <c r="F30" s="4">
        <v>45387</v>
      </c>
      <c r="G30" t="s">
        <v>109</v>
      </c>
      <c r="H30" t="s">
        <v>42</v>
      </c>
    </row>
    <row r="31" spans="1:8" x14ac:dyDescent="0.3">
      <c r="A31" t="s">
        <v>142</v>
      </c>
      <c r="B31" t="s">
        <v>143</v>
      </c>
      <c r="C31" t="s">
        <v>74</v>
      </c>
      <c r="D31" t="s">
        <v>66</v>
      </c>
      <c r="E31" s="5">
        <v>458</v>
      </c>
      <c r="F31" s="4">
        <v>45834</v>
      </c>
      <c r="G31" t="s">
        <v>67</v>
      </c>
      <c r="H31" t="s">
        <v>44</v>
      </c>
    </row>
    <row r="32" spans="1:8" x14ac:dyDescent="0.3">
      <c r="A32" t="s">
        <v>144</v>
      </c>
      <c r="B32" t="s">
        <v>145</v>
      </c>
      <c r="C32" t="s">
        <v>74</v>
      </c>
      <c r="D32" t="s">
        <v>80</v>
      </c>
      <c r="E32" s="5">
        <v>1116</v>
      </c>
      <c r="F32" s="4">
        <v>45364</v>
      </c>
      <c r="G32" t="s">
        <v>90</v>
      </c>
      <c r="H32" t="s">
        <v>48</v>
      </c>
    </row>
    <row r="33" spans="1:8" x14ac:dyDescent="0.3">
      <c r="A33" t="s">
        <v>146</v>
      </c>
      <c r="B33" t="s">
        <v>147</v>
      </c>
      <c r="C33" t="s">
        <v>74</v>
      </c>
      <c r="D33" t="s">
        <v>89</v>
      </c>
      <c r="E33" s="5">
        <v>5</v>
      </c>
      <c r="F33" s="4">
        <v>44637</v>
      </c>
      <c r="G33" t="s">
        <v>86</v>
      </c>
      <c r="H33" t="s">
        <v>29</v>
      </c>
    </row>
    <row r="34" spans="1:8" x14ac:dyDescent="0.3">
      <c r="A34" t="s">
        <v>148</v>
      </c>
      <c r="B34" t="s">
        <v>149</v>
      </c>
      <c r="C34" t="s">
        <v>65</v>
      </c>
      <c r="D34" t="s">
        <v>70</v>
      </c>
      <c r="E34" s="5">
        <v>220</v>
      </c>
      <c r="F34" s="4">
        <v>44112</v>
      </c>
      <c r="G34" t="s">
        <v>127</v>
      </c>
      <c r="H34" t="s">
        <v>50</v>
      </c>
    </row>
    <row r="35" spans="1:8" x14ac:dyDescent="0.3">
      <c r="A35" t="s">
        <v>150</v>
      </c>
      <c r="B35" t="s">
        <v>151</v>
      </c>
      <c r="C35" t="s">
        <v>84</v>
      </c>
      <c r="D35" t="s">
        <v>85</v>
      </c>
      <c r="E35" s="5">
        <v>492</v>
      </c>
      <c r="F35" s="4">
        <v>44856</v>
      </c>
      <c r="G35" t="s">
        <v>109</v>
      </c>
      <c r="H35" t="s">
        <v>32</v>
      </c>
    </row>
    <row r="36" spans="1:8" x14ac:dyDescent="0.3">
      <c r="A36" t="s">
        <v>152</v>
      </c>
      <c r="B36" t="s">
        <v>153</v>
      </c>
      <c r="C36" t="s">
        <v>74</v>
      </c>
      <c r="D36" t="s">
        <v>70</v>
      </c>
      <c r="E36" s="5">
        <v>645</v>
      </c>
      <c r="F36" s="4">
        <v>44910</v>
      </c>
      <c r="G36" t="s">
        <v>93</v>
      </c>
      <c r="H36" t="s">
        <v>42</v>
      </c>
    </row>
    <row r="37" spans="1:8" x14ac:dyDescent="0.3">
      <c r="A37" t="s">
        <v>154</v>
      </c>
      <c r="B37" t="s">
        <v>155</v>
      </c>
      <c r="C37" t="s">
        <v>65</v>
      </c>
      <c r="D37" t="s">
        <v>123</v>
      </c>
      <c r="E37" s="5">
        <v>259</v>
      </c>
      <c r="F37" s="4">
        <v>45524</v>
      </c>
      <c r="G37" t="s">
        <v>86</v>
      </c>
      <c r="H37" t="s">
        <v>29</v>
      </c>
    </row>
    <row r="38" spans="1:8" x14ac:dyDescent="0.3">
      <c r="A38" t="s">
        <v>156</v>
      </c>
      <c r="B38" t="s">
        <v>157</v>
      </c>
      <c r="C38" t="s">
        <v>74</v>
      </c>
      <c r="D38" t="s">
        <v>104</v>
      </c>
      <c r="E38" s="5">
        <v>5</v>
      </c>
      <c r="F38" s="4">
        <v>45190</v>
      </c>
      <c r="G38" t="s">
        <v>127</v>
      </c>
      <c r="H38" t="s">
        <v>21</v>
      </c>
    </row>
    <row r="39" spans="1:8" x14ac:dyDescent="0.3">
      <c r="A39" t="s">
        <v>158</v>
      </c>
      <c r="B39" t="s">
        <v>159</v>
      </c>
      <c r="C39" t="s">
        <v>84</v>
      </c>
      <c r="D39" t="s">
        <v>70</v>
      </c>
      <c r="E39" s="5">
        <v>316</v>
      </c>
      <c r="F39" s="4">
        <v>44767</v>
      </c>
      <c r="G39" t="s">
        <v>160</v>
      </c>
      <c r="H39" t="s">
        <v>34</v>
      </c>
    </row>
    <row r="40" spans="1:8" x14ac:dyDescent="0.3">
      <c r="A40" t="s">
        <v>161</v>
      </c>
      <c r="B40" t="s">
        <v>162</v>
      </c>
      <c r="C40" t="s">
        <v>65</v>
      </c>
      <c r="D40" t="s">
        <v>70</v>
      </c>
      <c r="E40" s="5">
        <v>275</v>
      </c>
      <c r="F40" s="4">
        <v>45285</v>
      </c>
      <c r="G40" t="s">
        <v>127</v>
      </c>
      <c r="H40" t="s">
        <v>39</v>
      </c>
    </row>
    <row r="41" spans="1:8" x14ac:dyDescent="0.3">
      <c r="A41" t="s">
        <v>163</v>
      </c>
      <c r="B41" t="s">
        <v>164</v>
      </c>
      <c r="C41" t="s">
        <v>74</v>
      </c>
      <c r="D41" t="s">
        <v>89</v>
      </c>
      <c r="E41" s="5">
        <v>155</v>
      </c>
      <c r="F41" s="4">
        <v>44678</v>
      </c>
      <c r="G41" t="s">
        <v>75</v>
      </c>
      <c r="H41" t="s">
        <v>37</v>
      </c>
    </row>
    <row r="42" spans="1:8" x14ac:dyDescent="0.3">
      <c r="A42" t="s">
        <v>165</v>
      </c>
      <c r="B42" t="s">
        <v>166</v>
      </c>
      <c r="C42" t="s">
        <v>84</v>
      </c>
      <c r="D42" t="s">
        <v>123</v>
      </c>
      <c r="E42" s="5">
        <v>404</v>
      </c>
      <c r="F42" s="4">
        <v>44835</v>
      </c>
      <c r="G42" t="s">
        <v>67</v>
      </c>
      <c r="H42" t="s">
        <v>50</v>
      </c>
    </row>
    <row r="43" spans="1:8" x14ac:dyDescent="0.3">
      <c r="A43" t="s">
        <v>167</v>
      </c>
      <c r="B43" t="s">
        <v>168</v>
      </c>
      <c r="C43" t="s">
        <v>74</v>
      </c>
      <c r="D43" t="s">
        <v>70</v>
      </c>
      <c r="E43" s="5">
        <v>5</v>
      </c>
      <c r="F43" s="4">
        <v>45897</v>
      </c>
      <c r="G43" t="s">
        <v>93</v>
      </c>
      <c r="H43" t="s">
        <v>37</v>
      </c>
    </row>
    <row r="44" spans="1:8" x14ac:dyDescent="0.3">
      <c r="A44" t="s">
        <v>169</v>
      </c>
      <c r="B44" t="s">
        <v>170</v>
      </c>
      <c r="C44" t="s">
        <v>65</v>
      </c>
      <c r="D44" t="s">
        <v>104</v>
      </c>
      <c r="E44" s="5">
        <v>5</v>
      </c>
      <c r="F44" s="4">
        <v>44425</v>
      </c>
      <c r="G44" t="s">
        <v>75</v>
      </c>
      <c r="H44" t="s">
        <v>27</v>
      </c>
    </row>
    <row r="45" spans="1:8" x14ac:dyDescent="0.3">
      <c r="A45" t="s">
        <v>171</v>
      </c>
      <c r="B45" t="s">
        <v>172</v>
      </c>
      <c r="C45" t="s">
        <v>104</v>
      </c>
      <c r="D45" t="s">
        <v>89</v>
      </c>
      <c r="E45" s="5">
        <v>194</v>
      </c>
      <c r="F45" s="4">
        <v>45561</v>
      </c>
      <c r="G45" t="s">
        <v>86</v>
      </c>
      <c r="H45" t="s">
        <v>24</v>
      </c>
    </row>
    <row r="46" spans="1:8" x14ac:dyDescent="0.3">
      <c r="A46" t="s">
        <v>173</v>
      </c>
      <c r="B46" t="s">
        <v>174</v>
      </c>
      <c r="C46" t="s">
        <v>65</v>
      </c>
      <c r="D46" t="s">
        <v>104</v>
      </c>
      <c r="E46" s="5">
        <v>585</v>
      </c>
      <c r="F46" s="4">
        <v>44094</v>
      </c>
      <c r="G46" t="s">
        <v>127</v>
      </c>
      <c r="H46" t="s">
        <v>42</v>
      </c>
    </row>
    <row r="47" spans="1:8" x14ac:dyDescent="0.3">
      <c r="A47" t="s">
        <v>175</v>
      </c>
      <c r="B47" t="s">
        <v>153</v>
      </c>
      <c r="C47" t="s">
        <v>65</v>
      </c>
      <c r="D47" t="s">
        <v>70</v>
      </c>
      <c r="E47" s="5">
        <v>579</v>
      </c>
      <c r="F47" s="4">
        <v>44053</v>
      </c>
      <c r="G47" t="s">
        <v>75</v>
      </c>
      <c r="H47" t="s">
        <v>48</v>
      </c>
    </row>
    <row r="48" spans="1:8" x14ac:dyDescent="0.3">
      <c r="A48" t="s">
        <v>176</v>
      </c>
      <c r="B48" t="s">
        <v>177</v>
      </c>
      <c r="C48" t="s">
        <v>84</v>
      </c>
      <c r="D48" t="s">
        <v>80</v>
      </c>
      <c r="E48" s="5">
        <v>253</v>
      </c>
      <c r="F48" s="4">
        <v>45680</v>
      </c>
      <c r="G48" t="s">
        <v>67</v>
      </c>
      <c r="H48" t="s">
        <v>29</v>
      </c>
    </row>
    <row r="49" spans="1:8" x14ac:dyDescent="0.3">
      <c r="A49" t="s">
        <v>178</v>
      </c>
      <c r="B49" t="s">
        <v>179</v>
      </c>
      <c r="C49" t="s">
        <v>74</v>
      </c>
      <c r="D49" t="s">
        <v>70</v>
      </c>
      <c r="E49" s="5">
        <v>249</v>
      </c>
      <c r="F49" s="4">
        <v>44429</v>
      </c>
      <c r="G49" t="s">
        <v>71</v>
      </c>
      <c r="H49" t="s">
        <v>27</v>
      </c>
    </row>
    <row r="50" spans="1:8" x14ac:dyDescent="0.3">
      <c r="A50" t="s">
        <v>180</v>
      </c>
      <c r="B50" t="s">
        <v>181</v>
      </c>
      <c r="C50" t="s">
        <v>74</v>
      </c>
      <c r="D50" t="s">
        <v>85</v>
      </c>
      <c r="E50" s="5">
        <v>1062</v>
      </c>
      <c r="F50" s="4">
        <v>44402</v>
      </c>
      <c r="G50" t="s">
        <v>81</v>
      </c>
      <c r="H50" t="s">
        <v>34</v>
      </c>
    </row>
    <row r="51" spans="1:8" x14ac:dyDescent="0.3">
      <c r="A51" t="s">
        <v>182</v>
      </c>
      <c r="B51" t="s">
        <v>183</v>
      </c>
      <c r="C51" t="s">
        <v>74</v>
      </c>
      <c r="D51" t="s">
        <v>85</v>
      </c>
      <c r="E51" s="5">
        <v>702</v>
      </c>
      <c r="F51" s="4">
        <v>44281</v>
      </c>
      <c r="G51" t="s">
        <v>112</v>
      </c>
      <c r="H51" t="s">
        <v>27</v>
      </c>
    </row>
    <row r="52" spans="1:8" x14ac:dyDescent="0.3">
      <c r="A52" t="s">
        <v>184</v>
      </c>
      <c r="B52" t="s">
        <v>185</v>
      </c>
      <c r="C52" t="s">
        <v>74</v>
      </c>
      <c r="D52" t="s">
        <v>85</v>
      </c>
      <c r="E52" s="5">
        <v>296</v>
      </c>
      <c r="F52" s="4">
        <v>45321</v>
      </c>
      <c r="G52" t="s">
        <v>86</v>
      </c>
      <c r="H52" t="s">
        <v>42</v>
      </c>
    </row>
    <row r="53" spans="1:8" x14ac:dyDescent="0.3">
      <c r="A53" t="s">
        <v>186</v>
      </c>
      <c r="B53" t="s">
        <v>187</v>
      </c>
      <c r="C53" t="s">
        <v>65</v>
      </c>
      <c r="D53" t="s">
        <v>126</v>
      </c>
      <c r="E53" s="5">
        <v>128</v>
      </c>
      <c r="F53" s="4">
        <v>45654</v>
      </c>
      <c r="G53" t="s">
        <v>86</v>
      </c>
      <c r="H53" t="s">
        <v>50</v>
      </c>
    </row>
    <row r="54" spans="1:8" x14ac:dyDescent="0.3">
      <c r="A54" t="s">
        <v>188</v>
      </c>
      <c r="B54" t="s">
        <v>189</v>
      </c>
      <c r="C54" t="s">
        <v>74</v>
      </c>
      <c r="D54" t="s">
        <v>66</v>
      </c>
      <c r="E54" s="5">
        <v>145</v>
      </c>
      <c r="F54" s="4">
        <v>44445</v>
      </c>
      <c r="G54" t="s">
        <v>127</v>
      </c>
      <c r="H54" t="s">
        <v>29</v>
      </c>
    </row>
    <row r="55" spans="1:8" x14ac:dyDescent="0.3">
      <c r="A55" t="s">
        <v>190</v>
      </c>
      <c r="B55" t="s">
        <v>191</v>
      </c>
      <c r="C55" t="s">
        <v>84</v>
      </c>
      <c r="D55" t="s">
        <v>70</v>
      </c>
      <c r="E55" s="5">
        <v>539</v>
      </c>
      <c r="F55" s="4">
        <v>44564</v>
      </c>
      <c r="G55" t="s">
        <v>71</v>
      </c>
      <c r="H55" t="s">
        <v>21</v>
      </c>
    </row>
    <row r="56" spans="1:8" x14ac:dyDescent="0.3">
      <c r="A56" t="s">
        <v>192</v>
      </c>
      <c r="B56" t="s">
        <v>193</v>
      </c>
      <c r="C56" t="s">
        <v>80</v>
      </c>
      <c r="D56" t="s">
        <v>70</v>
      </c>
      <c r="E56" s="5">
        <v>649</v>
      </c>
      <c r="F56" s="4">
        <v>45480</v>
      </c>
      <c r="G56" t="s">
        <v>86</v>
      </c>
      <c r="H56" t="s">
        <v>42</v>
      </c>
    </row>
    <row r="57" spans="1:8" x14ac:dyDescent="0.3">
      <c r="A57" t="s">
        <v>194</v>
      </c>
      <c r="B57" t="s">
        <v>195</v>
      </c>
      <c r="C57" t="s">
        <v>84</v>
      </c>
      <c r="D57" t="s">
        <v>70</v>
      </c>
      <c r="E57" s="5">
        <v>475</v>
      </c>
      <c r="F57" s="4">
        <v>45528</v>
      </c>
      <c r="G57" t="s">
        <v>112</v>
      </c>
      <c r="H57" t="s">
        <v>21</v>
      </c>
    </row>
    <row r="58" spans="1:8" x14ac:dyDescent="0.3">
      <c r="A58" t="s">
        <v>196</v>
      </c>
      <c r="B58" t="s">
        <v>197</v>
      </c>
      <c r="C58" t="s">
        <v>65</v>
      </c>
      <c r="D58" t="s">
        <v>104</v>
      </c>
      <c r="E58" s="5">
        <v>5</v>
      </c>
      <c r="F58" s="4">
        <v>45185</v>
      </c>
      <c r="G58" t="s">
        <v>81</v>
      </c>
      <c r="H58" t="s">
        <v>46</v>
      </c>
    </row>
    <row r="59" spans="1:8" x14ac:dyDescent="0.3">
      <c r="A59" t="s">
        <v>198</v>
      </c>
      <c r="B59" t="s">
        <v>101</v>
      </c>
      <c r="C59" t="s">
        <v>104</v>
      </c>
      <c r="D59" t="s">
        <v>126</v>
      </c>
      <c r="E59" s="5">
        <v>1038</v>
      </c>
      <c r="F59" s="4">
        <v>45502</v>
      </c>
      <c r="G59" t="s">
        <v>109</v>
      </c>
      <c r="H59" t="s">
        <v>39</v>
      </c>
    </row>
    <row r="60" spans="1:8" x14ac:dyDescent="0.3">
      <c r="A60" t="s">
        <v>199</v>
      </c>
      <c r="B60" t="s">
        <v>200</v>
      </c>
      <c r="C60" t="s">
        <v>74</v>
      </c>
      <c r="D60" t="s">
        <v>126</v>
      </c>
      <c r="E60" s="5">
        <v>814</v>
      </c>
      <c r="F60" s="4">
        <v>43990</v>
      </c>
      <c r="G60" t="s">
        <v>109</v>
      </c>
      <c r="H60" t="s">
        <v>32</v>
      </c>
    </row>
    <row r="61" spans="1:8" x14ac:dyDescent="0.3">
      <c r="A61" t="s">
        <v>201</v>
      </c>
      <c r="B61" t="s">
        <v>202</v>
      </c>
      <c r="C61" t="s">
        <v>65</v>
      </c>
      <c r="D61" t="s">
        <v>89</v>
      </c>
      <c r="E61" s="5">
        <v>479</v>
      </c>
      <c r="F61" s="4">
        <v>44891</v>
      </c>
      <c r="G61" t="s">
        <v>75</v>
      </c>
      <c r="H61" t="s">
        <v>34</v>
      </c>
    </row>
    <row r="62" spans="1:8" x14ac:dyDescent="0.3">
      <c r="A62" t="s">
        <v>203</v>
      </c>
      <c r="B62" t="s">
        <v>204</v>
      </c>
      <c r="C62" t="s">
        <v>104</v>
      </c>
      <c r="D62" t="s">
        <v>89</v>
      </c>
      <c r="E62" s="5">
        <v>1068</v>
      </c>
      <c r="F62" s="4">
        <v>44999</v>
      </c>
      <c r="G62" t="s">
        <v>75</v>
      </c>
      <c r="H62" t="s">
        <v>32</v>
      </c>
    </row>
    <row r="63" spans="1:8" x14ac:dyDescent="0.3">
      <c r="A63" t="s">
        <v>205</v>
      </c>
      <c r="B63" t="s">
        <v>206</v>
      </c>
      <c r="C63" t="s">
        <v>74</v>
      </c>
      <c r="D63" t="s">
        <v>66</v>
      </c>
      <c r="E63" s="5">
        <v>824</v>
      </c>
      <c r="F63" s="4">
        <v>44939</v>
      </c>
      <c r="G63" t="s">
        <v>127</v>
      </c>
      <c r="H63" t="s">
        <v>53</v>
      </c>
    </row>
    <row r="64" spans="1:8" x14ac:dyDescent="0.3">
      <c r="A64" t="s">
        <v>207</v>
      </c>
      <c r="B64" t="s">
        <v>208</v>
      </c>
      <c r="C64" t="s">
        <v>65</v>
      </c>
      <c r="D64" t="s">
        <v>80</v>
      </c>
      <c r="E64" s="5">
        <v>544</v>
      </c>
      <c r="F64" s="4">
        <v>44333</v>
      </c>
      <c r="G64" t="s">
        <v>86</v>
      </c>
      <c r="H64" t="s">
        <v>46</v>
      </c>
    </row>
    <row r="65" spans="1:8" x14ac:dyDescent="0.3">
      <c r="A65" t="s">
        <v>209</v>
      </c>
      <c r="B65" t="s">
        <v>210</v>
      </c>
      <c r="C65" t="s">
        <v>65</v>
      </c>
      <c r="D65" t="s">
        <v>70</v>
      </c>
      <c r="E65" s="5">
        <v>692</v>
      </c>
      <c r="F65" s="4">
        <v>44792</v>
      </c>
      <c r="G65" t="s">
        <v>112</v>
      </c>
      <c r="H65" t="s">
        <v>46</v>
      </c>
    </row>
    <row r="66" spans="1:8" x14ac:dyDescent="0.3">
      <c r="A66" t="s">
        <v>211</v>
      </c>
      <c r="B66" t="s">
        <v>212</v>
      </c>
      <c r="C66" t="s">
        <v>65</v>
      </c>
      <c r="D66" t="s">
        <v>80</v>
      </c>
      <c r="E66" s="5">
        <v>5</v>
      </c>
      <c r="F66" s="4">
        <v>44643</v>
      </c>
      <c r="G66" t="s">
        <v>160</v>
      </c>
      <c r="H66" t="s">
        <v>37</v>
      </c>
    </row>
    <row r="67" spans="1:8" x14ac:dyDescent="0.3">
      <c r="A67" t="s">
        <v>213</v>
      </c>
      <c r="B67" t="s">
        <v>214</v>
      </c>
      <c r="C67" t="s">
        <v>74</v>
      </c>
      <c r="D67" t="s">
        <v>126</v>
      </c>
      <c r="E67" s="5">
        <v>1431</v>
      </c>
      <c r="F67" s="4">
        <v>44705</v>
      </c>
      <c r="G67" t="s">
        <v>81</v>
      </c>
      <c r="H67" t="s">
        <v>39</v>
      </c>
    </row>
    <row r="68" spans="1:8" x14ac:dyDescent="0.3">
      <c r="A68" t="s">
        <v>215</v>
      </c>
      <c r="B68" t="s">
        <v>216</v>
      </c>
      <c r="C68" t="s">
        <v>84</v>
      </c>
      <c r="D68" t="s">
        <v>66</v>
      </c>
      <c r="E68" s="5">
        <v>5</v>
      </c>
      <c r="F68" s="4">
        <v>44838</v>
      </c>
      <c r="G68" t="s">
        <v>93</v>
      </c>
      <c r="H68" t="s">
        <v>29</v>
      </c>
    </row>
    <row r="69" spans="1:8" x14ac:dyDescent="0.3">
      <c r="A69" t="s">
        <v>217</v>
      </c>
      <c r="B69" t="s">
        <v>218</v>
      </c>
      <c r="C69" t="s">
        <v>74</v>
      </c>
      <c r="D69" t="s">
        <v>126</v>
      </c>
      <c r="E69" s="5">
        <v>134</v>
      </c>
      <c r="F69" s="4">
        <v>45479</v>
      </c>
      <c r="G69" t="s">
        <v>67</v>
      </c>
      <c r="H69" t="s">
        <v>17</v>
      </c>
    </row>
    <row r="70" spans="1:8" x14ac:dyDescent="0.3">
      <c r="A70" t="s">
        <v>219</v>
      </c>
      <c r="B70" t="s">
        <v>220</v>
      </c>
      <c r="C70" t="s">
        <v>84</v>
      </c>
      <c r="D70" t="s">
        <v>89</v>
      </c>
      <c r="E70" s="5">
        <v>493</v>
      </c>
      <c r="F70" s="4">
        <v>44833</v>
      </c>
      <c r="G70" t="s">
        <v>75</v>
      </c>
      <c r="H70" t="s">
        <v>37</v>
      </c>
    </row>
    <row r="71" spans="1:8" x14ac:dyDescent="0.3">
      <c r="A71" t="s">
        <v>221</v>
      </c>
      <c r="B71" t="s">
        <v>222</v>
      </c>
      <c r="C71" t="s">
        <v>74</v>
      </c>
      <c r="D71" t="s">
        <v>89</v>
      </c>
      <c r="E71" s="5">
        <v>483</v>
      </c>
      <c r="F71" s="4">
        <v>45530</v>
      </c>
      <c r="G71" t="s">
        <v>109</v>
      </c>
      <c r="H71" t="s">
        <v>37</v>
      </c>
    </row>
    <row r="72" spans="1:8" x14ac:dyDescent="0.3">
      <c r="A72" t="s">
        <v>223</v>
      </c>
      <c r="B72" t="s">
        <v>224</v>
      </c>
      <c r="C72" t="s">
        <v>74</v>
      </c>
      <c r="D72" t="s">
        <v>89</v>
      </c>
      <c r="E72" s="5">
        <v>590</v>
      </c>
      <c r="F72" s="4">
        <v>44981</v>
      </c>
      <c r="G72" t="s">
        <v>81</v>
      </c>
      <c r="H72" t="s">
        <v>48</v>
      </c>
    </row>
    <row r="73" spans="1:8" x14ac:dyDescent="0.3">
      <c r="A73" t="s">
        <v>225</v>
      </c>
      <c r="B73" t="s">
        <v>226</v>
      </c>
      <c r="C73" t="s">
        <v>84</v>
      </c>
      <c r="D73" t="s">
        <v>66</v>
      </c>
      <c r="E73" s="5">
        <v>403</v>
      </c>
      <c r="F73" s="4">
        <v>43857</v>
      </c>
      <c r="G73" t="s">
        <v>75</v>
      </c>
      <c r="H73" t="s">
        <v>53</v>
      </c>
    </row>
    <row r="74" spans="1:8" x14ac:dyDescent="0.3">
      <c r="A74" t="s">
        <v>227</v>
      </c>
      <c r="B74" t="s">
        <v>228</v>
      </c>
      <c r="C74" t="s">
        <v>80</v>
      </c>
      <c r="D74" t="s">
        <v>66</v>
      </c>
      <c r="E74" s="5">
        <v>102</v>
      </c>
      <c r="F74" s="4">
        <v>45591</v>
      </c>
      <c r="G74" t="s">
        <v>71</v>
      </c>
      <c r="H74" t="s">
        <v>27</v>
      </c>
    </row>
    <row r="75" spans="1:8" x14ac:dyDescent="0.3">
      <c r="A75" t="s">
        <v>229</v>
      </c>
      <c r="B75" t="s">
        <v>230</v>
      </c>
      <c r="C75" t="s">
        <v>74</v>
      </c>
      <c r="D75" t="s">
        <v>70</v>
      </c>
      <c r="E75" s="5">
        <v>119</v>
      </c>
      <c r="F75" s="4">
        <v>45690</v>
      </c>
      <c r="G75" t="s">
        <v>90</v>
      </c>
      <c r="H75" t="s">
        <v>34</v>
      </c>
    </row>
    <row r="76" spans="1:8" x14ac:dyDescent="0.3">
      <c r="A76" t="s">
        <v>231</v>
      </c>
      <c r="B76" t="s">
        <v>232</v>
      </c>
      <c r="C76" t="s">
        <v>65</v>
      </c>
      <c r="D76" t="s">
        <v>70</v>
      </c>
      <c r="E76" s="5">
        <v>382</v>
      </c>
      <c r="F76" s="4">
        <v>44138</v>
      </c>
      <c r="G76" t="s">
        <v>81</v>
      </c>
      <c r="H76" t="s">
        <v>27</v>
      </c>
    </row>
    <row r="77" spans="1:8" x14ac:dyDescent="0.3">
      <c r="A77" t="s">
        <v>233</v>
      </c>
      <c r="B77" t="s">
        <v>234</v>
      </c>
      <c r="C77" t="s">
        <v>84</v>
      </c>
      <c r="D77" t="s">
        <v>123</v>
      </c>
      <c r="E77" s="5">
        <v>727</v>
      </c>
      <c r="F77" s="4">
        <v>44256</v>
      </c>
      <c r="G77" t="s">
        <v>81</v>
      </c>
      <c r="H77" t="s">
        <v>27</v>
      </c>
    </row>
    <row r="78" spans="1:8" x14ac:dyDescent="0.3">
      <c r="A78" t="s">
        <v>235</v>
      </c>
      <c r="B78" t="s">
        <v>236</v>
      </c>
      <c r="C78" t="s">
        <v>104</v>
      </c>
      <c r="D78" t="s">
        <v>70</v>
      </c>
      <c r="E78" s="5">
        <v>601</v>
      </c>
      <c r="F78" s="4">
        <v>44815</v>
      </c>
      <c r="G78" t="s">
        <v>86</v>
      </c>
      <c r="H78" t="s">
        <v>37</v>
      </c>
    </row>
    <row r="79" spans="1:8" x14ac:dyDescent="0.3">
      <c r="A79" t="s">
        <v>237</v>
      </c>
      <c r="B79" t="s">
        <v>238</v>
      </c>
      <c r="C79" t="s">
        <v>80</v>
      </c>
      <c r="D79" t="s">
        <v>80</v>
      </c>
      <c r="E79" s="5">
        <v>709</v>
      </c>
      <c r="F79" s="4">
        <v>43975</v>
      </c>
      <c r="G79" t="s">
        <v>86</v>
      </c>
      <c r="H79" t="s">
        <v>42</v>
      </c>
    </row>
    <row r="80" spans="1:8" x14ac:dyDescent="0.3">
      <c r="A80" t="s">
        <v>239</v>
      </c>
      <c r="B80" t="s">
        <v>240</v>
      </c>
      <c r="C80" t="s">
        <v>84</v>
      </c>
      <c r="D80" t="s">
        <v>126</v>
      </c>
      <c r="E80" s="5">
        <v>699</v>
      </c>
      <c r="F80" s="4">
        <v>45913</v>
      </c>
      <c r="G80" t="s">
        <v>160</v>
      </c>
      <c r="H80" t="s">
        <v>17</v>
      </c>
    </row>
    <row r="81" spans="1:8" x14ac:dyDescent="0.3">
      <c r="A81" t="s">
        <v>241</v>
      </c>
      <c r="B81" t="s">
        <v>242</v>
      </c>
      <c r="C81" t="s">
        <v>84</v>
      </c>
      <c r="D81" t="s">
        <v>104</v>
      </c>
      <c r="E81" s="5">
        <v>490</v>
      </c>
      <c r="F81" s="4">
        <v>45254</v>
      </c>
      <c r="G81" t="s">
        <v>75</v>
      </c>
      <c r="H81" t="s">
        <v>21</v>
      </c>
    </row>
    <row r="82" spans="1:8" x14ac:dyDescent="0.3">
      <c r="A82" t="s">
        <v>243</v>
      </c>
      <c r="B82" t="s">
        <v>244</v>
      </c>
      <c r="C82" t="s">
        <v>74</v>
      </c>
      <c r="D82" t="s">
        <v>126</v>
      </c>
      <c r="E82" s="5">
        <v>646</v>
      </c>
      <c r="F82" s="4">
        <v>43968</v>
      </c>
      <c r="G82" t="s">
        <v>160</v>
      </c>
      <c r="H82" t="s">
        <v>34</v>
      </c>
    </row>
    <row r="83" spans="1:8" x14ac:dyDescent="0.3">
      <c r="A83" t="s">
        <v>245</v>
      </c>
      <c r="B83" t="s">
        <v>187</v>
      </c>
      <c r="C83" t="s">
        <v>74</v>
      </c>
      <c r="D83" t="s">
        <v>66</v>
      </c>
      <c r="E83" s="5">
        <v>205</v>
      </c>
      <c r="F83" s="4">
        <v>45523</v>
      </c>
      <c r="G83" t="s">
        <v>86</v>
      </c>
      <c r="H83" t="s">
        <v>44</v>
      </c>
    </row>
    <row r="84" spans="1:8" x14ac:dyDescent="0.3">
      <c r="A84" t="s">
        <v>246</v>
      </c>
      <c r="B84" t="s">
        <v>247</v>
      </c>
      <c r="C84" t="s">
        <v>74</v>
      </c>
      <c r="D84" t="s">
        <v>80</v>
      </c>
      <c r="E84" s="5">
        <v>154</v>
      </c>
      <c r="F84" s="4">
        <v>44187</v>
      </c>
      <c r="G84" t="s">
        <v>93</v>
      </c>
      <c r="H84" t="s">
        <v>29</v>
      </c>
    </row>
    <row r="85" spans="1:8" x14ac:dyDescent="0.3">
      <c r="A85" t="s">
        <v>248</v>
      </c>
      <c r="B85" t="s">
        <v>249</v>
      </c>
      <c r="C85" t="s">
        <v>65</v>
      </c>
      <c r="D85" t="s">
        <v>126</v>
      </c>
      <c r="E85" s="5">
        <v>163</v>
      </c>
      <c r="F85" s="4">
        <v>45500</v>
      </c>
      <c r="G85" t="s">
        <v>81</v>
      </c>
      <c r="H85" t="s">
        <v>42</v>
      </c>
    </row>
    <row r="86" spans="1:8" x14ac:dyDescent="0.3">
      <c r="A86" t="s">
        <v>250</v>
      </c>
      <c r="B86" t="s">
        <v>251</v>
      </c>
      <c r="C86" t="s">
        <v>74</v>
      </c>
      <c r="D86" t="s">
        <v>70</v>
      </c>
      <c r="E86" s="5">
        <v>240</v>
      </c>
      <c r="F86" s="4">
        <v>45533</v>
      </c>
      <c r="G86" t="s">
        <v>86</v>
      </c>
      <c r="H86" t="s">
        <v>44</v>
      </c>
    </row>
    <row r="87" spans="1:8" x14ac:dyDescent="0.3">
      <c r="A87" t="s">
        <v>252</v>
      </c>
      <c r="B87" t="s">
        <v>253</v>
      </c>
      <c r="C87" t="s">
        <v>65</v>
      </c>
      <c r="D87" t="s">
        <v>66</v>
      </c>
      <c r="E87" s="5">
        <v>586</v>
      </c>
      <c r="F87" s="4">
        <v>44021</v>
      </c>
      <c r="G87" t="s">
        <v>86</v>
      </c>
      <c r="H87" t="s">
        <v>37</v>
      </c>
    </row>
    <row r="88" spans="1:8" x14ac:dyDescent="0.3">
      <c r="A88" t="s">
        <v>254</v>
      </c>
      <c r="B88" t="s">
        <v>143</v>
      </c>
      <c r="C88" t="s">
        <v>74</v>
      </c>
      <c r="D88" t="s">
        <v>80</v>
      </c>
      <c r="E88" s="5">
        <v>445</v>
      </c>
      <c r="F88" s="4">
        <v>45712</v>
      </c>
      <c r="G88" t="s">
        <v>127</v>
      </c>
      <c r="H88" t="s">
        <v>32</v>
      </c>
    </row>
    <row r="89" spans="1:8" x14ac:dyDescent="0.3">
      <c r="A89" t="s">
        <v>255</v>
      </c>
      <c r="B89" t="s">
        <v>256</v>
      </c>
      <c r="C89" t="s">
        <v>74</v>
      </c>
      <c r="D89" t="s">
        <v>66</v>
      </c>
      <c r="E89" s="5">
        <v>260</v>
      </c>
      <c r="F89" s="4">
        <v>43992</v>
      </c>
      <c r="G89" t="s">
        <v>112</v>
      </c>
      <c r="H89" t="s">
        <v>39</v>
      </c>
    </row>
    <row r="90" spans="1:8" x14ac:dyDescent="0.3">
      <c r="A90" t="s">
        <v>257</v>
      </c>
      <c r="B90" t="s">
        <v>258</v>
      </c>
      <c r="C90" t="s">
        <v>65</v>
      </c>
      <c r="D90" t="s">
        <v>80</v>
      </c>
      <c r="E90" s="5">
        <v>153</v>
      </c>
      <c r="F90" s="4">
        <v>45225</v>
      </c>
      <c r="G90" t="s">
        <v>71</v>
      </c>
      <c r="H90" t="s">
        <v>34</v>
      </c>
    </row>
    <row r="91" spans="1:8" x14ac:dyDescent="0.3">
      <c r="A91" t="s">
        <v>259</v>
      </c>
      <c r="B91" t="s">
        <v>260</v>
      </c>
      <c r="C91" t="s">
        <v>74</v>
      </c>
      <c r="D91" t="s">
        <v>89</v>
      </c>
      <c r="E91" s="5">
        <v>535</v>
      </c>
      <c r="F91" s="4">
        <v>44436</v>
      </c>
      <c r="G91" t="s">
        <v>86</v>
      </c>
      <c r="H91" t="s">
        <v>37</v>
      </c>
    </row>
    <row r="92" spans="1:8" x14ac:dyDescent="0.3">
      <c r="A92" t="s">
        <v>261</v>
      </c>
      <c r="B92" t="s">
        <v>262</v>
      </c>
      <c r="C92" t="s">
        <v>80</v>
      </c>
      <c r="D92" t="s">
        <v>66</v>
      </c>
      <c r="E92" s="5">
        <v>995</v>
      </c>
      <c r="F92" s="4">
        <v>45589</v>
      </c>
      <c r="G92" t="s">
        <v>86</v>
      </c>
      <c r="H92" t="s">
        <v>46</v>
      </c>
    </row>
    <row r="93" spans="1:8" x14ac:dyDescent="0.3">
      <c r="A93" t="s">
        <v>263</v>
      </c>
      <c r="B93" t="s">
        <v>264</v>
      </c>
      <c r="C93" t="s">
        <v>74</v>
      </c>
      <c r="D93" t="s">
        <v>89</v>
      </c>
      <c r="E93" s="5">
        <v>848</v>
      </c>
      <c r="F93" s="4">
        <v>44912</v>
      </c>
      <c r="G93" t="s">
        <v>160</v>
      </c>
      <c r="H93" t="s">
        <v>46</v>
      </c>
    </row>
    <row r="94" spans="1:8" x14ac:dyDescent="0.3">
      <c r="A94" t="s">
        <v>265</v>
      </c>
      <c r="B94" t="s">
        <v>266</v>
      </c>
      <c r="C94" t="s">
        <v>104</v>
      </c>
      <c r="D94" t="s">
        <v>89</v>
      </c>
      <c r="E94" s="5">
        <v>667</v>
      </c>
      <c r="F94" s="4">
        <v>44700</v>
      </c>
      <c r="G94" t="s">
        <v>86</v>
      </c>
      <c r="H94" t="s">
        <v>42</v>
      </c>
    </row>
    <row r="95" spans="1:8" x14ac:dyDescent="0.3">
      <c r="A95" t="s">
        <v>267</v>
      </c>
      <c r="B95" t="s">
        <v>268</v>
      </c>
      <c r="C95" t="s">
        <v>80</v>
      </c>
      <c r="D95" t="s">
        <v>89</v>
      </c>
      <c r="E95" s="5">
        <v>185</v>
      </c>
      <c r="F95" s="4">
        <v>44220</v>
      </c>
      <c r="G95" t="s">
        <v>81</v>
      </c>
      <c r="H95" t="s">
        <v>46</v>
      </c>
    </row>
    <row r="96" spans="1:8" x14ac:dyDescent="0.3">
      <c r="A96" t="s">
        <v>269</v>
      </c>
      <c r="B96" t="s">
        <v>270</v>
      </c>
      <c r="C96" t="s">
        <v>84</v>
      </c>
      <c r="D96" t="s">
        <v>104</v>
      </c>
      <c r="E96" s="5">
        <v>1048</v>
      </c>
      <c r="F96" s="4">
        <v>44796</v>
      </c>
      <c r="G96" t="s">
        <v>127</v>
      </c>
      <c r="H96" t="s">
        <v>34</v>
      </c>
    </row>
    <row r="97" spans="1:8" x14ac:dyDescent="0.3">
      <c r="A97" t="s">
        <v>271</v>
      </c>
      <c r="B97" t="s">
        <v>272</v>
      </c>
      <c r="C97" t="s">
        <v>65</v>
      </c>
      <c r="D97" t="s">
        <v>126</v>
      </c>
      <c r="E97" s="5">
        <v>627</v>
      </c>
      <c r="F97" s="4">
        <v>45260</v>
      </c>
      <c r="G97" t="s">
        <v>90</v>
      </c>
      <c r="H97" t="s">
        <v>21</v>
      </c>
    </row>
    <row r="98" spans="1:8" x14ac:dyDescent="0.3">
      <c r="A98" t="s">
        <v>273</v>
      </c>
      <c r="B98" t="s">
        <v>274</v>
      </c>
      <c r="C98" t="s">
        <v>65</v>
      </c>
      <c r="D98" t="s">
        <v>66</v>
      </c>
      <c r="E98" s="5">
        <v>616</v>
      </c>
      <c r="F98" s="4">
        <v>44109</v>
      </c>
      <c r="G98" t="s">
        <v>127</v>
      </c>
      <c r="H98" t="s">
        <v>29</v>
      </c>
    </row>
    <row r="99" spans="1:8" x14ac:dyDescent="0.3">
      <c r="A99" t="s">
        <v>275</v>
      </c>
      <c r="B99" t="s">
        <v>276</v>
      </c>
      <c r="C99" t="s">
        <v>104</v>
      </c>
      <c r="D99" t="s">
        <v>126</v>
      </c>
      <c r="E99" s="5">
        <v>348</v>
      </c>
      <c r="F99" s="4">
        <v>45350</v>
      </c>
      <c r="G99" t="s">
        <v>109</v>
      </c>
      <c r="H99" t="s">
        <v>32</v>
      </c>
    </row>
    <row r="100" spans="1:8" x14ac:dyDescent="0.3">
      <c r="A100" t="s">
        <v>277</v>
      </c>
      <c r="B100" t="s">
        <v>278</v>
      </c>
      <c r="C100" t="s">
        <v>84</v>
      </c>
      <c r="D100" t="s">
        <v>85</v>
      </c>
      <c r="E100" s="5">
        <v>17</v>
      </c>
      <c r="F100" s="4">
        <v>44018</v>
      </c>
      <c r="G100" t="s">
        <v>93</v>
      </c>
      <c r="H100" t="s">
        <v>34</v>
      </c>
    </row>
    <row r="101" spans="1:8" x14ac:dyDescent="0.3">
      <c r="A101" t="s">
        <v>279</v>
      </c>
      <c r="B101" t="s">
        <v>280</v>
      </c>
      <c r="C101" t="s">
        <v>74</v>
      </c>
      <c r="D101" t="s">
        <v>126</v>
      </c>
      <c r="E101" s="5">
        <v>1722</v>
      </c>
      <c r="F101" s="4">
        <v>45908</v>
      </c>
      <c r="G101" t="s">
        <v>75</v>
      </c>
      <c r="H101" t="s">
        <v>17</v>
      </c>
    </row>
    <row r="102" spans="1:8" x14ac:dyDescent="0.3">
      <c r="A102" t="s">
        <v>281</v>
      </c>
      <c r="B102" t="s">
        <v>282</v>
      </c>
      <c r="C102" t="s">
        <v>80</v>
      </c>
      <c r="D102" t="s">
        <v>89</v>
      </c>
      <c r="E102" s="5">
        <v>825</v>
      </c>
      <c r="F102" s="4">
        <v>45055</v>
      </c>
      <c r="G102" t="s">
        <v>67</v>
      </c>
      <c r="H102" t="s">
        <v>44</v>
      </c>
    </row>
    <row r="103" spans="1:8" x14ac:dyDescent="0.3">
      <c r="A103" t="s">
        <v>283</v>
      </c>
      <c r="B103" t="s">
        <v>284</v>
      </c>
      <c r="C103" t="s">
        <v>84</v>
      </c>
      <c r="D103" t="s">
        <v>126</v>
      </c>
      <c r="E103" s="5">
        <v>5</v>
      </c>
      <c r="F103" s="4">
        <v>45437</v>
      </c>
      <c r="G103" t="s">
        <v>81</v>
      </c>
      <c r="H103" t="s">
        <v>44</v>
      </c>
    </row>
    <row r="104" spans="1:8" x14ac:dyDescent="0.3">
      <c r="A104" t="s">
        <v>285</v>
      </c>
      <c r="B104" t="s">
        <v>286</v>
      </c>
      <c r="C104" t="s">
        <v>74</v>
      </c>
      <c r="D104" t="s">
        <v>85</v>
      </c>
      <c r="E104" s="5">
        <v>970</v>
      </c>
      <c r="F104" s="4">
        <v>44659</v>
      </c>
      <c r="G104" t="s">
        <v>86</v>
      </c>
      <c r="H104" t="s">
        <v>27</v>
      </c>
    </row>
    <row r="105" spans="1:8" x14ac:dyDescent="0.3">
      <c r="A105" t="s">
        <v>287</v>
      </c>
      <c r="B105" t="s">
        <v>288</v>
      </c>
      <c r="C105" t="s">
        <v>104</v>
      </c>
      <c r="D105" t="s">
        <v>85</v>
      </c>
      <c r="E105" s="5">
        <v>1014</v>
      </c>
      <c r="F105" s="4">
        <v>43942</v>
      </c>
      <c r="G105" t="s">
        <v>67</v>
      </c>
      <c r="H105" t="s">
        <v>29</v>
      </c>
    </row>
    <row r="106" spans="1:8" x14ac:dyDescent="0.3">
      <c r="A106" t="s">
        <v>289</v>
      </c>
      <c r="B106" t="s">
        <v>290</v>
      </c>
      <c r="C106" t="s">
        <v>84</v>
      </c>
      <c r="D106" t="s">
        <v>85</v>
      </c>
      <c r="E106" s="5">
        <v>1123</v>
      </c>
      <c r="F106" s="4">
        <v>45421</v>
      </c>
      <c r="G106" t="s">
        <v>71</v>
      </c>
      <c r="H106" t="s">
        <v>46</v>
      </c>
    </row>
    <row r="107" spans="1:8" x14ac:dyDescent="0.3">
      <c r="A107" t="s">
        <v>291</v>
      </c>
      <c r="B107" t="s">
        <v>292</v>
      </c>
      <c r="C107" t="s">
        <v>65</v>
      </c>
      <c r="D107" t="s">
        <v>89</v>
      </c>
      <c r="E107" s="5">
        <v>1044</v>
      </c>
      <c r="F107" s="4">
        <v>45940</v>
      </c>
      <c r="G107" t="s">
        <v>160</v>
      </c>
      <c r="H107" t="s">
        <v>21</v>
      </c>
    </row>
    <row r="108" spans="1:8" x14ac:dyDescent="0.3">
      <c r="A108" t="s">
        <v>293</v>
      </c>
      <c r="B108" t="s">
        <v>294</v>
      </c>
      <c r="C108" t="s">
        <v>65</v>
      </c>
      <c r="D108" t="s">
        <v>89</v>
      </c>
      <c r="E108" s="5">
        <v>605</v>
      </c>
      <c r="F108" s="4">
        <v>45040</v>
      </c>
      <c r="G108" t="s">
        <v>86</v>
      </c>
      <c r="H108" t="s">
        <v>42</v>
      </c>
    </row>
    <row r="109" spans="1:8" x14ac:dyDescent="0.3">
      <c r="A109" t="s">
        <v>295</v>
      </c>
      <c r="B109" t="s">
        <v>296</v>
      </c>
      <c r="C109" t="s">
        <v>74</v>
      </c>
      <c r="D109" t="s">
        <v>70</v>
      </c>
      <c r="E109" s="5">
        <v>388</v>
      </c>
      <c r="F109" s="4">
        <v>44096</v>
      </c>
      <c r="G109" t="s">
        <v>160</v>
      </c>
      <c r="H109" t="s">
        <v>34</v>
      </c>
    </row>
    <row r="110" spans="1:8" x14ac:dyDescent="0.3">
      <c r="A110" t="s">
        <v>297</v>
      </c>
      <c r="B110" t="s">
        <v>298</v>
      </c>
      <c r="C110" t="s">
        <v>80</v>
      </c>
      <c r="D110" t="s">
        <v>66</v>
      </c>
      <c r="E110" s="5">
        <v>291</v>
      </c>
      <c r="F110" s="4">
        <v>45442</v>
      </c>
      <c r="G110" t="s">
        <v>75</v>
      </c>
      <c r="H110" t="s">
        <v>32</v>
      </c>
    </row>
    <row r="111" spans="1:8" x14ac:dyDescent="0.3">
      <c r="A111" t="s">
        <v>299</v>
      </c>
      <c r="B111" t="s">
        <v>300</v>
      </c>
      <c r="C111" t="s">
        <v>84</v>
      </c>
      <c r="D111" t="s">
        <v>70</v>
      </c>
      <c r="E111" s="5">
        <v>457</v>
      </c>
      <c r="F111" s="4">
        <v>44298</v>
      </c>
      <c r="G111" t="s">
        <v>109</v>
      </c>
      <c r="H111" t="s">
        <v>42</v>
      </c>
    </row>
    <row r="112" spans="1:8" x14ac:dyDescent="0.3">
      <c r="A112" t="s">
        <v>301</v>
      </c>
      <c r="B112" t="s">
        <v>302</v>
      </c>
      <c r="C112" t="s">
        <v>84</v>
      </c>
      <c r="D112" t="s">
        <v>66</v>
      </c>
      <c r="E112" s="5">
        <v>208</v>
      </c>
      <c r="F112" s="4">
        <v>44512</v>
      </c>
      <c r="G112" t="s">
        <v>81</v>
      </c>
      <c r="H112" t="s">
        <v>32</v>
      </c>
    </row>
    <row r="113" spans="1:8" x14ac:dyDescent="0.3">
      <c r="A113" t="s">
        <v>303</v>
      </c>
      <c r="B113" t="s">
        <v>304</v>
      </c>
      <c r="C113" t="s">
        <v>74</v>
      </c>
      <c r="D113" t="s">
        <v>66</v>
      </c>
      <c r="E113" s="5">
        <v>537</v>
      </c>
      <c r="F113" s="4">
        <v>45497</v>
      </c>
      <c r="G113" t="s">
        <v>86</v>
      </c>
      <c r="H113" t="s">
        <v>44</v>
      </c>
    </row>
    <row r="114" spans="1:8" x14ac:dyDescent="0.3">
      <c r="A114" t="s">
        <v>305</v>
      </c>
      <c r="B114" t="s">
        <v>306</v>
      </c>
      <c r="C114" t="s">
        <v>80</v>
      </c>
      <c r="D114" t="s">
        <v>70</v>
      </c>
      <c r="E114" s="5">
        <v>5</v>
      </c>
      <c r="F114" s="4">
        <v>45157</v>
      </c>
      <c r="G114" t="s">
        <v>81</v>
      </c>
      <c r="H114" t="s">
        <v>27</v>
      </c>
    </row>
    <row r="115" spans="1:8" x14ac:dyDescent="0.3">
      <c r="A115" t="s">
        <v>307</v>
      </c>
      <c r="B115" t="s">
        <v>308</v>
      </c>
      <c r="C115" t="s">
        <v>74</v>
      </c>
      <c r="D115" t="s">
        <v>70</v>
      </c>
      <c r="E115" s="5">
        <v>1358</v>
      </c>
      <c r="F115" s="4">
        <v>45986</v>
      </c>
      <c r="G115" t="s">
        <v>67</v>
      </c>
      <c r="H115" t="s">
        <v>24</v>
      </c>
    </row>
    <row r="116" spans="1:8" x14ac:dyDescent="0.3">
      <c r="A116" t="s">
        <v>309</v>
      </c>
      <c r="B116" t="s">
        <v>220</v>
      </c>
      <c r="C116" t="s">
        <v>74</v>
      </c>
      <c r="D116" t="s">
        <v>89</v>
      </c>
      <c r="E116" s="5">
        <v>672</v>
      </c>
      <c r="F116" s="4">
        <v>45023</v>
      </c>
      <c r="G116" t="s">
        <v>67</v>
      </c>
      <c r="H116" t="s">
        <v>24</v>
      </c>
    </row>
    <row r="117" spans="1:8" x14ac:dyDescent="0.3">
      <c r="A117" t="s">
        <v>310</v>
      </c>
      <c r="B117" t="s">
        <v>311</v>
      </c>
      <c r="C117" t="s">
        <v>84</v>
      </c>
      <c r="D117" t="s">
        <v>80</v>
      </c>
      <c r="E117" s="5">
        <v>692</v>
      </c>
      <c r="F117" s="4">
        <v>45737</v>
      </c>
      <c r="G117" t="s">
        <v>75</v>
      </c>
      <c r="H117" t="s">
        <v>48</v>
      </c>
    </row>
    <row r="118" spans="1:8" x14ac:dyDescent="0.3">
      <c r="A118" t="s">
        <v>312</v>
      </c>
      <c r="B118" t="s">
        <v>313</v>
      </c>
      <c r="C118" t="s">
        <v>74</v>
      </c>
      <c r="D118" t="s">
        <v>80</v>
      </c>
      <c r="E118" s="5">
        <v>548</v>
      </c>
      <c r="F118" s="4">
        <v>43862</v>
      </c>
      <c r="G118" t="s">
        <v>127</v>
      </c>
      <c r="H118" t="s">
        <v>44</v>
      </c>
    </row>
    <row r="119" spans="1:8" x14ac:dyDescent="0.3">
      <c r="A119" t="s">
        <v>314</v>
      </c>
      <c r="B119" t="s">
        <v>315</v>
      </c>
      <c r="C119" t="s">
        <v>104</v>
      </c>
      <c r="D119" t="s">
        <v>85</v>
      </c>
      <c r="E119" s="5">
        <v>414</v>
      </c>
      <c r="F119" s="4">
        <v>45555</v>
      </c>
      <c r="G119" t="s">
        <v>75</v>
      </c>
      <c r="H119" t="s">
        <v>21</v>
      </c>
    </row>
    <row r="120" spans="1:8" x14ac:dyDescent="0.3">
      <c r="A120" t="s">
        <v>316</v>
      </c>
      <c r="B120" t="s">
        <v>317</v>
      </c>
      <c r="C120" t="s">
        <v>74</v>
      </c>
      <c r="D120" t="s">
        <v>70</v>
      </c>
      <c r="E120" s="5">
        <v>120</v>
      </c>
      <c r="F120" s="4">
        <v>44666</v>
      </c>
      <c r="G120" t="s">
        <v>75</v>
      </c>
      <c r="H120" t="s">
        <v>37</v>
      </c>
    </row>
    <row r="121" spans="1:8" x14ac:dyDescent="0.3">
      <c r="A121" t="s">
        <v>318</v>
      </c>
      <c r="B121" t="s">
        <v>319</v>
      </c>
      <c r="C121" t="s">
        <v>74</v>
      </c>
      <c r="D121" t="s">
        <v>126</v>
      </c>
      <c r="E121" s="5">
        <v>123</v>
      </c>
      <c r="F121" s="4">
        <v>45117</v>
      </c>
      <c r="G121" t="s">
        <v>75</v>
      </c>
      <c r="H121" t="s">
        <v>53</v>
      </c>
    </row>
    <row r="122" spans="1:8" x14ac:dyDescent="0.3">
      <c r="A122" t="s">
        <v>320</v>
      </c>
      <c r="B122" t="s">
        <v>321</v>
      </c>
      <c r="C122" t="s">
        <v>104</v>
      </c>
      <c r="D122" t="s">
        <v>85</v>
      </c>
      <c r="E122" s="5">
        <v>411</v>
      </c>
      <c r="F122" s="4">
        <v>44717</v>
      </c>
      <c r="G122" t="s">
        <v>127</v>
      </c>
      <c r="H122" t="s">
        <v>24</v>
      </c>
    </row>
    <row r="123" spans="1:8" x14ac:dyDescent="0.3">
      <c r="A123" t="s">
        <v>322</v>
      </c>
      <c r="B123" t="s">
        <v>323</v>
      </c>
      <c r="C123" t="s">
        <v>104</v>
      </c>
      <c r="D123" t="s">
        <v>70</v>
      </c>
      <c r="E123" s="5">
        <v>149</v>
      </c>
      <c r="F123" s="4">
        <v>45602</v>
      </c>
      <c r="G123" t="s">
        <v>67</v>
      </c>
      <c r="H123" t="s">
        <v>39</v>
      </c>
    </row>
    <row r="124" spans="1:8" x14ac:dyDescent="0.3">
      <c r="A124" t="s">
        <v>324</v>
      </c>
      <c r="B124" t="s">
        <v>325</v>
      </c>
      <c r="C124" t="s">
        <v>65</v>
      </c>
      <c r="D124" t="s">
        <v>126</v>
      </c>
      <c r="E124" s="5">
        <v>5</v>
      </c>
      <c r="F124" s="4">
        <v>44265</v>
      </c>
      <c r="G124" t="s">
        <v>109</v>
      </c>
      <c r="H124" t="s">
        <v>42</v>
      </c>
    </row>
    <row r="125" spans="1:8" x14ac:dyDescent="0.3">
      <c r="A125" t="s">
        <v>326</v>
      </c>
      <c r="B125" t="s">
        <v>327</v>
      </c>
      <c r="C125" t="s">
        <v>65</v>
      </c>
      <c r="D125" t="s">
        <v>66</v>
      </c>
      <c r="E125" s="5">
        <v>828</v>
      </c>
      <c r="F125" s="4">
        <v>44022</v>
      </c>
      <c r="G125" t="s">
        <v>90</v>
      </c>
      <c r="H125" t="s">
        <v>32</v>
      </c>
    </row>
    <row r="126" spans="1:8" x14ac:dyDescent="0.3">
      <c r="A126" t="s">
        <v>328</v>
      </c>
      <c r="B126" t="s">
        <v>329</v>
      </c>
      <c r="C126" t="s">
        <v>84</v>
      </c>
      <c r="D126" t="s">
        <v>80</v>
      </c>
      <c r="E126" s="5">
        <v>687</v>
      </c>
      <c r="F126" s="4">
        <v>45890</v>
      </c>
      <c r="G126" t="s">
        <v>67</v>
      </c>
      <c r="H126" t="s">
        <v>24</v>
      </c>
    </row>
    <row r="127" spans="1:8" x14ac:dyDescent="0.3">
      <c r="A127" t="s">
        <v>330</v>
      </c>
      <c r="B127" t="s">
        <v>331</v>
      </c>
      <c r="C127" t="s">
        <v>80</v>
      </c>
      <c r="D127" t="s">
        <v>85</v>
      </c>
      <c r="E127" s="5">
        <v>5</v>
      </c>
      <c r="F127" s="4">
        <v>45254</v>
      </c>
      <c r="G127" t="s">
        <v>71</v>
      </c>
      <c r="H127" t="s">
        <v>44</v>
      </c>
    </row>
    <row r="128" spans="1:8" x14ac:dyDescent="0.3">
      <c r="A128" t="s">
        <v>332</v>
      </c>
      <c r="B128" t="s">
        <v>333</v>
      </c>
      <c r="C128" t="s">
        <v>84</v>
      </c>
      <c r="D128" t="s">
        <v>123</v>
      </c>
      <c r="E128" s="5">
        <v>810</v>
      </c>
      <c r="F128" s="4">
        <v>44457</v>
      </c>
      <c r="G128" t="s">
        <v>75</v>
      </c>
      <c r="H128" t="s">
        <v>32</v>
      </c>
    </row>
    <row r="129" spans="1:8" x14ac:dyDescent="0.3">
      <c r="A129" t="s">
        <v>334</v>
      </c>
      <c r="B129" t="s">
        <v>335</v>
      </c>
      <c r="C129" t="s">
        <v>84</v>
      </c>
      <c r="D129" t="s">
        <v>89</v>
      </c>
      <c r="E129" s="5">
        <v>684</v>
      </c>
      <c r="F129" s="4">
        <v>45650</v>
      </c>
      <c r="G129" t="s">
        <v>93</v>
      </c>
      <c r="H129" t="s">
        <v>24</v>
      </c>
    </row>
    <row r="130" spans="1:8" x14ac:dyDescent="0.3">
      <c r="A130" t="s">
        <v>336</v>
      </c>
      <c r="B130" t="s">
        <v>337</v>
      </c>
      <c r="C130" t="s">
        <v>74</v>
      </c>
      <c r="D130" t="s">
        <v>126</v>
      </c>
      <c r="E130" s="5">
        <v>73</v>
      </c>
      <c r="F130" s="4">
        <v>44879</v>
      </c>
      <c r="G130" t="s">
        <v>71</v>
      </c>
      <c r="H130" t="s">
        <v>21</v>
      </c>
    </row>
    <row r="131" spans="1:8" x14ac:dyDescent="0.3">
      <c r="A131" t="s">
        <v>338</v>
      </c>
      <c r="B131" t="s">
        <v>339</v>
      </c>
      <c r="C131" t="s">
        <v>74</v>
      </c>
      <c r="D131" t="s">
        <v>126</v>
      </c>
      <c r="E131" s="5">
        <v>484</v>
      </c>
      <c r="F131" s="4">
        <v>44004</v>
      </c>
      <c r="G131" t="s">
        <v>67</v>
      </c>
      <c r="H131" t="s">
        <v>27</v>
      </c>
    </row>
    <row r="132" spans="1:8" x14ac:dyDescent="0.3">
      <c r="A132" t="s">
        <v>340</v>
      </c>
      <c r="B132" t="s">
        <v>341</v>
      </c>
      <c r="C132" t="s">
        <v>74</v>
      </c>
      <c r="D132" t="s">
        <v>66</v>
      </c>
      <c r="E132" s="5">
        <v>495</v>
      </c>
      <c r="F132" s="4">
        <v>44951</v>
      </c>
      <c r="G132" t="s">
        <v>127</v>
      </c>
      <c r="H132" t="s">
        <v>21</v>
      </c>
    </row>
    <row r="133" spans="1:8" x14ac:dyDescent="0.3">
      <c r="A133" t="s">
        <v>342</v>
      </c>
      <c r="B133" t="s">
        <v>343</v>
      </c>
      <c r="C133" t="s">
        <v>74</v>
      </c>
      <c r="D133" t="s">
        <v>85</v>
      </c>
      <c r="E133" s="5">
        <v>634</v>
      </c>
      <c r="F133" s="4">
        <v>45055</v>
      </c>
      <c r="G133" t="s">
        <v>67</v>
      </c>
      <c r="H133" t="s">
        <v>34</v>
      </c>
    </row>
    <row r="134" spans="1:8" x14ac:dyDescent="0.3">
      <c r="A134" t="s">
        <v>344</v>
      </c>
      <c r="B134" t="s">
        <v>345</v>
      </c>
      <c r="C134" t="s">
        <v>65</v>
      </c>
      <c r="D134" t="s">
        <v>70</v>
      </c>
      <c r="E134" s="5">
        <v>306</v>
      </c>
      <c r="F134" s="4">
        <v>44341</v>
      </c>
      <c r="G134" t="s">
        <v>75</v>
      </c>
      <c r="H134" t="s">
        <v>21</v>
      </c>
    </row>
    <row r="135" spans="1:8" x14ac:dyDescent="0.3">
      <c r="A135" t="s">
        <v>346</v>
      </c>
      <c r="B135" t="s">
        <v>347</v>
      </c>
      <c r="C135" t="s">
        <v>74</v>
      </c>
      <c r="D135" t="s">
        <v>123</v>
      </c>
      <c r="E135" s="5">
        <v>791</v>
      </c>
      <c r="F135" s="4">
        <v>44113</v>
      </c>
      <c r="G135" t="s">
        <v>67</v>
      </c>
      <c r="H135" t="s">
        <v>34</v>
      </c>
    </row>
    <row r="136" spans="1:8" x14ac:dyDescent="0.3">
      <c r="A136" t="s">
        <v>348</v>
      </c>
      <c r="B136" t="s">
        <v>349</v>
      </c>
      <c r="C136" t="s">
        <v>65</v>
      </c>
      <c r="D136" t="s">
        <v>80</v>
      </c>
      <c r="E136" s="5">
        <v>210</v>
      </c>
      <c r="F136" s="4">
        <v>44607</v>
      </c>
      <c r="G136" t="s">
        <v>112</v>
      </c>
      <c r="H136" t="s">
        <v>48</v>
      </c>
    </row>
    <row r="137" spans="1:8" x14ac:dyDescent="0.3">
      <c r="A137" t="s">
        <v>350</v>
      </c>
      <c r="B137" t="s">
        <v>351</v>
      </c>
      <c r="C137" t="s">
        <v>65</v>
      </c>
      <c r="D137" t="s">
        <v>80</v>
      </c>
      <c r="E137" s="5">
        <v>633</v>
      </c>
      <c r="F137" s="4">
        <v>45203</v>
      </c>
      <c r="G137" t="s">
        <v>127</v>
      </c>
      <c r="H137" t="s">
        <v>46</v>
      </c>
    </row>
    <row r="138" spans="1:8" x14ac:dyDescent="0.3">
      <c r="A138" t="s">
        <v>352</v>
      </c>
      <c r="B138" t="s">
        <v>353</v>
      </c>
      <c r="C138" t="s">
        <v>74</v>
      </c>
      <c r="D138" t="s">
        <v>70</v>
      </c>
      <c r="E138" s="5">
        <v>5</v>
      </c>
      <c r="F138" s="4">
        <v>45689</v>
      </c>
      <c r="G138" t="s">
        <v>71</v>
      </c>
      <c r="H138" t="s">
        <v>37</v>
      </c>
    </row>
    <row r="139" spans="1:8" x14ac:dyDescent="0.3">
      <c r="A139" t="s">
        <v>354</v>
      </c>
      <c r="B139" t="s">
        <v>355</v>
      </c>
      <c r="C139" t="s">
        <v>84</v>
      </c>
      <c r="D139" t="s">
        <v>85</v>
      </c>
      <c r="E139" s="5">
        <v>95</v>
      </c>
      <c r="F139" s="4">
        <v>44674</v>
      </c>
      <c r="G139" t="s">
        <v>67</v>
      </c>
      <c r="H139" t="s">
        <v>37</v>
      </c>
    </row>
    <row r="140" spans="1:8" x14ac:dyDescent="0.3">
      <c r="A140" t="s">
        <v>356</v>
      </c>
      <c r="B140" t="s">
        <v>357</v>
      </c>
      <c r="C140" t="s">
        <v>65</v>
      </c>
      <c r="D140" t="s">
        <v>89</v>
      </c>
      <c r="E140" s="5">
        <v>176</v>
      </c>
      <c r="F140" s="4">
        <v>45694</v>
      </c>
      <c r="G140" t="s">
        <v>127</v>
      </c>
      <c r="H140" t="s">
        <v>37</v>
      </c>
    </row>
    <row r="141" spans="1:8" x14ac:dyDescent="0.3">
      <c r="A141" t="s">
        <v>358</v>
      </c>
      <c r="B141" t="s">
        <v>359</v>
      </c>
      <c r="C141" t="s">
        <v>104</v>
      </c>
      <c r="D141" t="s">
        <v>70</v>
      </c>
      <c r="E141" s="5">
        <v>272</v>
      </c>
      <c r="F141" s="4">
        <v>45628</v>
      </c>
      <c r="G141" t="s">
        <v>75</v>
      </c>
      <c r="H141" t="s">
        <v>42</v>
      </c>
    </row>
    <row r="142" spans="1:8" x14ac:dyDescent="0.3">
      <c r="A142" t="s">
        <v>360</v>
      </c>
      <c r="B142" t="s">
        <v>361</v>
      </c>
      <c r="C142" t="s">
        <v>65</v>
      </c>
      <c r="D142" t="s">
        <v>89</v>
      </c>
      <c r="E142" s="5">
        <v>271</v>
      </c>
      <c r="F142" s="4">
        <v>44049</v>
      </c>
      <c r="G142" t="s">
        <v>90</v>
      </c>
      <c r="H142" t="s">
        <v>37</v>
      </c>
    </row>
    <row r="143" spans="1:8" x14ac:dyDescent="0.3">
      <c r="A143" t="s">
        <v>362</v>
      </c>
      <c r="B143" t="s">
        <v>363</v>
      </c>
      <c r="C143" t="s">
        <v>80</v>
      </c>
      <c r="D143" t="s">
        <v>70</v>
      </c>
      <c r="E143" s="5">
        <v>198</v>
      </c>
      <c r="F143" s="4">
        <v>45291</v>
      </c>
      <c r="G143" t="s">
        <v>93</v>
      </c>
      <c r="H143" t="s">
        <v>46</v>
      </c>
    </row>
    <row r="144" spans="1:8" x14ac:dyDescent="0.3">
      <c r="A144" t="s">
        <v>364</v>
      </c>
      <c r="B144" t="s">
        <v>365</v>
      </c>
      <c r="C144" t="s">
        <v>65</v>
      </c>
      <c r="D144" t="s">
        <v>70</v>
      </c>
      <c r="E144" s="5">
        <v>250</v>
      </c>
      <c r="F144" s="4">
        <v>44323</v>
      </c>
      <c r="G144" t="s">
        <v>160</v>
      </c>
      <c r="H144" t="s">
        <v>42</v>
      </c>
    </row>
    <row r="145" spans="1:8" x14ac:dyDescent="0.3">
      <c r="A145" t="s">
        <v>366</v>
      </c>
      <c r="B145" t="s">
        <v>69</v>
      </c>
      <c r="C145" t="s">
        <v>74</v>
      </c>
      <c r="D145" t="s">
        <v>70</v>
      </c>
      <c r="E145" s="5">
        <v>654</v>
      </c>
      <c r="F145" s="4">
        <v>44414</v>
      </c>
      <c r="G145" t="s">
        <v>127</v>
      </c>
      <c r="H145" t="s">
        <v>46</v>
      </c>
    </row>
    <row r="146" spans="1:8" x14ac:dyDescent="0.3">
      <c r="A146" t="s">
        <v>367</v>
      </c>
      <c r="B146" t="s">
        <v>368</v>
      </c>
      <c r="C146" t="s">
        <v>74</v>
      </c>
      <c r="D146" t="s">
        <v>80</v>
      </c>
      <c r="E146" s="5">
        <v>654</v>
      </c>
      <c r="F146" s="4">
        <v>44392</v>
      </c>
      <c r="G146" t="s">
        <v>71</v>
      </c>
      <c r="H146" t="s">
        <v>46</v>
      </c>
    </row>
    <row r="147" spans="1:8" x14ac:dyDescent="0.3">
      <c r="A147" t="s">
        <v>369</v>
      </c>
      <c r="B147" t="s">
        <v>370</v>
      </c>
      <c r="C147" t="s">
        <v>65</v>
      </c>
      <c r="D147" t="s">
        <v>89</v>
      </c>
      <c r="E147" s="5">
        <v>702</v>
      </c>
      <c r="F147" s="4">
        <v>45474</v>
      </c>
      <c r="G147" t="s">
        <v>81</v>
      </c>
      <c r="H147" t="s">
        <v>44</v>
      </c>
    </row>
    <row r="148" spans="1:8" x14ac:dyDescent="0.3">
      <c r="A148" t="s">
        <v>371</v>
      </c>
      <c r="B148" t="s">
        <v>372</v>
      </c>
      <c r="C148" t="s">
        <v>74</v>
      </c>
      <c r="D148" t="s">
        <v>66</v>
      </c>
      <c r="E148" s="5">
        <v>755</v>
      </c>
      <c r="F148" s="4">
        <v>44006</v>
      </c>
      <c r="G148" t="s">
        <v>90</v>
      </c>
      <c r="H148" t="s">
        <v>24</v>
      </c>
    </row>
    <row r="149" spans="1:8" x14ac:dyDescent="0.3">
      <c r="A149" t="s">
        <v>373</v>
      </c>
      <c r="B149" t="s">
        <v>374</v>
      </c>
      <c r="C149" t="s">
        <v>104</v>
      </c>
      <c r="D149" t="s">
        <v>70</v>
      </c>
      <c r="E149" s="5">
        <v>353</v>
      </c>
      <c r="F149" s="4">
        <v>43841</v>
      </c>
      <c r="G149" t="s">
        <v>81</v>
      </c>
      <c r="H149" t="s">
        <v>32</v>
      </c>
    </row>
    <row r="150" spans="1:8" x14ac:dyDescent="0.3">
      <c r="A150" t="s">
        <v>375</v>
      </c>
      <c r="B150" t="s">
        <v>376</v>
      </c>
      <c r="C150" t="s">
        <v>65</v>
      </c>
      <c r="D150" t="s">
        <v>70</v>
      </c>
      <c r="E150" s="5">
        <v>743</v>
      </c>
      <c r="F150" s="4">
        <v>45319</v>
      </c>
      <c r="G150" t="s">
        <v>86</v>
      </c>
      <c r="H150" t="s">
        <v>34</v>
      </c>
    </row>
    <row r="151" spans="1:8" x14ac:dyDescent="0.3">
      <c r="A151" t="s">
        <v>377</v>
      </c>
      <c r="B151" t="s">
        <v>378</v>
      </c>
      <c r="C151" t="s">
        <v>80</v>
      </c>
      <c r="D151" t="s">
        <v>126</v>
      </c>
      <c r="E151" s="5">
        <v>5</v>
      </c>
      <c r="F151" s="4">
        <v>44159</v>
      </c>
      <c r="G151" t="s">
        <v>71</v>
      </c>
      <c r="H151" t="s">
        <v>27</v>
      </c>
    </row>
    <row r="152" spans="1:8" x14ac:dyDescent="0.3">
      <c r="A152" t="s">
        <v>379</v>
      </c>
      <c r="B152" t="s">
        <v>380</v>
      </c>
      <c r="C152" t="s">
        <v>104</v>
      </c>
      <c r="D152" t="s">
        <v>70</v>
      </c>
      <c r="E152" s="5">
        <v>251</v>
      </c>
      <c r="F152" s="4">
        <v>44193</v>
      </c>
      <c r="G152" t="s">
        <v>75</v>
      </c>
      <c r="H152" t="s">
        <v>48</v>
      </c>
    </row>
    <row r="153" spans="1:8" x14ac:dyDescent="0.3">
      <c r="A153" t="s">
        <v>381</v>
      </c>
      <c r="B153" t="s">
        <v>382</v>
      </c>
      <c r="C153" t="s">
        <v>65</v>
      </c>
      <c r="D153" t="s">
        <v>70</v>
      </c>
      <c r="E153" s="5">
        <v>40</v>
      </c>
      <c r="F153" s="4">
        <v>45180</v>
      </c>
      <c r="G153" t="s">
        <v>112</v>
      </c>
      <c r="H153" t="s">
        <v>17</v>
      </c>
    </row>
    <row r="154" spans="1:8" x14ac:dyDescent="0.3">
      <c r="A154" t="s">
        <v>383</v>
      </c>
      <c r="B154" t="s">
        <v>384</v>
      </c>
      <c r="C154" t="s">
        <v>65</v>
      </c>
      <c r="D154" t="s">
        <v>70</v>
      </c>
      <c r="E154" s="5">
        <v>837</v>
      </c>
      <c r="F154" s="4">
        <v>44830</v>
      </c>
      <c r="G154" t="s">
        <v>93</v>
      </c>
      <c r="H154" t="s">
        <v>29</v>
      </c>
    </row>
    <row r="155" spans="1:8" x14ac:dyDescent="0.3">
      <c r="A155" t="s">
        <v>385</v>
      </c>
      <c r="B155" t="s">
        <v>386</v>
      </c>
      <c r="C155" t="s">
        <v>74</v>
      </c>
      <c r="D155" t="s">
        <v>85</v>
      </c>
      <c r="E155" s="5">
        <v>5</v>
      </c>
      <c r="F155" s="4">
        <v>45088</v>
      </c>
      <c r="G155" t="s">
        <v>75</v>
      </c>
      <c r="H155" t="s">
        <v>53</v>
      </c>
    </row>
    <row r="156" spans="1:8" x14ac:dyDescent="0.3">
      <c r="A156" t="s">
        <v>387</v>
      </c>
      <c r="B156" t="s">
        <v>388</v>
      </c>
      <c r="C156" t="s">
        <v>65</v>
      </c>
      <c r="D156" t="s">
        <v>85</v>
      </c>
      <c r="E156" s="5">
        <v>340</v>
      </c>
      <c r="F156" s="4">
        <v>45078</v>
      </c>
      <c r="G156" t="s">
        <v>109</v>
      </c>
      <c r="H156" t="s">
        <v>53</v>
      </c>
    </row>
    <row r="157" spans="1:8" x14ac:dyDescent="0.3">
      <c r="A157" t="s">
        <v>389</v>
      </c>
      <c r="B157" t="s">
        <v>390</v>
      </c>
      <c r="C157" t="s">
        <v>84</v>
      </c>
      <c r="D157" t="s">
        <v>70</v>
      </c>
      <c r="E157" s="5">
        <v>544</v>
      </c>
      <c r="F157" s="4">
        <v>44822</v>
      </c>
      <c r="G157" t="s">
        <v>86</v>
      </c>
      <c r="H157" t="s">
        <v>48</v>
      </c>
    </row>
    <row r="158" spans="1:8" x14ac:dyDescent="0.3">
      <c r="A158" t="s">
        <v>391</v>
      </c>
      <c r="B158" t="s">
        <v>392</v>
      </c>
      <c r="C158" t="s">
        <v>74</v>
      </c>
      <c r="D158" t="s">
        <v>70</v>
      </c>
      <c r="E158" s="5">
        <v>425</v>
      </c>
      <c r="F158" s="4">
        <v>43836</v>
      </c>
      <c r="G158" t="s">
        <v>86</v>
      </c>
      <c r="H158" t="s">
        <v>48</v>
      </c>
    </row>
    <row r="159" spans="1:8" x14ac:dyDescent="0.3">
      <c r="A159" t="s">
        <v>393</v>
      </c>
      <c r="B159" t="s">
        <v>394</v>
      </c>
      <c r="C159" t="s">
        <v>74</v>
      </c>
      <c r="D159" t="s">
        <v>66</v>
      </c>
      <c r="E159" s="5">
        <v>1113</v>
      </c>
      <c r="F159" s="4">
        <v>44125</v>
      </c>
      <c r="G159" t="s">
        <v>93</v>
      </c>
      <c r="H159" t="s">
        <v>50</v>
      </c>
    </row>
    <row r="160" spans="1:8" x14ac:dyDescent="0.3">
      <c r="A160" t="s">
        <v>395</v>
      </c>
      <c r="B160" t="s">
        <v>396</v>
      </c>
      <c r="C160" t="s">
        <v>74</v>
      </c>
      <c r="D160" t="s">
        <v>80</v>
      </c>
      <c r="E160" s="5">
        <v>459</v>
      </c>
      <c r="F160" s="4">
        <v>44239</v>
      </c>
      <c r="G160" t="s">
        <v>81</v>
      </c>
      <c r="H160" t="s">
        <v>32</v>
      </c>
    </row>
    <row r="161" spans="1:8" x14ac:dyDescent="0.3">
      <c r="A161" t="s">
        <v>397</v>
      </c>
      <c r="B161" t="s">
        <v>398</v>
      </c>
      <c r="C161" t="s">
        <v>74</v>
      </c>
      <c r="D161" t="s">
        <v>126</v>
      </c>
      <c r="E161" s="5">
        <v>644</v>
      </c>
      <c r="F161" s="4">
        <v>43853</v>
      </c>
      <c r="G161" t="s">
        <v>67</v>
      </c>
      <c r="H161" t="s">
        <v>39</v>
      </c>
    </row>
    <row r="162" spans="1:8" x14ac:dyDescent="0.3">
      <c r="A162" t="s">
        <v>399</v>
      </c>
      <c r="B162" t="s">
        <v>400</v>
      </c>
      <c r="C162" t="s">
        <v>65</v>
      </c>
      <c r="D162" t="s">
        <v>85</v>
      </c>
      <c r="E162" s="5">
        <v>5</v>
      </c>
      <c r="F162" s="4">
        <v>44468</v>
      </c>
      <c r="G162" t="s">
        <v>160</v>
      </c>
      <c r="H162" t="s">
        <v>17</v>
      </c>
    </row>
    <row r="163" spans="1:8" x14ac:dyDescent="0.3">
      <c r="A163" t="s">
        <v>401</v>
      </c>
      <c r="B163" t="s">
        <v>402</v>
      </c>
      <c r="C163" t="s">
        <v>74</v>
      </c>
      <c r="D163" t="s">
        <v>126</v>
      </c>
      <c r="E163" s="5">
        <v>542</v>
      </c>
      <c r="F163" s="4">
        <v>45573</v>
      </c>
      <c r="G163" t="s">
        <v>67</v>
      </c>
      <c r="H163" t="s">
        <v>17</v>
      </c>
    </row>
    <row r="164" spans="1:8" x14ac:dyDescent="0.3">
      <c r="A164" t="s">
        <v>403</v>
      </c>
      <c r="B164" t="s">
        <v>404</v>
      </c>
      <c r="C164" t="s">
        <v>84</v>
      </c>
      <c r="D164" t="s">
        <v>70</v>
      </c>
      <c r="E164" s="5">
        <v>521</v>
      </c>
      <c r="F164" s="4">
        <v>44037</v>
      </c>
      <c r="G164" t="s">
        <v>90</v>
      </c>
      <c r="H164" t="s">
        <v>21</v>
      </c>
    </row>
    <row r="165" spans="1:8" x14ac:dyDescent="0.3">
      <c r="A165" t="s">
        <v>405</v>
      </c>
      <c r="B165" t="s">
        <v>406</v>
      </c>
      <c r="C165" t="s">
        <v>74</v>
      </c>
      <c r="D165" t="s">
        <v>89</v>
      </c>
      <c r="E165" s="5">
        <v>65</v>
      </c>
      <c r="F165" s="4">
        <v>45826</v>
      </c>
      <c r="G165" t="s">
        <v>127</v>
      </c>
      <c r="H165" t="s">
        <v>39</v>
      </c>
    </row>
    <row r="166" spans="1:8" x14ac:dyDescent="0.3">
      <c r="A166" t="s">
        <v>407</v>
      </c>
      <c r="B166" t="s">
        <v>292</v>
      </c>
      <c r="C166" t="s">
        <v>65</v>
      </c>
      <c r="D166" t="s">
        <v>70</v>
      </c>
      <c r="E166" s="5">
        <v>276</v>
      </c>
      <c r="F166" s="4">
        <v>45802</v>
      </c>
      <c r="G166" t="s">
        <v>127</v>
      </c>
      <c r="H166" t="s">
        <v>21</v>
      </c>
    </row>
    <row r="167" spans="1:8" x14ac:dyDescent="0.3">
      <c r="A167" t="s">
        <v>408</v>
      </c>
      <c r="B167" t="s">
        <v>409</v>
      </c>
      <c r="C167" t="s">
        <v>84</v>
      </c>
      <c r="D167" t="s">
        <v>104</v>
      </c>
      <c r="E167" s="5">
        <v>220</v>
      </c>
      <c r="F167" s="4">
        <v>44414</v>
      </c>
      <c r="G167" t="s">
        <v>67</v>
      </c>
      <c r="H167" t="s">
        <v>37</v>
      </c>
    </row>
    <row r="168" spans="1:8" x14ac:dyDescent="0.3">
      <c r="A168" t="s">
        <v>410</v>
      </c>
      <c r="B168" t="s">
        <v>411</v>
      </c>
      <c r="C168" t="s">
        <v>74</v>
      </c>
      <c r="D168" t="s">
        <v>70</v>
      </c>
      <c r="E168" s="5">
        <v>119</v>
      </c>
      <c r="F168" s="4">
        <v>45258</v>
      </c>
      <c r="G168" t="s">
        <v>127</v>
      </c>
      <c r="H168" t="s">
        <v>21</v>
      </c>
    </row>
    <row r="169" spans="1:8" x14ac:dyDescent="0.3">
      <c r="A169" t="s">
        <v>412</v>
      </c>
      <c r="B169" t="s">
        <v>413</v>
      </c>
      <c r="C169" t="s">
        <v>74</v>
      </c>
      <c r="D169" t="s">
        <v>126</v>
      </c>
      <c r="E169" s="5">
        <v>619</v>
      </c>
      <c r="F169" s="4">
        <v>44252</v>
      </c>
      <c r="G169" t="s">
        <v>71</v>
      </c>
      <c r="H169" t="s">
        <v>37</v>
      </c>
    </row>
    <row r="170" spans="1:8" x14ac:dyDescent="0.3">
      <c r="A170" t="s">
        <v>414</v>
      </c>
      <c r="B170" t="s">
        <v>415</v>
      </c>
      <c r="C170" t="s">
        <v>84</v>
      </c>
      <c r="D170" t="s">
        <v>104</v>
      </c>
      <c r="E170" s="5">
        <v>169</v>
      </c>
      <c r="F170" s="4">
        <v>45763</v>
      </c>
      <c r="G170" t="s">
        <v>81</v>
      </c>
      <c r="H170" t="s">
        <v>44</v>
      </c>
    </row>
    <row r="171" spans="1:8" x14ac:dyDescent="0.3">
      <c r="A171" t="s">
        <v>416</v>
      </c>
      <c r="B171" t="s">
        <v>417</v>
      </c>
      <c r="C171" t="s">
        <v>84</v>
      </c>
      <c r="D171" t="s">
        <v>126</v>
      </c>
      <c r="E171" s="5">
        <v>202</v>
      </c>
      <c r="F171" s="4">
        <v>45870</v>
      </c>
      <c r="G171" t="s">
        <v>71</v>
      </c>
      <c r="H171" t="s">
        <v>44</v>
      </c>
    </row>
    <row r="172" spans="1:8" x14ac:dyDescent="0.3">
      <c r="A172" t="s">
        <v>418</v>
      </c>
      <c r="B172" t="s">
        <v>419</v>
      </c>
      <c r="C172" t="s">
        <v>74</v>
      </c>
      <c r="D172" t="s">
        <v>89</v>
      </c>
      <c r="E172" s="5">
        <v>220</v>
      </c>
      <c r="F172" s="4">
        <v>45865</v>
      </c>
      <c r="G172" t="s">
        <v>71</v>
      </c>
      <c r="H172" t="s">
        <v>37</v>
      </c>
    </row>
    <row r="173" spans="1:8" x14ac:dyDescent="0.3">
      <c r="A173" t="s">
        <v>420</v>
      </c>
      <c r="B173" t="s">
        <v>421</v>
      </c>
      <c r="C173" t="s">
        <v>84</v>
      </c>
      <c r="D173" t="s">
        <v>80</v>
      </c>
      <c r="E173" s="5">
        <v>706</v>
      </c>
      <c r="F173" s="4">
        <v>43829</v>
      </c>
      <c r="G173" t="s">
        <v>127</v>
      </c>
      <c r="H173" t="s">
        <v>32</v>
      </c>
    </row>
    <row r="174" spans="1:8" x14ac:dyDescent="0.3">
      <c r="A174" t="s">
        <v>422</v>
      </c>
      <c r="B174" t="s">
        <v>423</v>
      </c>
      <c r="C174" t="s">
        <v>74</v>
      </c>
      <c r="D174" t="s">
        <v>70</v>
      </c>
      <c r="E174" s="5">
        <v>5</v>
      </c>
      <c r="F174" s="4">
        <v>45515</v>
      </c>
      <c r="G174" t="s">
        <v>127</v>
      </c>
      <c r="H174" t="s">
        <v>46</v>
      </c>
    </row>
    <row r="175" spans="1:8" x14ac:dyDescent="0.3">
      <c r="A175" t="s">
        <v>424</v>
      </c>
      <c r="B175" t="s">
        <v>425</v>
      </c>
      <c r="C175" t="s">
        <v>74</v>
      </c>
      <c r="D175" t="s">
        <v>104</v>
      </c>
      <c r="E175" s="5">
        <v>363</v>
      </c>
      <c r="F175" s="4">
        <v>43986</v>
      </c>
      <c r="G175" t="s">
        <v>90</v>
      </c>
      <c r="H175" t="s">
        <v>24</v>
      </c>
    </row>
    <row r="176" spans="1:8" x14ac:dyDescent="0.3">
      <c r="A176" t="s">
        <v>426</v>
      </c>
      <c r="B176" t="s">
        <v>427</v>
      </c>
      <c r="C176" t="s">
        <v>104</v>
      </c>
      <c r="D176" t="s">
        <v>85</v>
      </c>
      <c r="E176" s="5">
        <v>901</v>
      </c>
      <c r="F176" s="4">
        <v>44688</v>
      </c>
      <c r="G176" t="s">
        <v>160</v>
      </c>
      <c r="H176" t="s">
        <v>21</v>
      </c>
    </row>
    <row r="177" spans="1:8" x14ac:dyDescent="0.3">
      <c r="A177" t="s">
        <v>428</v>
      </c>
      <c r="B177" t="s">
        <v>429</v>
      </c>
      <c r="C177" t="s">
        <v>104</v>
      </c>
      <c r="D177" t="s">
        <v>89</v>
      </c>
      <c r="E177" s="5">
        <v>727</v>
      </c>
      <c r="F177" s="4">
        <v>45284</v>
      </c>
      <c r="G177" t="s">
        <v>160</v>
      </c>
      <c r="H177" t="s">
        <v>27</v>
      </c>
    </row>
    <row r="178" spans="1:8" x14ac:dyDescent="0.3">
      <c r="A178" t="s">
        <v>430</v>
      </c>
      <c r="B178" t="s">
        <v>431</v>
      </c>
      <c r="C178" t="s">
        <v>74</v>
      </c>
      <c r="D178" t="s">
        <v>80</v>
      </c>
      <c r="E178" s="5">
        <v>157</v>
      </c>
      <c r="F178" s="4">
        <v>44083</v>
      </c>
      <c r="G178" t="s">
        <v>71</v>
      </c>
      <c r="H178" t="s">
        <v>53</v>
      </c>
    </row>
    <row r="179" spans="1:8" x14ac:dyDescent="0.3">
      <c r="A179" t="s">
        <v>432</v>
      </c>
      <c r="B179" t="s">
        <v>433</v>
      </c>
      <c r="C179" t="s">
        <v>65</v>
      </c>
      <c r="D179" t="s">
        <v>126</v>
      </c>
      <c r="E179" s="5">
        <v>799</v>
      </c>
      <c r="F179" s="4">
        <v>44037</v>
      </c>
      <c r="G179" t="s">
        <v>75</v>
      </c>
      <c r="H179" t="s">
        <v>50</v>
      </c>
    </row>
    <row r="180" spans="1:8" x14ac:dyDescent="0.3">
      <c r="A180" t="s">
        <v>434</v>
      </c>
      <c r="B180" t="s">
        <v>435</v>
      </c>
      <c r="C180" t="s">
        <v>80</v>
      </c>
      <c r="D180" t="s">
        <v>126</v>
      </c>
      <c r="E180" s="5">
        <v>5</v>
      </c>
      <c r="F180" s="4">
        <v>44586</v>
      </c>
      <c r="G180" t="s">
        <v>71</v>
      </c>
      <c r="H180" t="s">
        <v>44</v>
      </c>
    </row>
    <row r="181" spans="1:8" x14ac:dyDescent="0.3">
      <c r="A181" t="s">
        <v>436</v>
      </c>
      <c r="B181" t="s">
        <v>437</v>
      </c>
      <c r="C181" t="s">
        <v>65</v>
      </c>
      <c r="D181" t="s">
        <v>104</v>
      </c>
      <c r="E181" s="5">
        <v>613</v>
      </c>
      <c r="F181" s="4">
        <v>45771</v>
      </c>
      <c r="G181" t="s">
        <v>81</v>
      </c>
      <c r="H181" t="s">
        <v>24</v>
      </c>
    </row>
    <row r="182" spans="1:8" x14ac:dyDescent="0.3">
      <c r="A182" t="s">
        <v>438</v>
      </c>
      <c r="B182" t="s">
        <v>439</v>
      </c>
      <c r="C182" t="s">
        <v>74</v>
      </c>
      <c r="D182" t="s">
        <v>126</v>
      </c>
      <c r="E182" s="5">
        <v>5</v>
      </c>
      <c r="F182" s="4">
        <v>44834</v>
      </c>
      <c r="G182" t="s">
        <v>109</v>
      </c>
      <c r="H182" t="s">
        <v>27</v>
      </c>
    </row>
    <row r="183" spans="1:8" x14ac:dyDescent="0.3">
      <c r="A183" t="s">
        <v>440</v>
      </c>
      <c r="B183" t="s">
        <v>220</v>
      </c>
      <c r="C183" t="s">
        <v>65</v>
      </c>
      <c r="D183" t="s">
        <v>126</v>
      </c>
      <c r="E183" s="5">
        <v>1135</v>
      </c>
      <c r="F183" s="4">
        <v>45615</v>
      </c>
      <c r="G183" t="s">
        <v>71</v>
      </c>
      <c r="H183" t="s">
        <v>42</v>
      </c>
    </row>
    <row r="184" spans="1:8" x14ac:dyDescent="0.3">
      <c r="A184" t="s">
        <v>441</v>
      </c>
      <c r="B184" t="s">
        <v>442</v>
      </c>
      <c r="C184" t="s">
        <v>84</v>
      </c>
      <c r="D184" t="s">
        <v>126</v>
      </c>
      <c r="E184" s="5">
        <v>697</v>
      </c>
      <c r="F184" s="4">
        <v>45881</v>
      </c>
      <c r="G184" t="s">
        <v>93</v>
      </c>
      <c r="H184" t="s">
        <v>44</v>
      </c>
    </row>
    <row r="185" spans="1:8" x14ac:dyDescent="0.3">
      <c r="A185" t="s">
        <v>443</v>
      </c>
      <c r="B185" t="s">
        <v>444</v>
      </c>
      <c r="C185" t="s">
        <v>84</v>
      </c>
      <c r="D185" t="s">
        <v>85</v>
      </c>
      <c r="E185" s="5">
        <v>73</v>
      </c>
      <c r="F185" s="4">
        <v>45873</v>
      </c>
      <c r="G185" t="s">
        <v>75</v>
      </c>
      <c r="H185" t="s">
        <v>44</v>
      </c>
    </row>
    <row r="186" spans="1:8" x14ac:dyDescent="0.3">
      <c r="A186" t="s">
        <v>445</v>
      </c>
      <c r="B186" t="s">
        <v>446</v>
      </c>
      <c r="C186" t="s">
        <v>84</v>
      </c>
      <c r="D186" t="s">
        <v>126</v>
      </c>
      <c r="E186" s="5">
        <v>409</v>
      </c>
      <c r="F186" s="4">
        <v>45752</v>
      </c>
      <c r="G186" t="s">
        <v>112</v>
      </c>
      <c r="H186" t="s">
        <v>34</v>
      </c>
    </row>
    <row r="187" spans="1:8" x14ac:dyDescent="0.3">
      <c r="A187" t="s">
        <v>447</v>
      </c>
      <c r="B187" t="s">
        <v>448</v>
      </c>
      <c r="C187" t="s">
        <v>74</v>
      </c>
      <c r="D187" t="s">
        <v>70</v>
      </c>
      <c r="E187" s="5">
        <v>580</v>
      </c>
      <c r="F187" s="4">
        <v>44690</v>
      </c>
      <c r="G187" t="s">
        <v>127</v>
      </c>
      <c r="H187" t="s">
        <v>24</v>
      </c>
    </row>
    <row r="188" spans="1:8" x14ac:dyDescent="0.3">
      <c r="A188" t="s">
        <v>449</v>
      </c>
      <c r="B188" t="s">
        <v>313</v>
      </c>
      <c r="C188" t="s">
        <v>74</v>
      </c>
      <c r="D188" t="s">
        <v>66</v>
      </c>
      <c r="E188" s="5">
        <v>724</v>
      </c>
      <c r="F188" s="4">
        <v>45420</v>
      </c>
      <c r="G188" t="s">
        <v>93</v>
      </c>
      <c r="H188" t="s">
        <v>29</v>
      </c>
    </row>
    <row r="189" spans="1:8" x14ac:dyDescent="0.3">
      <c r="A189" t="s">
        <v>450</v>
      </c>
      <c r="B189" t="s">
        <v>292</v>
      </c>
      <c r="C189" t="s">
        <v>65</v>
      </c>
      <c r="D189" t="s">
        <v>123</v>
      </c>
      <c r="E189" s="5">
        <v>716</v>
      </c>
      <c r="F189" s="4">
        <v>45343</v>
      </c>
      <c r="G189" t="s">
        <v>160</v>
      </c>
      <c r="H189" t="s">
        <v>46</v>
      </c>
    </row>
    <row r="190" spans="1:8" x14ac:dyDescent="0.3">
      <c r="A190" t="s">
        <v>451</v>
      </c>
      <c r="B190" t="s">
        <v>452</v>
      </c>
      <c r="C190" t="s">
        <v>65</v>
      </c>
      <c r="D190" t="s">
        <v>80</v>
      </c>
      <c r="E190" s="5">
        <v>149</v>
      </c>
      <c r="F190" s="4">
        <v>45903</v>
      </c>
      <c r="G190" t="s">
        <v>109</v>
      </c>
      <c r="H190" t="s">
        <v>39</v>
      </c>
    </row>
    <row r="191" spans="1:8" x14ac:dyDescent="0.3">
      <c r="A191" t="s">
        <v>453</v>
      </c>
      <c r="B191" t="s">
        <v>454</v>
      </c>
      <c r="C191" t="s">
        <v>65</v>
      </c>
      <c r="D191" t="s">
        <v>70</v>
      </c>
      <c r="E191" s="5">
        <v>452</v>
      </c>
      <c r="F191" s="4">
        <v>44845</v>
      </c>
      <c r="G191" t="s">
        <v>75</v>
      </c>
      <c r="H191" t="s">
        <v>29</v>
      </c>
    </row>
    <row r="192" spans="1:8" x14ac:dyDescent="0.3">
      <c r="A192" t="s">
        <v>455</v>
      </c>
      <c r="B192" t="s">
        <v>456</v>
      </c>
      <c r="C192" t="s">
        <v>65</v>
      </c>
      <c r="D192" t="s">
        <v>104</v>
      </c>
      <c r="E192" s="5">
        <v>366</v>
      </c>
      <c r="F192" s="4">
        <v>44499</v>
      </c>
      <c r="G192" t="s">
        <v>109</v>
      </c>
      <c r="H192" t="s">
        <v>17</v>
      </c>
    </row>
    <row r="193" spans="1:8" x14ac:dyDescent="0.3">
      <c r="A193" t="s">
        <v>457</v>
      </c>
      <c r="B193" t="s">
        <v>458</v>
      </c>
      <c r="C193" t="s">
        <v>74</v>
      </c>
      <c r="D193" t="s">
        <v>66</v>
      </c>
      <c r="E193" s="5">
        <v>5</v>
      </c>
      <c r="F193" s="4">
        <v>44415</v>
      </c>
      <c r="G193" t="s">
        <v>75</v>
      </c>
      <c r="H193" t="s">
        <v>50</v>
      </c>
    </row>
    <row r="194" spans="1:8" x14ac:dyDescent="0.3">
      <c r="A194" t="s">
        <v>459</v>
      </c>
      <c r="B194" t="s">
        <v>460</v>
      </c>
      <c r="C194" t="s">
        <v>74</v>
      </c>
      <c r="D194" t="s">
        <v>123</v>
      </c>
      <c r="E194" s="5">
        <v>5</v>
      </c>
      <c r="F194" s="4">
        <v>44609</v>
      </c>
      <c r="G194" t="s">
        <v>67</v>
      </c>
      <c r="H194" t="s">
        <v>27</v>
      </c>
    </row>
    <row r="195" spans="1:8" x14ac:dyDescent="0.3">
      <c r="A195" t="s">
        <v>461</v>
      </c>
      <c r="B195" t="s">
        <v>462</v>
      </c>
      <c r="C195" t="s">
        <v>65</v>
      </c>
      <c r="D195" t="s">
        <v>70</v>
      </c>
      <c r="E195" s="5">
        <v>835</v>
      </c>
      <c r="F195" s="4">
        <v>45436</v>
      </c>
      <c r="G195" t="s">
        <v>127</v>
      </c>
      <c r="H195" t="s">
        <v>39</v>
      </c>
    </row>
    <row r="196" spans="1:8" x14ac:dyDescent="0.3">
      <c r="A196" t="s">
        <v>463</v>
      </c>
      <c r="B196" t="s">
        <v>464</v>
      </c>
      <c r="C196" t="s">
        <v>104</v>
      </c>
      <c r="D196" t="s">
        <v>70</v>
      </c>
      <c r="E196" s="5">
        <v>728</v>
      </c>
      <c r="F196" s="4">
        <v>44388</v>
      </c>
      <c r="G196" t="s">
        <v>160</v>
      </c>
      <c r="H196" t="s">
        <v>32</v>
      </c>
    </row>
    <row r="197" spans="1:8" x14ac:dyDescent="0.3">
      <c r="A197" t="s">
        <v>465</v>
      </c>
      <c r="B197" t="s">
        <v>466</v>
      </c>
      <c r="C197" t="s">
        <v>65</v>
      </c>
      <c r="D197" t="s">
        <v>126</v>
      </c>
      <c r="E197" s="5">
        <v>321</v>
      </c>
      <c r="F197" s="4">
        <v>44770</v>
      </c>
      <c r="G197" t="s">
        <v>86</v>
      </c>
      <c r="H197" t="s">
        <v>32</v>
      </c>
    </row>
    <row r="198" spans="1:8" x14ac:dyDescent="0.3">
      <c r="A198" t="s">
        <v>467</v>
      </c>
      <c r="B198" t="s">
        <v>468</v>
      </c>
      <c r="C198" t="s">
        <v>80</v>
      </c>
      <c r="D198" t="s">
        <v>80</v>
      </c>
      <c r="E198" s="5">
        <v>612</v>
      </c>
      <c r="F198" s="4">
        <v>45888</v>
      </c>
      <c r="G198" t="s">
        <v>75</v>
      </c>
      <c r="H198" t="s">
        <v>44</v>
      </c>
    </row>
    <row r="199" spans="1:8" x14ac:dyDescent="0.3">
      <c r="A199" t="s">
        <v>469</v>
      </c>
      <c r="B199" t="s">
        <v>470</v>
      </c>
      <c r="C199" t="s">
        <v>84</v>
      </c>
      <c r="D199" t="s">
        <v>80</v>
      </c>
      <c r="E199" s="5">
        <v>5</v>
      </c>
      <c r="F199" s="4">
        <v>45299</v>
      </c>
      <c r="G199" t="s">
        <v>86</v>
      </c>
      <c r="H199" t="s">
        <v>50</v>
      </c>
    </row>
    <row r="200" spans="1:8" x14ac:dyDescent="0.3">
      <c r="A200" t="s">
        <v>471</v>
      </c>
      <c r="B200" t="s">
        <v>472</v>
      </c>
      <c r="C200" t="s">
        <v>80</v>
      </c>
      <c r="D200" t="s">
        <v>70</v>
      </c>
      <c r="E200" s="5">
        <v>751</v>
      </c>
      <c r="F200" s="4">
        <v>45377</v>
      </c>
      <c r="G200" t="s">
        <v>86</v>
      </c>
      <c r="H200" t="s">
        <v>34</v>
      </c>
    </row>
    <row r="201" spans="1:8" x14ac:dyDescent="0.3">
      <c r="A201" t="s">
        <v>473</v>
      </c>
      <c r="B201" t="s">
        <v>474</v>
      </c>
      <c r="C201" t="s">
        <v>80</v>
      </c>
      <c r="D201" t="s">
        <v>104</v>
      </c>
      <c r="E201" s="5">
        <v>486</v>
      </c>
      <c r="F201" s="4">
        <v>45742</v>
      </c>
      <c r="G201" t="s">
        <v>71</v>
      </c>
      <c r="H201" t="s">
        <v>27</v>
      </c>
    </row>
    <row r="202" spans="1:8" x14ac:dyDescent="0.3">
      <c r="A202" t="s">
        <v>475</v>
      </c>
      <c r="B202" t="s">
        <v>476</v>
      </c>
      <c r="C202" t="s">
        <v>65</v>
      </c>
      <c r="D202" t="s">
        <v>66</v>
      </c>
      <c r="E202" s="5">
        <v>808</v>
      </c>
      <c r="F202" s="4">
        <v>44595</v>
      </c>
      <c r="G202" t="s">
        <v>160</v>
      </c>
      <c r="H202" t="s">
        <v>48</v>
      </c>
    </row>
    <row r="203" spans="1:8" x14ac:dyDescent="0.3">
      <c r="A203" t="s">
        <v>477</v>
      </c>
      <c r="B203" t="s">
        <v>478</v>
      </c>
      <c r="C203" t="s">
        <v>74</v>
      </c>
      <c r="D203" t="s">
        <v>66</v>
      </c>
      <c r="E203" s="5">
        <v>1133</v>
      </c>
      <c r="F203" s="4">
        <v>44775</v>
      </c>
      <c r="G203" t="s">
        <v>112</v>
      </c>
      <c r="H203" t="s">
        <v>48</v>
      </c>
    </row>
    <row r="204" spans="1:8" x14ac:dyDescent="0.3">
      <c r="A204" t="s">
        <v>479</v>
      </c>
      <c r="B204" t="s">
        <v>480</v>
      </c>
      <c r="C204" t="s">
        <v>84</v>
      </c>
      <c r="D204" t="s">
        <v>80</v>
      </c>
      <c r="E204" s="5">
        <v>5</v>
      </c>
      <c r="F204" s="4">
        <v>44877</v>
      </c>
      <c r="G204" t="s">
        <v>67</v>
      </c>
      <c r="H204" t="s">
        <v>42</v>
      </c>
    </row>
    <row r="205" spans="1:8" x14ac:dyDescent="0.3">
      <c r="A205" t="s">
        <v>481</v>
      </c>
      <c r="B205" t="s">
        <v>482</v>
      </c>
      <c r="C205" t="s">
        <v>104</v>
      </c>
      <c r="D205" t="s">
        <v>123</v>
      </c>
      <c r="E205" s="5">
        <v>506</v>
      </c>
      <c r="F205" s="4">
        <v>45398</v>
      </c>
      <c r="G205" t="s">
        <v>67</v>
      </c>
      <c r="H205" t="s">
        <v>29</v>
      </c>
    </row>
    <row r="206" spans="1:8" x14ac:dyDescent="0.3">
      <c r="A206" t="s">
        <v>483</v>
      </c>
      <c r="B206" t="s">
        <v>484</v>
      </c>
      <c r="C206" t="s">
        <v>84</v>
      </c>
      <c r="D206" t="s">
        <v>89</v>
      </c>
      <c r="E206" s="5">
        <v>597</v>
      </c>
      <c r="F206" s="4">
        <v>44887</v>
      </c>
      <c r="G206" t="s">
        <v>67</v>
      </c>
      <c r="H206" t="s">
        <v>21</v>
      </c>
    </row>
    <row r="207" spans="1:8" x14ac:dyDescent="0.3">
      <c r="A207" t="s">
        <v>485</v>
      </c>
      <c r="B207" t="s">
        <v>486</v>
      </c>
      <c r="C207" t="s">
        <v>74</v>
      </c>
      <c r="D207" t="s">
        <v>70</v>
      </c>
      <c r="E207" s="5">
        <v>1089</v>
      </c>
      <c r="F207" s="4">
        <v>45073</v>
      </c>
      <c r="G207" t="s">
        <v>90</v>
      </c>
      <c r="H207" t="s">
        <v>21</v>
      </c>
    </row>
    <row r="208" spans="1:8" x14ac:dyDescent="0.3">
      <c r="A208" t="s">
        <v>487</v>
      </c>
      <c r="B208" t="s">
        <v>108</v>
      </c>
      <c r="C208" t="s">
        <v>74</v>
      </c>
      <c r="D208" t="s">
        <v>89</v>
      </c>
      <c r="E208" s="5">
        <v>892</v>
      </c>
      <c r="F208" s="4">
        <v>45351</v>
      </c>
      <c r="G208" t="s">
        <v>75</v>
      </c>
      <c r="H208" t="s">
        <v>37</v>
      </c>
    </row>
    <row r="209" spans="1:8" x14ac:dyDescent="0.3">
      <c r="A209" t="s">
        <v>488</v>
      </c>
      <c r="B209" t="s">
        <v>489</v>
      </c>
      <c r="C209" t="s">
        <v>74</v>
      </c>
      <c r="D209" t="s">
        <v>126</v>
      </c>
      <c r="E209" s="5">
        <v>464</v>
      </c>
      <c r="F209" s="4">
        <v>45631</v>
      </c>
      <c r="G209" t="s">
        <v>71</v>
      </c>
      <c r="H209" t="s">
        <v>46</v>
      </c>
    </row>
    <row r="210" spans="1:8" x14ac:dyDescent="0.3">
      <c r="A210" t="s">
        <v>490</v>
      </c>
      <c r="B210" t="s">
        <v>491</v>
      </c>
      <c r="C210" t="s">
        <v>65</v>
      </c>
      <c r="D210" t="s">
        <v>89</v>
      </c>
      <c r="E210" s="5">
        <v>537</v>
      </c>
      <c r="F210" s="4">
        <v>44371</v>
      </c>
      <c r="G210" t="s">
        <v>86</v>
      </c>
      <c r="H210" t="s">
        <v>53</v>
      </c>
    </row>
    <row r="211" spans="1:8" x14ac:dyDescent="0.3">
      <c r="A211" t="s">
        <v>492</v>
      </c>
      <c r="B211" t="s">
        <v>493</v>
      </c>
      <c r="C211" t="s">
        <v>74</v>
      </c>
      <c r="D211" t="s">
        <v>80</v>
      </c>
      <c r="E211" s="5">
        <v>411</v>
      </c>
      <c r="F211" s="4">
        <v>45558</v>
      </c>
      <c r="G211" t="s">
        <v>127</v>
      </c>
      <c r="H211" t="s">
        <v>37</v>
      </c>
    </row>
    <row r="212" spans="1:8" x14ac:dyDescent="0.3">
      <c r="A212" t="s">
        <v>494</v>
      </c>
      <c r="B212" t="s">
        <v>495</v>
      </c>
      <c r="C212" t="s">
        <v>104</v>
      </c>
      <c r="D212" t="s">
        <v>70</v>
      </c>
      <c r="E212" s="5">
        <v>170</v>
      </c>
      <c r="F212" s="4">
        <v>45536</v>
      </c>
      <c r="G212" t="s">
        <v>67</v>
      </c>
      <c r="H212" t="s">
        <v>46</v>
      </c>
    </row>
    <row r="213" spans="1:8" x14ac:dyDescent="0.3">
      <c r="A213" t="s">
        <v>496</v>
      </c>
      <c r="B213" t="s">
        <v>497</v>
      </c>
      <c r="C213" t="s">
        <v>84</v>
      </c>
      <c r="D213" t="s">
        <v>70</v>
      </c>
      <c r="E213" s="5">
        <v>442</v>
      </c>
      <c r="F213" s="4">
        <v>44617</v>
      </c>
      <c r="G213" t="s">
        <v>160</v>
      </c>
      <c r="H213" t="s">
        <v>44</v>
      </c>
    </row>
    <row r="214" spans="1:8" x14ac:dyDescent="0.3">
      <c r="A214" t="s">
        <v>498</v>
      </c>
      <c r="B214" t="s">
        <v>499</v>
      </c>
      <c r="C214" t="s">
        <v>104</v>
      </c>
      <c r="D214" t="s">
        <v>104</v>
      </c>
      <c r="E214" s="5">
        <v>645</v>
      </c>
      <c r="F214" s="4">
        <v>45642</v>
      </c>
      <c r="G214" t="s">
        <v>86</v>
      </c>
      <c r="H214" t="s">
        <v>24</v>
      </c>
    </row>
    <row r="215" spans="1:8" x14ac:dyDescent="0.3">
      <c r="A215" t="s">
        <v>500</v>
      </c>
      <c r="B215" t="s">
        <v>253</v>
      </c>
      <c r="C215" t="s">
        <v>80</v>
      </c>
      <c r="D215" t="s">
        <v>70</v>
      </c>
      <c r="E215" s="5">
        <v>77</v>
      </c>
      <c r="F215" s="4">
        <v>44426</v>
      </c>
      <c r="G215" t="s">
        <v>112</v>
      </c>
      <c r="H215" t="s">
        <v>48</v>
      </c>
    </row>
    <row r="216" spans="1:8" x14ac:dyDescent="0.3">
      <c r="A216" t="s">
        <v>501</v>
      </c>
      <c r="B216" t="s">
        <v>502</v>
      </c>
      <c r="C216" t="s">
        <v>65</v>
      </c>
      <c r="D216" t="s">
        <v>80</v>
      </c>
      <c r="E216" s="5">
        <v>426</v>
      </c>
      <c r="F216" s="4">
        <v>45030</v>
      </c>
      <c r="G216" t="s">
        <v>81</v>
      </c>
      <c r="H216" t="s">
        <v>21</v>
      </c>
    </row>
    <row r="217" spans="1:8" x14ac:dyDescent="0.3">
      <c r="A217" t="s">
        <v>503</v>
      </c>
      <c r="B217" t="s">
        <v>504</v>
      </c>
      <c r="C217" t="s">
        <v>65</v>
      </c>
      <c r="D217" t="s">
        <v>80</v>
      </c>
      <c r="E217" s="5">
        <v>779</v>
      </c>
      <c r="F217" s="4">
        <v>44724</v>
      </c>
      <c r="G217" t="s">
        <v>81</v>
      </c>
      <c r="H217" t="s">
        <v>53</v>
      </c>
    </row>
    <row r="218" spans="1:8" x14ac:dyDescent="0.3">
      <c r="A218" t="s">
        <v>505</v>
      </c>
      <c r="B218" t="s">
        <v>506</v>
      </c>
      <c r="C218" t="s">
        <v>74</v>
      </c>
      <c r="D218" t="s">
        <v>123</v>
      </c>
      <c r="E218" s="5">
        <v>68</v>
      </c>
      <c r="F218" s="4">
        <v>44467</v>
      </c>
      <c r="G218" t="s">
        <v>75</v>
      </c>
      <c r="H218" t="s">
        <v>48</v>
      </c>
    </row>
    <row r="219" spans="1:8" x14ac:dyDescent="0.3">
      <c r="A219" t="s">
        <v>507</v>
      </c>
      <c r="B219" t="s">
        <v>99</v>
      </c>
      <c r="C219" t="s">
        <v>84</v>
      </c>
      <c r="D219" t="s">
        <v>126</v>
      </c>
      <c r="E219" s="5">
        <v>502</v>
      </c>
      <c r="F219" s="4">
        <v>45662</v>
      </c>
      <c r="G219" t="s">
        <v>75</v>
      </c>
      <c r="H219" t="s">
        <v>21</v>
      </c>
    </row>
    <row r="220" spans="1:8" x14ac:dyDescent="0.3">
      <c r="A220" t="s">
        <v>508</v>
      </c>
      <c r="B220" t="s">
        <v>131</v>
      </c>
      <c r="C220" t="s">
        <v>104</v>
      </c>
      <c r="D220" t="s">
        <v>104</v>
      </c>
      <c r="E220" s="5">
        <v>578</v>
      </c>
      <c r="F220" s="4">
        <v>45324</v>
      </c>
      <c r="G220" t="s">
        <v>160</v>
      </c>
      <c r="H220" t="s">
        <v>37</v>
      </c>
    </row>
    <row r="221" spans="1:8" x14ac:dyDescent="0.3">
      <c r="A221" t="s">
        <v>509</v>
      </c>
      <c r="B221" t="s">
        <v>510</v>
      </c>
      <c r="C221" t="s">
        <v>84</v>
      </c>
      <c r="D221" t="s">
        <v>80</v>
      </c>
      <c r="E221" s="5">
        <v>864</v>
      </c>
      <c r="F221" s="4">
        <v>43907</v>
      </c>
      <c r="G221" t="s">
        <v>86</v>
      </c>
      <c r="H221" t="s">
        <v>37</v>
      </c>
    </row>
    <row r="222" spans="1:8" x14ac:dyDescent="0.3">
      <c r="A222" t="s">
        <v>511</v>
      </c>
      <c r="B222" t="s">
        <v>77</v>
      </c>
      <c r="C222" t="s">
        <v>65</v>
      </c>
      <c r="D222" t="s">
        <v>70</v>
      </c>
      <c r="E222" s="5">
        <v>5</v>
      </c>
      <c r="F222" s="4">
        <v>45908</v>
      </c>
      <c r="G222" t="s">
        <v>75</v>
      </c>
      <c r="H222" t="s">
        <v>50</v>
      </c>
    </row>
    <row r="223" spans="1:8" x14ac:dyDescent="0.3">
      <c r="A223" t="s">
        <v>512</v>
      </c>
      <c r="B223" t="s">
        <v>513</v>
      </c>
      <c r="C223" t="s">
        <v>65</v>
      </c>
      <c r="D223" t="s">
        <v>70</v>
      </c>
      <c r="E223" s="5">
        <v>598</v>
      </c>
      <c r="F223" s="4">
        <v>44586</v>
      </c>
      <c r="G223" t="s">
        <v>81</v>
      </c>
      <c r="H223" t="s">
        <v>17</v>
      </c>
    </row>
    <row r="224" spans="1:8" x14ac:dyDescent="0.3">
      <c r="A224" t="s">
        <v>514</v>
      </c>
      <c r="B224" t="s">
        <v>515</v>
      </c>
      <c r="C224" t="s">
        <v>74</v>
      </c>
      <c r="D224" t="s">
        <v>85</v>
      </c>
      <c r="E224" s="5">
        <v>520</v>
      </c>
      <c r="F224" s="4">
        <v>44276</v>
      </c>
      <c r="G224" t="s">
        <v>127</v>
      </c>
      <c r="H224" t="s">
        <v>37</v>
      </c>
    </row>
    <row r="225" spans="1:8" x14ac:dyDescent="0.3">
      <c r="A225" t="s">
        <v>516</v>
      </c>
      <c r="B225" t="s">
        <v>517</v>
      </c>
      <c r="C225" t="s">
        <v>84</v>
      </c>
      <c r="D225" t="s">
        <v>126</v>
      </c>
      <c r="E225" s="5">
        <v>5</v>
      </c>
      <c r="F225" s="4">
        <v>45453</v>
      </c>
      <c r="G225" t="s">
        <v>67</v>
      </c>
      <c r="H225" t="s">
        <v>24</v>
      </c>
    </row>
    <row r="226" spans="1:8" x14ac:dyDescent="0.3">
      <c r="A226" t="s">
        <v>518</v>
      </c>
      <c r="B226" t="s">
        <v>300</v>
      </c>
      <c r="C226" t="s">
        <v>74</v>
      </c>
      <c r="D226" t="s">
        <v>123</v>
      </c>
      <c r="E226" s="5">
        <v>748</v>
      </c>
      <c r="F226" s="4">
        <v>44775</v>
      </c>
      <c r="G226" t="s">
        <v>75</v>
      </c>
      <c r="H226" t="s">
        <v>39</v>
      </c>
    </row>
    <row r="227" spans="1:8" x14ac:dyDescent="0.3">
      <c r="A227" t="s">
        <v>519</v>
      </c>
      <c r="B227" t="s">
        <v>520</v>
      </c>
      <c r="C227" t="s">
        <v>74</v>
      </c>
      <c r="D227" t="s">
        <v>85</v>
      </c>
      <c r="E227" s="5">
        <v>5</v>
      </c>
      <c r="F227" s="4">
        <v>44868</v>
      </c>
      <c r="G227" t="s">
        <v>71</v>
      </c>
      <c r="H227" t="s">
        <v>48</v>
      </c>
    </row>
    <row r="228" spans="1:8" x14ac:dyDescent="0.3">
      <c r="A228" t="s">
        <v>521</v>
      </c>
      <c r="B228" t="s">
        <v>522</v>
      </c>
      <c r="C228" t="s">
        <v>65</v>
      </c>
      <c r="D228" t="s">
        <v>123</v>
      </c>
      <c r="E228" s="5">
        <v>649</v>
      </c>
      <c r="F228" s="4">
        <v>45722</v>
      </c>
      <c r="G228" t="s">
        <v>81</v>
      </c>
      <c r="H228" t="s">
        <v>17</v>
      </c>
    </row>
    <row r="229" spans="1:8" x14ac:dyDescent="0.3">
      <c r="A229" t="s">
        <v>523</v>
      </c>
      <c r="B229" t="s">
        <v>524</v>
      </c>
      <c r="C229" t="s">
        <v>74</v>
      </c>
      <c r="D229" t="s">
        <v>70</v>
      </c>
      <c r="E229" s="5">
        <v>283</v>
      </c>
      <c r="F229" s="4">
        <v>44200</v>
      </c>
      <c r="G229" t="s">
        <v>71</v>
      </c>
      <c r="H229" t="s">
        <v>27</v>
      </c>
    </row>
    <row r="230" spans="1:8" x14ac:dyDescent="0.3">
      <c r="A230" t="s">
        <v>525</v>
      </c>
      <c r="B230" t="s">
        <v>262</v>
      </c>
      <c r="C230" t="s">
        <v>80</v>
      </c>
      <c r="D230" t="s">
        <v>66</v>
      </c>
      <c r="E230" s="5">
        <v>846</v>
      </c>
      <c r="F230" s="4">
        <v>44684</v>
      </c>
      <c r="G230" t="s">
        <v>112</v>
      </c>
      <c r="H230" t="s">
        <v>53</v>
      </c>
    </row>
    <row r="231" spans="1:8" x14ac:dyDescent="0.3">
      <c r="A231" t="s">
        <v>526</v>
      </c>
      <c r="B231" t="s">
        <v>527</v>
      </c>
      <c r="C231" t="s">
        <v>74</v>
      </c>
      <c r="D231" t="s">
        <v>66</v>
      </c>
      <c r="E231" s="5">
        <v>220</v>
      </c>
      <c r="F231" s="4">
        <v>45748</v>
      </c>
      <c r="G231" t="s">
        <v>71</v>
      </c>
      <c r="H231" t="s">
        <v>44</v>
      </c>
    </row>
    <row r="232" spans="1:8" x14ac:dyDescent="0.3">
      <c r="A232" t="s">
        <v>528</v>
      </c>
      <c r="B232" t="s">
        <v>529</v>
      </c>
      <c r="C232" t="s">
        <v>74</v>
      </c>
      <c r="D232" t="s">
        <v>85</v>
      </c>
      <c r="E232" s="5">
        <v>236</v>
      </c>
      <c r="F232" s="4">
        <v>43849</v>
      </c>
      <c r="G232" t="s">
        <v>160</v>
      </c>
      <c r="H232" t="s">
        <v>34</v>
      </c>
    </row>
    <row r="233" spans="1:8" x14ac:dyDescent="0.3">
      <c r="A233" t="s">
        <v>530</v>
      </c>
      <c r="B233" t="s">
        <v>531</v>
      </c>
      <c r="C233" t="s">
        <v>65</v>
      </c>
      <c r="D233" t="s">
        <v>89</v>
      </c>
      <c r="E233" s="5">
        <v>181</v>
      </c>
      <c r="F233" s="4">
        <v>44058</v>
      </c>
      <c r="G233" t="s">
        <v>90</v>
      </c>
      <c r="H233" t="s">
        <v>29</v>
      </c>
    </row>
    <row r="234" spans="1:8" x14ac:dyDescent="0.3">
      <c r="A234" t="s">
        <v>532</v>
      </c>
      <c r="B234" t="s">
        <v>533</v>
      </c>
      <c r="C234" t="s">
        <v>80</v>
      </c>
      <c r="D234" t="s">
        <v>80</v>
      </c>
      <c r="E234" s="5">
        <v>887</v>
      </c>
      <c r="F234" s="4">
        <v>45448</v>
      </c>
      <c r="G234" t="s">
        <v>86</v>
      </c>
      <c r="H234" t="s">
        <v>29</v>
      </c>
    </row>
    <row r="235" spans="1:8" x14ac:dyDescent="0.3">
      <c r="A235" t="s">
        <v>534</v>
      </c>
      <c r="B235" t="s">
        <v>535</v>
      </c>
      <c r="C235" t="s">
        <v>80</v>
      </c>
      <c r="D235" t="s">
        <v>89</v>
      </c>
      <c r="E235" s="5">
        <v>360</v>
      </c>
      <c r="F235" s="4">
        <v>45619</v>
      </c>
      <c r="G235" t="s">
        <v>90</v>
      </c>
      <c r="H235" t="s">
        <v>29</v>
      </c>
    </row>
    <row r="236" spans="1:8" x14ac:dyDescent="0.3">
      <c r="A236" t="s">
        <v>536</v>
      </c>
      <c r="B236" t="s">
        <v>537</v>
      </c>
      <c r="C236" t="s">
        <v>65</v>
      </c>
      <c r="D236" t="s">
        <v>104</v>
      </c>
      <c r="E236" s="5">
        <v>674</v>
      </c>
      <c r="F236" s="4">
        <v>45109</v>
      </c>
      <c r="G236" t="s">
        <v>86</v>
      </c>
      <c r="H236" t="s">
        <v>50</v>
      </c>
    </row>
    <row r="237" spans="1:8" x14ac:dyDescent="0.3">
      <c r="A237" t="s">
        <v>538</v>
      </c>
      <c r="B237" t="s">
        <v>539</v>
      </c>
      <c r="C237" t="s">
        <v>74</v>
      </c>
      <c r="D237" t="s">
        <v>70</v>
      </c>
      <c r="E237" s="5">
        <v>998</v>
      </c>
      <c r="F237" s="4">
        <v>45517</v>
      </c>
      <c r="G237" t="s">
        <v>86</v>
      </c>
      <c r="H237" t="s">
        <v>46</v>
      </c>
    </row>
    <row r="238" spans="1:8" x14ac:dyDescent="0.3">
      <c r="A238" t="s">
        <v>540</v>
      </c>
      <c r="B238" t="s">
        <v>541</v>
      </c>
      <c r="C238" t="s">
        <v>65</v>
      </c>
      <c r="D238" t="s">
        <v>66</v>
      </c>
      <c r="E238" s="5">
        <v>325</v>
      </c>
      <c r="F238" s="4">
        <v>44088</v>
      </c>
      <c r="G238" t="s">
        <v>127</v>
      </c>
      <c r="H238" t="s">
        <v>29</v>
      </c>
    </row>
    <row r="239" spans="1:8" x14ac:dyDescent="0.3">
      <c r="A239" t="s">
        <v>542</v>
      </c>
      <c r="B239" t="s">
        <v>543</v>
      </c>
      <c r="C239" t="s">
        <v>65</v>
      </c>
      <c r="D239" t="s">
        <v>89</v>
      </c>
      <c r="E239" s="5">
        <v>707</v>
      </c>
      <c r="F239" s="4">
        <v>44074</v>
      </c>
      <c r="G239" t="s">
        <v>67</v>
      </c>
      <c r="H239" t="s">
        <v>32</v>
      </c>
    </row>
    <row r="240" spans="1:8" x14ac:dyDescent="0.3">
      <c r="A240" t="s">
        <v>544</v>
      </c>
      <c r="B240" t="s">
        <v>545</v>
      </c>
      <c r="C240" t="s">
        <v>65</v>
      </c>
      <c r="D240" t="s">
        <v>66</v>
      </c>
      <c r="E240" s="5">
        <v>615</v>
      </c>
      <c r="F240" s="4">
        <v>44287</v>
      </c>
      <c r="G240" t="s">
        <v>67</v>
      </c>
      <c r="H240" t="s">
        <v>27</v>
      </c>
    </row>
    <row r="241" spans="1:8" x14ac:dyDescent="0.3">
      <c r="A241" t="s">
        <v>546</v>
      </c>
      <c r="B241" t="s">
        <v>547</v>
      </c>
      <c r="C241" t="s">
        <v>65</v>
      </c>
      <c r="D241" t="s">
        <v>66</v>
      </c>
      <c r="E241" s="5">
        <v>665</v>
      </c>
      <c r="F241" s="4">
        <v>44615</v>
      </c>
      <c r="G241" t="s">
        <v>127</v>
      </c>
      <c r="H241" t="s">
        <v>46</v>
      </c>
    </row>
    <row r="242" spans="1:8" x14ac:dyDescent="0.3">
      <c r="A242" t="s">
        <v>548</v>
      </c>
      <c r="B242" t="s">
        <v>448</v>
      </c>
      <c r="C242" t="s">
        <v>84</v>
      </c>
      <c r="D242" t="s">
        <v>85</v>
      </c>
      <c r="E242" s="5">
        <v>730</v>
      </c>
      <c r="F242" s="4">
        <v>45244</v>
      </c>
      <c r="G242" t="s">
        <v>81</v>
      </c>
      <c r="H242" t="s">
        <v>17</v>
      </c>
    </row>
    <row r="243" spans="1:8" x14ac:dyDescent="0.3">
      <c r="A243" t="s">
        <v>549</v>
      </c>
      <c r="B243" t="s">
        <v>550</v>
      </c>
      <c r="C243" t="s">
        <v>84</v>
      </c>
      <c r="D243" t="s">
        <v>85</v>
      </c>
      <c r="E243" s="5">
        <v>789</v>
      </c>
      <c r="F243" s="4">
        <v>45050</v>
      </c>
      <c r="G243" t="s">
        <v>81</v>
      </c>
      <c r="H243" t="s">
        <v>24</v>
      </c>
    </row>
    <row r="244" spans="1:8" x14ac:dyDescent="0.3">
      <c r="A244" t="s">
        <v>551</v>
      </c>
      <c r="B244" t="s">
        <v>552</v>
      </c>
      <c r="C244" t="s">
        <v>65</v>
      </c>
      <c r="D244" t="s">
        <v>70</v>
      </c>
      <c r="E244" s="5">
        <v>5</v>
      </c>
      <c r="F244" s="4">
        <v>44018</v>
      </c>
      <c r="G244" t="s">
        <v>86</v>
      </c>
      <c r="H244" t="s">
        <v>17</v>
      </c>
    </row>
    <row r="245" spans="1:8" x14ac:dyDescent="0.3">
      <c r="A245" t="s">
        <v>553</v>
      </c>
      <c r="B245" t="s">
        <v>495</v>
      </c>
      <c r="C245" t="s">
        <v>74</v>
      </c>
      <c r="D245" t="s">
        <v>80</v>
      </c>
      <c r="E245" s="5">
        <v>5</v>
      </c>
      <c r="F245" s="4">
        <v>44872</v>
      </c>
      <c r="G245" t="s">
        <v>67</v>
      </c>
      <c r="H245" t="s">
        <v>39</v>
      </c>
    </row>
    <row r="246" spans="1:8" x14ac:dyDescent="0.3">
      <c r="A246" t="s">
        <v>554</v>
      </c>
      <c r="B246" t="s">
        <v>555</v>
      </c>
      <c r="C246" t="s">
        <v>74</v>
      </c>
      <c r="D246" t="s">
        <v>70</v>
      </c>
      <c r="E246" s="5">
        <v>585</v>
      </c>
      <c r="F246" s="4">
        <v>43841</v>
      </c>
      <c r="G246" t="s">
        <v>127</v>
      </c>
      <c r="H246" t="s">
        <v>29</v>
      </c>
    </row>
    <row r="247" spans="1:8" x14ac:dyDescent="0.3">
      <c r="A247" t="s">
        <v>556</v>
      </c>
      <c r="B247" t="s">
        <v>557</v>
      </c>
      <c r="C247" t="s">
        <v>80</v>
      </c>
      <c r="D247" t="s">
        <v>85</v>
      </c>
      <c r="E247" s="5">
        <v>633</v>
      </c>
      <c r="F247" s="4">
        <v>45001</v>
      </c>
      <c r="G247" t="s">
        <v>112</v>
      </c>
      <c r="H247" t="s">
        <v>44</v>
      </c>
    </row>
    <row r="248" spans="1:8" x14ac:dyDescent="0.3">
      <c r="A248" t="s">
        <v>558</v>
      </c>
      <c r="B248" t="s">
        <v>559</v>
      </c>
      <c r="C248" t="s">
        <v>74</v>
      </c>
      <c r="D248" t="s">
        <v>85</v>
      </c>
      <c r="E248" s="5">
        <v>337</v>
      </c>
      <c r="F248" s="4">
        <v>45959</v>
      </c>
      <c r="G248" t="s">
        <v>90</v>
      </c>
      <c r="H248" t="s">
        <v>37</v>
      </c>
    </row>
    <row r="249" spans="1:8" x14ac:dyDescent="0.3">
      <c r="A249" t="s">
        <v>560</v>
      </c>
      <c r="B249" t="s">
        <v>200</v>
      </c>
      <c r="C249" t="s">
        <v>65</v>
      </c>
      <c r="D249" t="s">
        <v>89</v>
      </c>
      <c r="E249" s="5">
        <v>411</v>
      </c>
      <c r="F249" s="4">
        <v>45607</v>
      </c>
      <c r="G249" t="s">
        <v>93</v>
      </c>
      <c r="H249" t="s">
        <v>27</v>
      </c>
    </row>
    <row r="250" spans="1:8" x14ac:dyDescent="0.3">
      <c r="A250" t="s">
        <v>561</v>
      </c>
      <c r="B250" t="s">
        <v>562</v>
      </c>
      <c r="C250" t="s">
        <v>74</v>
      </c>
      <c r="D250" t="s">
        <v>70</v>
      </c>
      <c r="E250" s="5">
        <v>1119</v>
      </c>
      <c r="F250" s="4">
        <v>45863</v>
      </c>
      <c r="G250" t="s">
        <v>112</v>
      </c>
      <c r="H250" t="s">
        <v>17</v>
      </c>
    </row>
    <row r="251" spans="1:8" x14ac:dyDescent="0.3">
      <c r="A251" t="s">
        <v>563</v>
      </c>
      <c r="B251" t="s">
        <v>564</v>
      </c>
      <c r="C251" t="s">
        <v>84</v>
      </c>
      <c r="D251" t="s">
        <v>126</v>
      </c>
      <c r="E251" s="5">
        <v>111</v>
      </c>
      <c r="F251" s="4">
        <v>44366</v>
      </c>
      <c r="G251" t="s">
        <v>109</v>
      </c>
      <c r="H251" t="s">
        <v>24</v>
      </c>
    </row>
    <row r="252" spans="1:8" x14ac:dyDescent="0.3">
      <c r="A252" t="s">
        <v>565</v>
      </c>
      <c r="B252" t="s">
        <v>125</v>
      </c>
      <c r="C252" t="s">
        <v>104</v>
      </c>
      <c r="D252" t="s">
        <v>85</v>
      </c>
      <c r="E252" s="5">
        <v>700</v>
      </c>
      <c r="F252" s="4">
        <v>45424</v>
      </c>
      <c r="G252" t="s">
        <v>81</v>
      </c>
      <c r="H252" t="s">
        <v>46</v>
      </c>
    </row>
    <row r="253" spans="1:8" x14ac:dyDescent="0.3">
      <c r="A253" t="s">
        <v>566</v>
      </c>
      <c r="B253" t="s">
        <v>567</v>
      </c>
      <c r="C253" t="s">
        <v>65</v>
      </c>
      <c r="D253" t="s">
        <v>89</v>
      </c>
      <c r="E253" s="5">
        <v>259</v>
      </c>
      <c r="F253" s="4">
        <v>44602</v>
      </c>
      <c r="G253" t="s">
        <v>75</v>
      </c>
      <c r="H253" t="s">
        <v>17</v>
      </c>
    </row>
    <row r="254" spans="1:8" x14ac:dyDescent="0.3">
      <c r="A254" t="s">
        <v>568</v>
      </c>
      <c r="B254" t="s">
        <v>569</v>
      </c>
      <c r="C254" t="s">
        <v>65</v>
      </c>
      <c r="D254" t="s">
        <v>85</v>
      </c>
      <c r="E254" s="5">
        <v>797</v>
      </c>
      <c r="F254" s="4">
        <v>44441</v>
      </c>
      <c r="G254" t="s">
        <v>81</v>
      </c>
      <c r="H254" t="s">
        <v>29</v>
      </c>
    </row>
    <row r="255" spans="1:8" x14ac:dyDescent="0.3">
      <c r="A255" t="s">
        <v>570</v>
      </c>
      <c r="B255" t="s">
        <v>571</v>
      </c>
      <c r="C255" t="s">
        <v>74</v>
      </c>
      <c r="D255" t="s">
        <v>70</v>
      </c>
      <c r="E255" s="5">
        <v>315</v>
      </c>
      <c r="F255" s="4">
        <v>45366</v>
      </c>
      <c r="G255" t="s">
        <v>75</v>
      </c>
      <c r="H255" t="s">
        <v>32</v>
      </c>
    </row>
    <row r="256" spans="1:8" x14ac:dyDescent="0.3">
      <c r="A256" t="s">
        <v>572</v>
      </c>
      <c r="B256" t="s">
        <v>573</v>
      </c>
      <c r="C256" t="s">
        <v>80</v>
      </c>
      <c r="D256" t="s">
        <v>85</v>
      </c>
      <c r="E256" s="5">
        <v>461</v>
      </c>
      <c r="F256" s="4">
        <v>45640</v>
      </c>
      <c r="G256" t="s">
        <v>112</v>
      </c>
      <c r="H256" t="s">
        <v>37</v>
      </c>
    </row>
    <row r="257" spans="1:8" x14ac:dyDescent="0.3">
      <c r="A257" t="s">
        <v>574</v>
      </c>
      <c r="B257" t="s">
        <v>400</v>
      </c>
      <c r="C257" t="s">
        <v>65</v>
      </c>
      <c r="D257" t="s">
        <v>70</v>
      </c>
      <c r="E257" s="5">
        <v>287</v>
      </c>
      <c r="F257" s="4">
        <v>44548</v>
      </c>
      <c r="G257" t="s">
        <v>81</v>
      </c>
      <c r="H257" t="s">
        <v>42</v>
      </c>
    </row>
    <row r="258" spans="1:8" x14ac:dyDescent="0.3">
      <c r="A258" t="s">
        <v>575</v>
      </c>
      <c r="B258" t="s">
        <v>576</v>
      </c>
      <c r="C258" t="s">
        <v>74</v>
      </c>
      <c r="D258" t="s">
        <v>85</v>
      </c>
      <c r="E258" s="5">
        <v>552</v>
      </c>
      <c r="F258" s="4">
        <v>45003</v>
      </c>
      <c r="G258" t="s">
        <v>71</v>
      </c>
      <c r="H258" t="s">
        <v>34</v>
      </c>
    </row>
    <row r="259" spans="1:8" x14ac:dyDescent="0.3">
      <c r="A259" t="s">
        <v>577</v>
      </c>
      <c r="B259" t="s">
        <v>578</v>
      </c>
      <c r="C259" t="s">
        <v>74</v>
      </c>
      <c r="D259" t="s">
        <v>80</v>
      </c>
      <c r="E259" s="5">
        <v>5</v>
      </c>
      <c r="F259" s="4">
        <v>45738</v>
      </c>
      <c r="G259" t="s">
        <v>112</v>
      </c>
      <c r="H259" t="s">
        <v>29</v>
      </c>
    </row>
    <row r="260" spans="1:8" x14ac:dyDescent="0.3">
      <c r="A260" t="s">
        <v>579</v>
      </c>
      <c r="B260" t="s">
        <v>580</v>
      </c>
      <c r="C260" t="s">
        <v>84</v>
      </c>
      <c r="D260" t="s">
        <v>85</v>
      </c>
      <c r="E260" s="5">
        <v>975</v>
      </c>
      <c r="F260" s="4">
        <v>43967</v>
      </c>
      <c r="G260" t="s">
        <v>112</v>
      </c>
      <c r="H260" t="s">
        <v>21</v>
      </c>
    </row>
    <row r="261" spans="1:8" x14ac:dyDescent="0.3">
      <c r="A261" t="s">
        <v>581</v>
      </c>
      <c r="B261" t="s">
        <v>582</v>
      </c>
      <c r="C261" t="s">
        <v>80</v>
      </c>
      <c r="D261" t="s">
        <v>66</v>
      </c>
      <c r="E261" s="5">
        <v>258</v>
      </c>
      <c r="F261" s="4">
        <v>44441</v>
      </c>
      <c r="G261" t="s">
        <v>127</v>
      </c>
      <c r="H261" t="s">
        <v>32</v>
      </c>
    </row>
    <row r="262" spans="1:8" x14ac:dyDescent="0.3">
      <c r="A262" t="s">
        <v>583</v>
      </c>
      <c r="B262" t="s">
        <v>584</v>
      </c>
      <c r="C262" t="s">
        <v>74</v>
      </c>
      <c r="D262" t="s">
        <v>66</v>
      </c>
      <c r="E262" s="5">
        <v>671</v>
      </c>
      <c r="F262" s="4">
        <v>44711</v>
      </c>
      <c r="G262" t="s">
        <v>112</v>
      </c>
      <c r="H262" t="s">
        <v>32</v>
      </c>
    </row>
    <row r="263" spans="1:8" x14ac:dyDescent="0.3">
      <c r="A263" t="s">
        <v>585</v>
      </c>
      <c r="B263" t="s">
        <v>238</v>
      </c>
      <c r="C263" t="s">
        <v>80</v>
      </c>
      <c r="D263" t="s">
        <v>89</v>
      </c>
      <c r="E263" s="5">
        <v>373</v>
      </c>
      <c r="F263" s="4">
        <v>44663</v>
      </c>
      <c r="G263" t="s">
        <v>75</v>
      </c>
      <c r="H263" t="s">
        <v>50</v>
      </c>
    </row>
    <row r="264" spans="1:8" x14ac:dyDescent="0.3">
      <c r="A264" t="s">
        <v>586</v>
      </c>
      <c r="B264" t="s">
        <v>587</v>
      </c>
      <c r="C264" t="s">
        <v>80</v>
      </c>
      <c r="D264" t="s">
        <v>70</v>
      </c>
      <c r="E264" s="5">
        <v>670</v>
      </c>
      <c r="F264" s="4">
        <v>45887</v>
      </c>
      <c r="G264" t="s">
        <v>86</v>
      </c>
      <c r="H264" t="s">
        <v>37</v>
      </c>
    </row>
    <row r="265" spans="1:8" x14ac:dyDescent="0.3">
      <c r="A265" t="s">
        <v>588</v>
      </c>
      <c r="B265" t="s">
        <v>589</v>
      </c>
      <c r="C265" t="s">
        <v>104</v>
      </c>
      <c r="D265" t="s">
        <v>89</v>
      </c>
      <c r="E265" s="5">
        <v>446</v>
      </c>
      <c r="F265" s="4">
        <v>44322</v>
      </c>
      <c r="G265" t="s">
        <v>86</v>
      </c>
      <c r="H265" t="s">
        <v>44</v>
      </c>
    </row>
    <row r="266" spans="1:8" x14ac:dyDescent="0.3">
      <c r="A266" t="s">
        <v>590</v>
      </c>
      <c r="B266" t="s">
        <v>394</v>
      </c>
      <c r="C266" t="s">
        <v>84</v>
      </c>
      <c r="D266" t="s">
        <v>126</v>
      </c>
      <c r="E266" s="5">
        <v>483</v>
      </c>
      <c r="F266" s="4">
        <v>44035</v>
      </c>
      <c r="G266" t="s">
        <v>75</v>
      </c>
      <c r="H266" t="s">
        <v>39</v>
      </c>
    </row>
    <row r="267" spans="1:8" x14ac:dyDescent="0.3">
      <c r="A267" t="s">
        <v>591</v>
      </c>
      <c r="B267" t="s">
        <v>69</v>
      </c>
      <c r="C267" t="s">
        <v>84</v>
      </c>
      <c r="D267" t="s">
        <v>89</v>
      </c>
      <c r="E267" s="5">
        <v>316</v>
      </c>
      <c r="F267" s="4">
        <v>45649</v>
      </c>
      <c r="G267" t="s">
        <v>93</v>
      </c>
      <c r="H267" t="s">
        <v>44</v>
      </c>
    </row>
    <row r="268" spans="1:8" x14ac:dyDescent="0.3">
      <c r="A268" t="s">
        <v>592</v>
      </c>
      <c r="B268" t="s">
        <v>593</v>
      </c>
      <c r="C268" t="s">
        <v>74</v>
      </c>
      <c r="D268" t="s">
        <v>123</v>
      </c>
      <c r="E268" s="5">
        <v>294</v>
      </c>
      <c r="F268" s="4">
        <v>44639</v>
      </c>
      <c r="G268" t="s">
        <v>86</v>
      </c>
      <c r="H268" t="s">
        <v>17</v>
      </c>
    </row>
    <row r="269" spans="1:8" x14ac:dyDescent="0.3">
      <c r="A269" t="s">
        <v>594</v>
      </c>
      <c r="B269" t="s">
        <v>595</v>
      </c>
      <c r="C269" t="s">
        <v>65</v>
      </c>
      <c r="D269" t="s">
        <v>80</v>
      </c>
      <c r="E269" s="5">
        <v>132</v>
      </c>
      <c r="F269" s="4">
        <v>45092</v>
      </c>
      <c r="G269" t="s">
        <v>75</v>
      </c>
      <c r="H269" t="s">
        <v>34</v>
      </c>
    </row>
    <row r="270" spans="1:8" x14ac:dyDescent="0.3">
      <c r="A270" t="s">
        <v>596</v>
      </c>
      <c r="B270" t="s">
        <v>355</v>
      </c>
      <c r="C270" t="s">
        <v>84</v>
      </c>
      <c r="D270" t="s">
        <v>70</v>
      </c>
      <c r="E270" s="5">
        <v>851</v>
      </c>
      <c r="F270" s="4">
        <v>44787</v>
      </c>
      <c r="G270" t="s">
        <v>86</v>
      </c>
      <c r="H270" t="s">
        <v>21</v>
      </c>
    </row>
    <row r="271" spans="1:8" x14ac:dyDescent="0.3">
      <c r="A271" t="s">
        <v>597</v>
      </c>
      <c r="B271" t="s">
        <v>598</v>
      </c>
      <c r="C271" t="s">
        <v>74</v>
      </c>
      <c r="D271" t="s">
        <v>89</v>
      </c>
      <c r="E271" s="5">
        <v>444</v>
      </c>
      <c r="F271" s="4">
        <v>43863</v>
      </c>
      <c r="G271" t="s">
        <v>75</v>
      </c>
      <c r="H271" t="s">
        <v>37</v>
      </c>
    </row>
    <row r="272" spans="1:8" x14ac:dyDescent="0.3">
      <c r="A272" t="s">
        <v>599</v>
      </c>
      <c r="B272" t="s">
        <v>600</v>
      </c>
      <c r="C272" t="s">
        <v>74</v>
      </c>
      <c r="D272" t="s">
        <v>66</v>
      </c>
      <c r="E272" s="5">
        <v>513</v>
      </c>
      <c r="F272" s="4">
        <v>44592</v>
      </c>
      <c r="G272" t="s">
        <v>81</v>
      </c>
      <c r="H272" t="s">
        <v>48</v>
      </c>
    </row>
    <row r="273" spans="1:8" x14ac:dyDescent="0.3">
      <c r="A273" t="s">
        <v>601</v>
      </c>
      <c r="B273" t="s">
        <v>602</v>
      </c>
      <c r="C273" t="s">
        <v>65</v>
      </c>
      <c r="D273" t="s">
        <v>80</v>
      </c>
      <c r="E273" s="5">
        <v>289</v>
      </c>
      <c r="F273" s="4">
        <v>44642</v>
      </c>
      <c r="G273" t="s">
        <v>75</v>
      </c>
      <c r="H273" t="s">
        <v>27</v>
      </c>
    </row>
    <row r="274" spans="1:8" x14ac:dyDescent="0.3">
      <c r="A274" t="s">
        <v>603</v>
      </c>
      <c r="B274" t="s">
        <v>604</v>
      </c>
      <c r="C274" t="s">
        <v>74</v>
      </c>
      <c r="D274" t="s">
        <v>126</v>
      </c>
      <c r="E274" s="5">
        <v>5</v>
      </c>
      <c r="F274" s="4">
        <v>45189</v>
      </c>
      <c r="G274" t="s">
        <v>75</v>
      </c>
      <c r="H274" t="s">
        <v>34</v>
      </c>
    </row>
    <row r="275" spans="1:8" x14ac:dyDescent="0.3">
      <c r="A275" t="s">
        <v>605</v>
      </c>
      <c r="B275" t="s">
        <v>513</v>
      </c>
      <c r="C275" t="s">
        <v>74</v>
      </c>
      <c r="D275" t="s">
        <v>89</v>
      </c>
      <c r="E275" s="5">
        <v>799</v>
      </c>
      <c r="F275" s="4">
        <v>45741</v>
      </c>
      <c r="G275" t="s">
        <v>81</v>
      </c>
      <c r="H275" t="s">
        <v>24</v>
      </c>
    </row>
    <row r="276" spans="1:8" x14ac:dyDescent="0.3">
      <c r="A276" t="s">
        <v>606</v>
      </c>
      <c r="B276" t="s">
        <v>607</v>
      </c>
      <c r="C276" t="s">
        <v>65</v>
      </c>
      <c r="D276" t="s">
        <v>66</v>
      </c>
      <c r="E276" s="5">
        <v>728</v>
      </c>
      <c r="F276" s="4">
        <v>44714</v>
      </c>
      <c r="G276" t="s">
        <v>75</v>
      </c>
      <c r="H276" t="s">
        <v>42</v>
      </c>
    </row>
    <row r="277" spans="1:8" x14ac:dyDescent="0.3">
      <c r="A277" t="s">
        <v>608</v>
      </c>
      <c r="B277" t="s">
        <v>609</v>
      </c>
      <c r="C277" t="s">
        <v>104</v>
      </c>
      <c r="D277" t="s">
        <v>126</v>
      </c>
      <c r="E277" s="5">
        <v>124</v>
      </c>
      <c r="F277" s="4">
        <v>44779</v>
      </c>
      <c r="G277" t="s">
        <v>81</v>
      </c>
      <c r="H277" t="s">
        <v>24</v>
      </c>
    </row>
    <row r="278" spans="1:8" x14ac:dyDescent="0.3">
      <c r="A278" t="s">
        <v>610</v>
      </c>
      <c r="B278" t="s">
        <v>611</v>
      </c>
      <c r="C278" t="s">
        <v>74</v>
      </c>
      <c r="D278" t="s">
        <v>70</v>
      </c>
      <c r="E278" s="5">
        <v>304</v>
      </c>
      <c r="F278" s="4">
        <v>44284</v>
      </c>
      <c r="G278" t="s">
        <v>71</v>
      </c>
      <c r="H278" t="s">
        <v>34</v>
      </c>
    </row>
    <row r="279" spans="1:8" x14ac:dyDescent="0.3">
      <c r="A279" t="s">
        <v>612</v>
      </c>
      <c r="B279" t="s">
        <v>613</v>
      </c>
      <c r="C279" t="s">
        <v>65</v>
      </c>
      <c r="D279" t="s">
        <v>126</v>
      </c>
      <c r="E279" s="5">
        <v>57</v>
      </c>
      <c r="F279" s="4">
        <v>45288</v>
      </c>
      <c r="G279" t="s">
        <v>112</v>
      </c>
      <c r="H279" t="s">
        <v>29</v>
      </c>
    </row>
    <row r="280" spans="1:8" x14ac:dyDescent="0.3">
      <c r="A280" t="s">
        <v>614</v>
      </c>
      <c r="B280" t="s">
        <v>615</v>
      </c>
      <c r="C280" t="s">
        <v>104</v>
      </c>
      <c r="D280" t="s">
        <v>126</v>
      </c>
      <c r="E280" s="5">
        <v>1022</v>
      </c>
      <c r="F280" s="4">
        <v>44013</v>
      </c>
      <c r="G280" t="s">
        <v>90</v>
      </c>
      <c r="H280" t="s">
        <v>50</v>
      </c>
    </row>
    <row r="281" spans="1:8" x14ac:dyDescent="0.3">
      <c r="A281" t="s">
        <v>616</v>
      </c>
      <c r="B281" t="s">
        <v>382</v>
      </c>
      <c r="C281" t="s">
        <v>84</v>
      </c>
      <c r="D281" t="s">
        <v>85</v>
      </c>
      <c r="E281" s="5">
        <v>5</v>
      </c>
      <c r="F281" s="4">
        <v>43983</v>
      </c>
      <c r="G281" t="s">
        <v>75</v>
      </c>
      <c r="H281" t="s">
        <v>37</v>
      </c>
    </row>
    <row r="282" spans="1:8" x14ac:dyDescent="0.3">
      <c r="A282" t="s">
        <v>617</v>
      </c>
      <c r="B282" t="s">
        <v>351</v>
      </c>
      <c r="C282" t="s">
        <v>74</v>
      </c>
      <c r="D282" t="s">
        <v>89</v>
      </c>
      <c r="E282" s="5">
        <v>376</v>
      </c>
      <c r="F282" s="4">
        <v>44815</v>
      </c>
      <c r="G282" t="s">
        <v>112</v>
      </c>
      <c r="H282" t="s">
        <v>42</v>
      </c>
    </row>
    <row r="283" spans="1:8" x14ac:dyDescent="0.3">
      <c r="A283" t="s">
        <v>618</v>
      </c>
      <c r="B283" t="s">
        <v>122</v>
      </c>
      <c r="C283" t="s">
        <v>74</v>
      </c>
      <c r="D283" t="s">
        <v>70</v>
      </c>
      <c r="E283" s="5">
        <v>720</v>
      </c>
      <c r="F283" s="4">
        <v>44495</v>
      </c>
      <c r="G283" t="s">
        <v>81</v>
      </c>
      <c r="H283" t="s">
        <v>37</v>
      </c>
    </row>
    <row r="284" spans="1:8" x14ac:dyDescent="0.3">
      <c r="A284" t="s">
        <v>619</v>
      </c>
      <c r="B284" t="s">
        <v>620</v>
      </c>
      <c r="C284" t="s">
        <v>74</v>
      </c>
      <c r="D284" t="s">
        <v>89</v>
      </c>
      <c r="E284" s="5">
        <v>452</v>
      </c>
      <c r="F284" s="4">
        <v>45865</v>
      </c>
      <c r="G284" t="s">
        <v>75</v>
      </c>
      <c r="H284" t="s">
        <v>32</v>
      </c>
    </row>
    <row r="285" spans="1:8" x14ac:dyDescent="0.3">
      <c r="A285" t="s">
        <v>621</v>
      </c>
      <c r="B285" t="s">
        <v>191</v>
      </c>
      <c r="C285" t="s">
        <v>84</v>
      </c>
      <c r="D285" t="s">
        <v>66</v>
      </c>
      <c r="E285" s="5">
        <v>155</v>
      </c>
      <c r="F285" s="4">
        <v>44561</v>
      </c>
      <c r="G285" t="s">
        <v>86</v>
      </c>
      <c r="H285" t="s">
        <v>42</v>
      </c>
    </row>
    <row r="286" spans="1:8" x14ac:dyDescent="0.3">
      <c r="A286" t="s">
        <v>622</v>
      </c>
      <c r="B286" t="s">
        <v>623</v>
      </c>
      <c r="C286" t="s">
        <v>84</v>
      </c>
      <c r="D286" t="s">
        <v>89</v>
      </c>
      <c r="E286" s="5">
        <v>59</v>
      </c>
      <c r="F286" s="4">
        <v>45308</v>
      </c>
      <c r="G286" t="s">
        <v>160</v>
      </c>
      <c r="H286" t="s">
        <v>29</v>
      </c>
    </row>
    <row r="287" spans="1:8" x14ac:dyDescent="0.3">
      <c r="A287" t="s">
        <v>624</v>
      </c>
      <c r="B287" t="s">
        <v>625</v>
      </c>
      <c r="C287" t="s">
        <v>80</v>
      </c>
      <c r="D287" t="s">
        <v>80</v>
      </c>
      <c r="E287" s="5">
        <v>266</v>
      </c>
      <c r="F287" s="4">
        <v>45607</v>
      </c>
      <c r="G287" t="s">
        <v>112</v>
      </c>
      <c r="H287" t="s">
        <v>53</v>
      </c>
    </row>
    <row r="288" spans="1:8" x14ac:dyDescent="0.3">
      <c r="A288" t="s">
        <v>626</v>
      </c>
      <c r="B288" t="s">
        <v>627</v>
      </c>
      <c r="C288" t="s">
        <v>84</v>
      </c>
      <c r="D288" t="s">
        <v>70</v>
      </c>
      <c r="E288" s="5">
        <v>637</v>
      </c>
      <c r="F288" s="4">
        <v>44984</v>
      </c>
      <c r="G288" t="s">
        <v>75</v>
      </c>
      <c r="H288" t="s">
        <v>24</v>
      </c>
    </row>
    <row r="289" spans="1:8" x14ac:dyDescent="0.3">
      <c r="A289" t="s">
        <v>628</v>
      </c>
      <c r="B289" t="s">
        <v>629</v>
      </c>
      <c r="C289" t="s">
        <v>65</v>
      </c>
      <c r="D289" t="s">
        <v>85</v>
      </c>
      <c r="E289" s="5">
        <v>695</v>
      </c>
      <c r="F289" s="4">
        <v>45688</v>
      </c>
      <c r="G289" t="s">
        <v>109</v>
      </c>
      <c r="H289" t="s">
        <v>39</v>
      </c>
    </row>
    <row r="290" spans="1:8" x14ac:dyDescent="0.3">
      <c r="A290" t="s">
        <v>630</v>
      </c>
      <c r="B290" t="s">
        <v>331</v>
      </c>
      <c r="C290" t="s">
        <v>65</v>
      </c>
      <c r="D290" t="s">
        <v>80</v>
      </c>
      <c r="E290" s="5">
        <v>5</v>
      </c>
      <c r="F290" s="4">
        <v>45616</v>
      </c>
      <c r="G290" t="s">
        <v>75</v>
      </c>
      <c r="H290" t="s">
        <v>50</v>
      </c>
    </row>
    <row r="291" spans="1:8" x14ac:dyDescent="0.3">
      <c r="A291" t="s">
        <v>631</v>
      </c>
      <c r="B291" t="s">
        <v>632</v>
      </c>
      <c r="C291" t="s">
        <v>65</v>
      </c>
      <c r="D291" t="s">
        <v>123</v>
      </c>
      <c r="E291" s="5">
        <v>102</v>
      </c>
      <c r="F291" s="4">
        <v>45130</v>
      </c>
      <c r="G291" t="s">
        <v>75</v>
      </c>
      <c r="H291" t="s">
        <v>32</v>
      </c>
    </row>
    <row r="292" spans="1:8" x14ac:dyDescent="0.3">
      <c r="A292" t="s">
        <v>633</v>
      </c>
      <c r="B292" t="s">
        <v>506</v>
      </c>
      <c r="C292" t="s">
        <v>65</v>
      </c>
      <c r="D292" t="s">
        <v>80</v>
      </c>
      <c r="E292" s="5">
        <v>130</v>
      </c>
      <c r="F292" s="4">
        <v>45799</v>
      </c>
      <c r="G292" t="s">
        <v>93</v>
      </c>
      <c r="H292" t="s">
        <v>44</v>
      </c>
    </row>
    <row r="293" spans="1:8" x14ac:dyDescent="0.3">
      <c r="A293" t="s">
        <v>634</v>
      </c>
      <c r="B293" t="s">
        <v>635</v>
      </c>
      <c r="C293" t="s">
        <v>80</v>
      </c>
      <c r="D293" t="s">
        <v>70</v>
      </c>
      <c r="E293" s="5">
        <v>479</v>
      </c>
      <c r="F293" s="4">
        <v>44128</v>
      </c>
      <c r="G293" t="s">
        <v>109</v>
      </c>
      <c r="H293" t="s">
        <v>27</v>
      </c>
    </row>
    <row r="294" spans="1:8" x14ac:dyDescent="0.3">
      <c r="A294" t="s">
        <v>636</v>
      </c>
      <c r="B294" t="s">
        <v>236</v>
      </c>
      <c r="C294" t="s">
        <v>74</v>
      </c>
      <c r="D294" t="s">
        <v>104</v>
      </c>
      <c r="E294" s="5">
        <v>373</v>
      </c>
      <c r="F294" s="4">
        <v>44972</v>
      </c>
      <c r="G294" t="s">
        <v>109</v>
      </c>
      <c r="H294" t="s">
        <v>44</v>
      </c>
    </row>
    <row r="295" spans="1:8" x14ac:dyDescent="0.3">
      <c r="A295" t="s">
        <v>637</v>
      </c>
      <c r="B295" t="s">
        <v>638</v>
      </c>
      <c r="C295" t="s">
        <v>65</v>
      </c>
      <c r="D295" t="s">
        <v>126</v>
      </c>
      <c r="E295" s="5">
        <v>954</v>
      </c>
      <c r="F295" s="4">
        <v>45038</v>
      </c>
      <c r="G295" t="s">
        <v>86</v>
      </c>
      <c r="H295" t="s">
        <v>46</v>
      </c>
    </row>
    <row r="296" spans="1:8" x14ac:dyDescent="0.3">
      <c r="A296" t="s">
        <v>639</v>
      </c>
      <c r="B296" t="s">
        <v>640</v>
      </c>
      <c r="C296" t="s">
        <v>65</v>
      </c>
      <c r="D296" t="s">
        <v>70</v>
      </c>
      <c r="E296" s="5">
        <v>528</v>
      </c>
      <c r="F296" s="4">
        <v>45959</v>
      </c>
      <c r="G296" t="s">
        <v>81</v>
      </c>
      <c r="H296" t="s">
        <v>32</v>
      </c>
    </row>
    <row r="297" spans="1:8" x14ac:dyDescent="0.3">
      <c r="A297" t="s">
        <v>641</v>
      </c>
      <c r="B297" t="s">
        <v>642</v>
      </c>
      <c r="C297" t="s">
        <v>84</v>
      </c>
      <c r="D297" t="s">
        <v>80</v>
      </c>
      <c r="E297" s="5">
        <v>972</v>
      </c>
      <c r="F297" s="4">
        <v>45060</v>
      </c>
      <c r="G297" t="s">
        <v>86</v>
      </c>
      <c r="H297" t="s">
        <v>46</v>
      </c>
    </row>
    <row r="298" spans="1:8" x14ac:dyDescent="0.3">
      <c r="A298" t="s">
        <v>643</v>
      </c>
      <c r="B298" t="s">
        <v>644</v>
      </c>
      <c r="C298" t="s">
        <v>65</v>
      </c>
      <c r="D298" t="s">
        <v>66</v>
      </c>
      <c r="E298" s="5">
        <v>5</v>
      </c>
      <c r="F298" s="4">
        <v>45452</v>
      </c>
      <c r="G298" t="s">
        <v>90</v>
      </c>
      <c r="H298" t="s">
        <v>39</v>
      </c>
    </row>
    <row r="299" spans="1:8" x14ac:dyDescent="0.3">
      <c r="A299" t="s">
        <v>645</v>
      </c>
      <c r="B299" t="s">
        <v>646</v>
      </c>
      <c r="C299" t="s">
        <v>84</v>
      </c>
      <c r="D299" t="s">
        <v>85</v>
      </c>
      <c r="E299" s="5">
        <v>880</v>
      </c>
      <c r="F299" s="4">
        <v>45125</v>
      </c>
      <c r="G299" t="s">
        <v>112</v>
      </c>
      <c r="H299" t="s">
        <v>42</v>
      </c>
    </row>
    <row r="300" spans="1:8" x14ac:dyDescent="0.3">
      <c r="A300" t="s">
        <v>647</v>
      </c>
      <c r="B300" t="s">
        <v>648</v>
      </c>
      <c r="C300" t="s">
        <v>74</v>
      </c>
      <c r="D300" t="s">
        <v>70</v>
      </c>
      <c r="E300" s="5">
        <v>457</v>
      </c>
      <c r="F300" s="4">
        <v>44425</v>
      </c>
      <c r="G300" t="s">
        <v>127</v>
      </c>
      <c r="H300" t="s">
        <v>32</v>
      </c>
    </row>
    <row r="301" spans="1:8" x14ac:dyDescent="0.3">
      <c r="A301" t="s">
        <v>649</v>
      </c>
      <c r="B301" t="s">
        <v>650</v>
      </c>
      <c r="C301" t="s">
        <v>84</v>
      </c>
      <c r="D301" t="s">
        <v>66</v>
      </c>
      <c r="E301" s="5">
        <v>5</v>
      </c>
      <c r="F301" s="4">
        <v>44830</v>
      </c>
      <c r="G301" t="s">
        <v>81</v>
      </c>
      <c r="H301" t="s">
        <v>53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9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4" customWidth="1"/>
    <col min="3" max="3" width="16" customWidth="1"/>
    <col min="4" max="4" width="26" customWidth="1"/>
    <col min="5" max="6" width="10" customWidth="1"/>
    <col min="7" max="7" width="8" customWidth="1"/>
  </cols>
  <sheetData>
    <row r="1" spans="1:7" ht="28.8" x14ac:dyDescent="0.3">
      <c r="A1" s="3" t="s">
        <v>651</v>
      </c>
      <c r="B1" s="3" t="s">
        <v>652</v>
      </c>
      <c r="C1" s="3" t="s">
        <v>653</v>
      </c>
      <c r="D1" s="3" t="s">
        <v>654</v>
      </c>
      <c r="E1" s="3" t="s">
        <v>655</v>
      </c>
      <c r="F1" s="3" t="s">
        <v>656</v>
      </c>
      <c r="G1" s="3" t="s">
        <v>657</v>
      </c>
    </row>
    <row r="2" spans="1:7" x14ac:dyDescent="0.3">
      <c r="A2" t="s">
        <v>658</v>
      </c>
      <c r="B2" t="s">
        <v>659</v>
      </c>
      <c r="C2" t="s">
        <v>660</v>
      </c>
      <c r="D2" t="s">
        <v>661</v>
      </c>
      <c r="E2" s="6">
        <v>15.75</v>
      </c>
      <c r="F2" s="6">
        <v>24.5</v>
      </c>
      <c r="G2" t="s">
        <v>662</v>
      </c>
    </row>
    <row r="3" spans="1:7" x14ac:dyDescent="0.3">
      <c r="A3" t="s">
        <v>663</v>
      </c>
      <c r="B3" t="s">
        <v>659</v>
      </c>
      <c r="C3" t="s">
        <v>660</v>
      </c>
      <c r="D3" t="s">
        <v>664</v>
      </c>
      <c r="E3" s="6">
        <v>92.23</v>
      </c>
      <c r="F3" s="6">
        <v>131.63999999999999</v>
      </c>
      <c r="G3" t="s">
        <v>662</v>
      </c>
    </row>
    <row r="4" spans="1:7" x14ac:dyDescent="0.3">
      <c r="A4" t="s">
        <v>665</v>
      </c>
      <c r="B4" t="s">
        <v>659</v>
      </c>
      <c r="C4" t="s">
        <v>660</v>
      </c>
      <c r="D4" t="s">
        <v>666</v>
      </c>
      <c r="E4" s="6">
        <v>134.65</v>
      </c>
      <c r="F4" s="6">
        <v>208.29</v>
      </c>
      <c r="G4" t="s">
        <v>662</v>
      </c>
    </row>
    <row r="5" spans="1:7" x14ac:dyDescent="0.3">
      <c r="A5" t="s">
        <v>667</v>
      </c>
      <c r="B5" t="s">
        <v>659</v>
      </c>
      <c r="C5" t="s">
        <v>660</v>
      </c>
      <c r="D5" t="s">
        <v>668</v>
      </c>
      <c r="E5" s="6">
        <v>5</v>
      </c>
      <c r="F5" s="6">
        <v>7.75</v>
      </c>
      <c r="G5" t="s">
        <v>662</v>
      </c>
    </row>
    <row r="6" spans="1:7" x14ac:dyDescent="0.3">
      <c r="A6" t="s">
        <v>669</v>
      </c>
      <c r="B6" t="s">
        <v>659</v>
      </c>
      <c r="C6" t="s">
        <v>660</v>
      </c>
      <c r="D6" t="s">
        <v>670</v>
      </c>
      <c r="E6" s="6">
        <v>5</v>
      </c>
      <c r="F6" s="6">
        <v>9.2100000000000009</v>
      </c>
      <c r="G6" t="s">
        <v>662</v>
      </c>
    </row>
    <row r="7" spans="1:7" x14ac:dyDescent="0.3">
      <c r="A7" t="s">
        <v>671</v>
      </c>
      <c r="B7" t="s">
        <v>659</v>
      </c>
      <c r="C7" t="s">
        <v>660</v>
      </c>
      <c r="D7" t="s">
        <v>672</v>
      </c>
      <c r="E7" s="6">
        <v>10.62</v>
      </c>
      <c r="F7" s="6">
        <v>14.12</v>
      </c>
      <c r="G7" t="s">
        <v>662</v>
      </c>
    </row>
    <row r="8" spans="1:7" x14ac:dyDescent="0.3">
      <c r="A8" t="s">
        <v>673</v>
      </c>
      <c r="B8" t="s">
        <v>659</v>
      </c>
      <c r="C8" t="s">
        <v>660</v>
      </c>
      <c r="D8" t="s">
        <v>674</v>
      </c>
      <c r="E8" s="6">
        <v>5</v>
      </c>
      <c r="F8" s="6">
        <v>8.3000000000000007</v>
      </c>
      <c r="G8" t="s">
        <v>662</v>
      </c>
    </row>
    <row r="9" spans="1:7" x14ac:dyDescent="0.3">
      <c r="A9" t="s">
        <v>675</v>
      </c>
      <c r="B9" t="s">
        <v>659</v>
      </c>
      <c r="C9" t="s">
        <v>660</v>
      </c>
      <c r="D9" t="s">
        <v>676</v>
      </c>
      <c r="E9" s="6">
        <v>15.14</v>
      </c>
      <c r="F9" s="6">
        <v>27.6</v>
      </c>
      <c r="G9" t="s">
        <v>662</v>
      </c>
    </row>
    <row r="10" spans="1:7" x14ac:dyDescent="0.3">
      <c r="A10" t="s">
        <v>677</v>
      </c>
      <c r="B10" t="s">
        <v>659</v>
      </c>
      <c r="C10" t="s">
        <v>660</v>
      </c>
      <c r="D10" t="s">
        <v>678</v>
      </c>
      <c r="E10" s="6">
        <v>53.6</v>
      </c>
      <c r="F10" s="6">
        <v>75.430000000000007</v>
      </c>
      <c r="G10" t="s">
        <v>679</v>
      </c>
    </row>
    <row r="11" spans="1:7" x14ac:dyDescent="0.3">
      <c r="A11" t="s">
        <v>680</v>
      </c>
      <c r="B11" t="s">
        <v>659</v>
      </c>
      <c r="C11" t="s">
        <v>660</v>
      </c>
      <c r="D11" t="s">
        <v>681</v>
      </c>
      <c r="E11" s="6">
        <v>36.96</v>
      </c>
      <c r="F11" s="6">
        <v>47.54</v>
      </c>
      <c r="G11" t="s">
        <v>662</v>
      </c>
    </row>
    <row r="12" spans="1:7" x14ac:dyDescent="0.3">
      <c r="A12" t="s">
        <v>682</v>
      </c>
      <c r="B12" t="s">
        <v>659</v>
      </c>
      <c r="C12" t="s">
        <v>660</v>
      </c>
      <c r="D12" t="s">
        <v>683</v>
      </c>
      <c r="E12" s="6">
        <v>5</v>
      </c>
      <c r="F12" s="6">
        <v>7.75</v>
      </c>
      <c r="G12" t="s">
        <v>662</v>
      </c>
    </row>
    <row r="13" spans="1:7" x14ac:dyDescent="0.3">
      <c r="A13" t="s">
        <v>684</v>
      </c>
      <c r="B13" t="s">
        <v>659</v>
      </c>
      <c r="C13" t="s">
        <v>660</v>
      </c>
      <c r="D13" t="s">
        <v>685</v>
      </c>
      <c r="E13" s="6">
        <v>32.08</v>
      </c>
      <c r="F13" s="6">
        <v>53.61</v>
      </c>
      <c r="G13" t="s">
        <v>662</v>
      </c>
    </row>
    <row r="14" spans="1:7" x14ac:dyDescent="0.3">
      <c r="A14" t="s">
        <v>686</v>
      </c>
      <c r="B14" t="s">
        <v>659</v>
      </c>
      <c r="C14" t="s">
        <v>660</v>
      </c>
      <c r="D14" t="s">
        <v>687</v>
      </c>
      <c r="E14" s="6">
        <v>5</v>
      </c>
      <c r="F14" s="6">
        <v>7.08</v>
      </c>
      <c r="G14" t="s">
        <v>662</v>
      </c>
    </row>
    <row r="15" spans="1:7" x14ac:dyDescent="0.3">
      <c r="A15" t="s">
        <v>688</v>
      </c>
      <c r="B15" t="s">
        <v>659</v>
      </c>
      <c r="C15" t="s">
        <v>660</v>
      </c>
      <c r="D15" t="s">
        <v>689</v>
      </c>
      <c r="E15" s="6">
        <v>19.25</v>
      </c>
      <c r="F15" s="6">
        <v>29.97</v>
      </c>
      <c r="G15" t="s">
        <v>662</v>
      </c>
    </row>
    <row r="16" spans="1:7" x14ac:dyDescent="0.3">
      <c r="A16" t="s">
        <v>690</v>
      </c>
      <c r="B16" t="s">
        <v>659</v>
      </c>
      <c r="C16" t="s">
        <v>660</v>
      </c>
      <c r="D16" t="s">
        <v>691</v>
      </c>
      <c r="E16" s="6">
        <v>57.12</v>
      </c>
      <c r="F16" s="6">
        <v>84.79</v>
      </c>
      <c r="G16" t="s">
        <v>662</v>
      </c>
    </row>
    <row r="17" spans="1:7" x14ac:dyDescent="0.3">
      <c r="A17" t="s">
        <v>692</v>
      </c>
      <c r="B17" t="s">
        <v>659</v>
      </c>
      <c r="C17" t="s">
        <v>660</v>
      </c>
      <c r="D17" t="s">
        <v>693</v>
      </c>
      <c r="E17" s="6">
        <v>5</v>
      </c>
      <c r="F17" s="6">
        <v>8.75</v>
      </c>
      <c r="G17" t="s">
        <v>662</v>
      </c>
    </row>
    <row r="18" spans="1:7" x14ac:dyDescent="0.3">
      <c r="A18" t="s">
        <v>694</v>
      </c>
      <c r="B18" t="s">
        <v>659</v>
      </c>
      <c r="C18" t="s">
        <v>660</v>
      </c>
      <c r="D18" t="s">
        <v>695</v>
      </c>
      <c r="E18" s="6">
        <v>105.86</v>
      </c>
      <c r="F18" s="6">
        <v>178.69</v>
      </c>
      <c r="G18" t="s">
        <v>662</v>
      </c>
    </row>
    <row r="19" spans="1:7" x14ac:dyDescent="0.3">
      <c r="A19" t="s">
        <v>696</v>
      </c>
      <c r="B19" t="s">
        <v>659</v>
      </c>
      <c r="C19" t="s">
        <v>660</v>
      </c>
      <c r="D19" t="s">
        <v>697</v>
      </c>
      <c r="E19" s="6">
        <v>66.25</v>
      </c>
      <c r="F19" s="6">
        <v>85.11</v>
      </c>
      <c r="G19" t="s">
        <v>662</v>
      </c>
    </row>
    <row r="20" spans="1:7" x14ac:dyDescent="0.3">
      <c r="A20" t="s">
        <v>698</v>
      </c>
      <c r="B20" t="s">
        <v>659</v>
      </c>
      <c r="C20" t="s">
        <v>660</v>
      </c>
      <c r="D20" t="s">
        <v>699</v>
      </c>
      <c r="E20" s="6">
        <v>5</v>
      </c>
      <c r="F20" s="6">
        <v>8.08</v>
      </c>
      <c r="G20" t="s">
        <v>662</v>
      </c>
    </row>
    <row r="21" spans="1:7" x14ac:dyDescent="0.3">
      <c r="A21" t="s">
        <v>700</v>
      </c>
      <c r="B21" t="s">
        <v>659</v>
      </c>
      <c r="C21" t="s">
        <v>660</v>
      </c>
      <c r="D21" t="s">
        <v>701</v>
      </c>
      <c r="E21" s="6">
        <v>56.99</v>
      </c>
      <c r="F21" s="6">
        <v>96.6</v>
      </c>
      <c r="G21" t="s">
        <v>662</v>
      </c>
    </row>
    <row r="22" spans="1:7" x14ac:dyDescent="0.3">
      <c r="A22" t="s">
        <v>702</v>
      </c>
      <c r="B22" t="s">
        <v>659</v>
      </c>
      <c r="C22" t="s">
        <v>660</v>
      </c>
      <c r="D22" t="s">
        <v>703</v>
      </c>
      <c r="E22" s="6">
        <v>92.37</v>
      </c>
      <c r="F22" s="6">
        <v>154.34</v>
      </c>
      <c r="G22" t="s">
        <v>662</v>
      </c>
    </row>
    <row r="23" spans="1:7" x14ac:dyDescent="0.3">
      <c r="A23" t="s">
        <v>704</v>
      </c>
      <c r="B23" t="s">
        <v>659</v>
      </c>
      <c r="C23" t="s">
        <v>660</v>
      </c>
      <c r="D23" t="s">
        <v>705</v>
      </c>
      <c r="E23" s="6">
        <v>88.5</v>
      </c>
      <c r="F23" s="6">
        <v>161.22999999999999</v>
      </c>
      <c r="G23" t="s">
        <v>662</v>
      </c>
    </row>
    <row r="24" spans="1:7" x14ac:dyDescent="0.3">
      <c r="A24" t="s">
        <v>706</v>
      </c>
      <c r="B24" t="s">
        <v>659</v>
      </c>
      <c r="C24" t="s">
        <v>660</v>
      </c>
      <c r="D24" t="s">
        <v>707</v>
      </c>
      <c r="E24" s="6">
        <v>51.44</v>
      </c>
      <c r="F24" s="6">
        <v>69.45</v>
      </c>
      <c r="G24" t="s">
        <v>662</v>
      </c>
    </row>
    <row r="25" spans="1:7" x14ac:dyDescent="0.3">
      <c r="A25" t="s">
        <v>708</v>
      </c>
      <c r="B25" t="s">
        <v>659</v>
      </c>
      <c r="C25" t="s">
        <v>660</v>
      </c>
      <c r="D25" t="s">
        <v>709</v>
      </c>
      <c r="E25" s="6">
        <v>5</v>
      </c>
      <c r="F25" s="6">
        <v>8.59</v>
      </c>
      <c r="G25" t="s">
        <v>662</v>
      </c>
    </row>
    <row r="26" spans="1:7" x14ac:dyDescent="0.3">
      <c r="A26" t="s">
        <v>710</v>
      </c>
      <c r="B26" t="s">
        <v>659</v>
      </c>
      <c r="C26" t="s">
        <v>660</v>
      </c>
      <c r="D26" t="s">
        <v>711</v>
      </c>
      <c r="E26" s="6">
        <v>99.94</v>
      </c>
      <c r="F26" s="6">
        <v>126.69</v>
      </c>
      <c r="G26" t="s">
        <v>662</v>
      </c>
    </row>
    <row r="27" spans="1:7" x14ac:dyDescent="0.3">
      <c r="A27" t="s">
        <v>712</v>
      </c>
      <c r="B27" t="s">
        <v>659</v>
      </c>
      <c r="C27" t="s">
        <v>713</v>
      </c>
      <c r="D27" t="s">
        <v>714</v>
      </c>
      <c r="E27" s="6">
        <v>5</v>
      </c>
      <c r="F27" s="6">
        <v>7.07</v>
      </c>
      <c r="G27" t="s">
        <v>662</v>
      </c>
    </row>
    <row r="28" spans="1:7" x14ac:dyDescent="0.3">
      <c r="A28" t="s">
        <v>715</v>
      </c>
      <c r="B28" t="s">
        <v>659</v>
      </c>
      <c r="C28" t="s">
        <v>713</v>
      </c>
      <c r="D28" t="s">
        <v>716</v>
      </c>
      <c r="E28" s="6">
        <v>19.63</v>
      </c>
      <c r="F28" s="6">
        <v>25.45</v>
      </c>
      <c r="G28" t="s">
        <v>662</v>
      </c>
    </row>
    <row r="29" spans="1:7" x14ac:dyDescent="0.3">
      <c r="A29" t="s">
        <v>717</v>
      </c>
      <c r="B29" t="s">
        <v>659</v>
      </c>
      <c r="C29" t="s">
        <v>713</v>
      </c>
      <c r="D29" t="s">
        <v>718</v>
      </c>
      <c r="E29" s="6">
        <v>5</v>
      </c>
      <c r="F29" s="6">
        <v>7.33</v>
      </c>
      <c r="G29" t="s">
        <v>662</v>
      </c>
    </row>
    <row r="30" spans="1:7" x14ac:dyDescent="0.3">
      <c r="A30" t="s">
        <v>719</v>
      </c>
      <c r="B30" t="s">
        <v>659</v>
      </c>
      <c r="C30" t="s">
        <v>713</v>
      </c>
      <c r="D30" t="s">
        <v>720</v>
      </c>
      <c r="E30" s="6">
        <v>5</v>
      </c>
      <c r="F30" s="6">
        <v>7.02</v>
      </c>
      <c r="G30" t="s">
        <v>662</v>
      </c>
    </row>
    <row r="31" spans="1:7" x14ac:dyDescent="0.3">
      <c r="A31" t="s">
        <v>721</v>
      </c>
      <c r="B31" t="s">
        <v>659</v>
      </c>
      <c r="C31" t="s">
        <v>713</v>
      </c>
      <c r="D31" t="s">
        <v>722</v>
      </c>
      <c r="E31" s="6">
        <v>15.47</v>
      </c>
      <c r="F31" s="6">
        <v>24.66</v>
      </c>
      <c r="G31" t="s">
        <v>662</v>
      </c>
    </row>
    <row r="32" spans="1:7" x14ac:dyDescent="0.3">
      <c r="A32" t="s">
        <v>723</v>
      </c>
      <c r="B32" t="s">
        <v>659</v>
      </c>
      <c r="C32" t="s">
        <v>713</v>
      </c>
      <c r="D32" t="s">
        <v>724</v>
      </c>
      <c r="E32" s="6">
        <v>43.07</v>
      </c>
      <c r="F32" s="6">
        <v>54.98</v>
      </c>
      <c r="G32" t="s">
        <v>662</v>
      </c>
    </row>
    <row r="33" spans="1:7" x14ac:dyDescent="0.3">
      <c r="A33" t="s">
        <v>725</v>
      </c>
      <c r="B33" t="s">
        <v>659</v>
      </c>
      <c r="C33" t="s">
        <v>713</v>
      </c>
      <c r="D33" t="s">
        <v>726</v>
      </c>
      <c r="E33" s="6">
        <v>94.07</v>
      </c>
      <c r="F33" s="6">
        <v>131.38999999999999</v>
      </c>
      <c r="G33" t="s">
        <v>662</v>
      </c>
    </row>
    <row r="34" spans="1:7" x14ac:dyDescent="0.3">
      <c r="A34" t="s">
        <v>727</v>
      </c>
      <c r="B34" t="s">
        <v>659</v>
      </c>
      <c r="C34" t="s">
        <v>713</v>
      </c>
      <c r="D34" t="s">
        <v>728</v>
      </c>
      <c r="E34" s="6">
        <v>13.85</v>
      </c>
      <c r="F34" s="6">
        <v>25.05</v>
      </c>
      <c r="G34" t="s">
        <v>662</v>
      </c>
    </row>
    <row r="35" spans="1:7" x14ac:dyDescent="0.3">
      <c r="A35" t="s">
        <v>729</v>
      </c>
      <c r="B35" t="s">
        <v>659</v>
      </c>
      <c r="C35" t="s">
        <v>713</v>
      </c>
      <c r="D35" t="s">
        <v>730</v>
      </c>
      <c r="E35" s="6">
        <v>54.13</v>
      </c>
      <c r="F35" s="6">
        <v>85.62</v>
      </c>
      <c r="G35" t="s">
        <v>662</v>
      </c>
    </row>
    <row r="36" spans="1:7" x14ac:dyDescent="0.3">
      <c r="A36" t="s">
        <v>731</v>
      </c>
      <c r="B36" t="s">
        <v>659</v>
      </c>
      <c r="C36" t="s">
        <v>713</v>
      </c>
      <c r="D36" t="s">
        <v>732</v>
      </c>
      <c r="E36" s="6">
        <v>31.94</v>
      </c>
      <c r="F36" s="6">
        <v>46.09</v>
      </c>
      <c r="G36" t="s">
        <v>662</v>
      </c>
    </row>
    <row r="37" spans="1:7" x14ac:dyDescent="0.3">
      <c r="A37" t="s">
        <v>733</v>
      </c>
      <c r="B37" t="s">
        <v>659</v>
      </c>
      <c r="C37" t="s">
        <v>713</v>
      </c>
      <c r="D37" t="s">
        <v>734</v>
      </c>
      <c r="E37" s="6">
        <v>5</v>
      </c>
      <c r="F37" s="6">
        <v>8.41</v>
      </c>
      <c r="G37" t="s">
        <v>662</v>
      </c>
    </row>
    <row r="38" spans="1:7" x14ac:dyDescent="0.3">
      <c r="A38" t="s">
        <v>735</v>
      </c>
      <c r="B38" t="s">
        <v>659</v>
      </c>
      <c r="C38" t="s">
        <v>713</v>
      </c>
      <c r="D38" t="s">
        <v>736</v>
      </c>
      <c r="E38" s="6">
        <v>77.63</v>
      </c>
      <c r="F38" s="6">
        <v>120.42</v>
      </c>
      <c r="G38" t="s">
        <v>662</v>
      </c>
    </row>
    <row r="39" spans="1:7" x14ac:dyDescent="0.3">
      <c r="A39" t="s">
        <v>737</v>
      </c>
      <c r="B39" t="s">
        <v>659</v>
      </c>
      <c r="C39" t="s">
        <v>713</v>
      </c>
      <c r="D39" t="s">
        <v>738</v>
      </c>
      <c r="E39" s="6">
        <v>57.7</v>
      </c>
      <c r="F39" s="6">
        <v>78.33</v>
      </c>
      <c r="G39" t="s">
        <v>662</v>
      </c>
    </row>
    <row r="40" spans="1:7" x14ac:dyDescent="0.3">
      <c r="A40" t="s">
        <v>739</v>
      </c>
      <c r="B40" t="s">
        <v>659</v>
      </c>
      <c r="C40" t="s">
        <v>713</v>
      </c>
      <c r="D40" t="s">
        <v>740</v>
      </c>
      <c r="E40" s="6">
        <v>158.27000000000001</v>
      </c>
      <c r="F40" s="6">
        <v>204.38</v>
      </c>
      <c r="G40" t="s">
        <v>662</v>
      </c>
    </row>
    <row r="41" spans="1:7" x14ac:dyDescent="0.3">
      <c r="A41" t="s">
        <v>741</v>
      </c>
      <c r="B41" t="s">
        <v>659</v>
      </c>
      <c r="C41" t="s">
        <v>713</v>
      </c>
      <c r="D41" t="s">
        <v>742</v>
      </c>
      <c r="E41" s="6">
        <v>20.54</v>
      </c>
      <c r="F41" s="6">
        <v>29.15</v>
      </c>
      <c r="G41" t="s">
        <v>662</v>
      </c>
    </row>
    <row r="42" spans="1:7" x14ac:dyDescent="0.3">
      <c r="A42" t="s">
        <v>743</v>
      </c>
      <c r="B42" t="s">
        <v>659</v>
      </c>
      <c r="C42" t="s">
        <v>713</v>
      </c>
      <c r="D42" t="s">
        <v>744</v>
      </c>
      <c r="E42" s="6">
        <v>5.38</v>
      </c>
      <c r="F42" s="6">
        <v>6.75</v>
      </c>
      <c r="G42" t="s">
        <v>662</v>
      </c>
    </row>
    <row r="43" spans="1:7" x14ac:dyDescent="0.3">
      <c r="A43" t="s">
        <v>745</v>
      </c>
      <c r="B43" t="s">
        <v>659</v>
      </c>
      <c r="C43" t="s">
        <v>713</v>
      </c>
      <c r="D43" t="s">
        <v>746</v>
      </c>
      <c r="E43" s="6">
        <v>91.12</v>
      </c>
      <c r="F43" s="6">
        <v>144.72</v>
      </c>
      <c r="G43" t="s">
        <v>662</v>
      </c>
    </row>
    <row r="44" spans="1:7" x14ac:dyDescent="0.3">
      <c r="A44" t="s">
        <v>747</v>
      </c>
      <c r="B44" t="s">
        <v>659</v>
      </c>
      <c r="C44" t="s">
        <v>713</v>
      </c>
      <c r="D44" t="s">
        <v>748</v>
      </c>
      <c r="E44" s="6">
        <v>5</v>
      </c>
      <c r="F44" s="6">
        <v>8.0299999999999994</v>
      </c>
      <c r="G44" t="s">
        <v>662</v>
      </c>
    </row>
    <row r="45" spans="1:7" x14ac:dyDescent="0.3">
      <c r="A45" t="s">
        <v>749</v>
      </c>
      <c r="B45" t="s">
        <v>659</v>
      </c>
      <c r="C45" t="s">
        <v>713</v>
      </c>
      <c r="D45" t="s">
        <v>750</v>
      </c>
      <c r="E45" s="6">
        <v>5</v>
      </c>
      <c r="F45" s="6">
        <v>8.57</v>
      </c>
      <c r="G45" t="s">
        <v>662</v>
      </c>
    </row>
    <row r="46" spans="1:7" x14ac:dyDescent="0.3">
      <c r="A46" t="s">
        <v>751</v>
      </c>
      <c r="B46" t="s">
        <v>659</v>
      </c>
      <c r="C46" t="s">
        <v>713</v>
      </c>
      <c r="D46" t="s">
        <v>752</v>
      </c>
      <c r="E46" s="6">
        <v>103.53</v>
      </c>
      <c r="F46" s="6">
        <v>144.63999999999999</v>
      </c>
      <c r="G46" t="s">
        <v>679</v>
      </c>
    </row>
    <row r="47" spans="1:7" x14ac:dyDescent="0.3">
      <c r="A47" t="s">
        <v>753</v>
      </c>
      <c r="B47" t="s">
        <v>659</v>
      </c>
      <c r="C47" t="s">
        <v>754</v>
      </c>
      <c r="D47" t="s">
        <v>755</v>
      </c>
      <c r="E47" s="6">
        <v>5</v>
      </c>
      <c r="F47" s="6">
        <v>7.48</v>
      </c>
      <c r="G47" t="s">
        <v>662</v>
      </c>
    </row>
    <row r="48" spans="1:7" x14ac:dyDescent="0.3">
      <c r="A48" t="s">
        <v>756</v>
      </c>
      <c r="B48" t="s">
        <v>659</v>
      </c>
      <c r="C48" t="s">
        <v>754</v>
      </c>
      <c r="D48" t="s">
        <v>757</v>
      </c>
      <c r="E48" s="6">
        <v>5</v>
      </c>
      <c r="F48" s="6">
        <v>8.8800000000000008</v>
      </c>
      <c r="G48" t="s">
        <v>662</v>
      </c>
    </row>
    <row r="49" spans="1:7" x14ac:dyDescent="0.3">
      <c r="A49" t="s">
        <v>758</v>
      </c>
      <c r="B49" t="s">
        <v>659</v>
      </c>
      <c r="C49" t="s">
        <v>754</v>
      </c>
      <c r="D49" t="s">
        <v>759</v>
      </c>
      <c r="E49" s="6">
        <v>113.63</v>
      </c>
      <c r="F49" s="6">
        <v>142.13999999999999</v>
      </c>
      <c r="G49" t="s">
        <v>662</v>
      </c>
    </row>
    <row r="50" spans="1:7" x14ac:dyDescent="0.3">
      <c r="A50" t="s">
        <v>760</v>
      </c>
      <c r="B50" t="s">
        <v>659</v>
      </c>
      <c r="C50" t="s">
        <v>754</v>
      </c>
      <c r="D50" t="s">
        <v>761</v>
      </c>
      <c r="E50" s="6">
        <v>81.96</v>
      </c>
      <c r="F50" s="6">
        <v>107.56</v>
      </c>
      <c r="G50" t="s">
        <v>662</v>
      </c>
    </row>
    <row r="51" spans="1:7" x14ac:dyDescent="0.3">
      <c r="A51" t="s">
        <v>762</v>
      </c>
      <c r="B51" t="s">
        <v>659</v>
      </c>
      <c r="C51" t="s">
        <v>754</v>
      </c>
      <c r="D51" t="s">
        <v>763</v>
      </c>
      <c r="E51" s="6">
        <v>5</v>
      </c>
      <c r="F51" s="6">
        <v>6.96</v>
      </c>
      <c r="G51" t="s">
        <v>662</v>
      </c>
    </row>
    <row r="52" spans="1:7" x14ac:dyDescent="0.3">
      <c r="A52" t="s">
        <v>764</v>
      </c>
      <c r="B52" t="s">
        <v>659</v>
      </c>
      <c r="C52" t="s">
        <v>754</v>
      </c>
      <c r="D52" t="s">
        <v>765</v>
      </c>
      <c r="E52" s="6">
        <v>193.32</v>
      </c>
      <c r="F52" s="6">
        <v>324.2</v>
      </c>
      <c r="G52" t="s">
        <v>662</v>
      </c>
    </row>
    <row r="53" spans="1:7" x14ac:dyDescent="0.3">
      <c r="A53" t="s">
        <v>766</v>
      </c>
      <c r="B53" t="s">
        <v>659</v>
      </c>
      <c r="C53" t="s">
        <v>754</v>
      </c>
      <c r="D53" t="s">
        <v>767</v>
      </c>
      <c r="E53" s="6">
        <v>97.56</v>
      </c>
      <c r="F53" s="6">
        <v>175.88</v>
      </c>
      <c r="G53" t="s">
        <v>662</v>
      </c>
    </row>
    <row r="54" spans="1:7" x14ac:dyDescent="0.3">
      <c r="A54" t="s">
        <v>768</v>
      </c>
      <c r="B54" t="s">
        <v>659</v>
      </c>
      <c r="C54" t="s">
        <v>754</v>
      </c>
      <c r="D54" t="s">
        <v>769</v>
      </c>
      <c r="E54" s="6">
        <v>5</v>
      </c>
      <c r="F54" s="6">
        <v>7.37</v>
      </c>
      <c r="G54" t="s">
        <v>662</v>
      </c>
    </row>
    <row r="55" spans="1:7" x14ac:dyDescent="0.3">
      <c r="A55" t="s">
        <v>770</v>
      </c>
      <c r="B55" t="s">
        <v>659</v>
      </c>
      <c r="C55" t="s">
        <v>754</v>
      </c>
      <c r="D55" t="s">
        <v>771</v>
      </c>
      <c r="E55" s="6">
        <v>25.38</v>
      </c>
      <c r="F55" s="6">
        <v>33.020000000000003</v>
      </c>
      <c r="G55" t="s">
        <v>662</v>
      </c>
    </row>
    <row r="56" spans="1:7" x14ac:dyDescent="0.3">
      <c r="A56" t="s">
        <v>772</v>
      </c>
      <c r="B56" t="s">
        <v>659</v>
      </c>
      <c r="C56" t="s">
        <v>754</v>
      </c>
      <c r="D56" t="s">
        <v>773</v>
      </c>
      <c r="E56" s="6">
        <v>96.88</v>
      </c>
      <c r="F56" s="6">
        <v>125.45</v>
      </c>
      <c r="G56" t="s">
        <v>662</v>
      </c>
    </row>
    <row r="57" spans="1:7" x14ac:dyDescent="0.3">
      <c r="A57" t="s">
        <v>774</v>
      </c>
      <c r="B57" t="s">
        <v>659</v>
      </c>
      <c r="C57" t="s">
        <v>754</v>
      </c>
      <c r="D57" t="s">
        <v>775</v>
      </c>
      <c r="E57" s="6">
        <v>103.88</v>
      </c>
      <c r="F57" s="6">
        <v>156.96</v>
      </c>
      <c r="G57" t="s">
        <v>662</v>
      </c>
    </row>
    <row r="58" spans="1:7" x14ac:dyDescent="0.3">
      <c r="A58" t="s">
        <v>776</v>
      </c>
      <c r="B58" t="s">
        <v>659</v>
      </c>
      <c r="C58" t="s">
        <v>754</v>
      </c>
      <c r="D58" t="s">
        <v>777</v>
      </c>
      <c r="E58" s="6">
        <v>38.229999999999997</v>
      </c>
      <c r="F58" s="6">
        <v>55.01</v>
      </c>
      <c r="G58" t="s">
        <v>662</v>
      </c>
    </row>
    <row r="59" spans="1:7" x14ac:dyDescent="0.3">
      <c r="A59" t="s">
        <v>778</v>
      </c>
      <c r="B59" t="s">
        <v>659</v>
      </c>
      <c r="C59" t="s">
        <v>754</v>
      </c>
      <c r="D59" t="s">
        <v>779</v>
      </c>
      <c r="E59" s="6">
        <v>73.75</v>
      </c>
      <c r="F59" s="6">
        <v>123.19</v>
      </c>
      <c r="G59" t="s">
        <v>662</v>
      </c>
    </row>
    <row r="60" spans="1:7" x14ac:dyDescent="0.3">
      <c r="A60" t="s">
        <v>780</v>
      </c>
      <c r="B60" t="s">
        <v>659</v>
      </c>
      <c r="C60" t="s">
        <v>754</v>
      </c>
      <c r="D60" t="s">
        <v>781</v>
      </c>
      <c r="E60" s="6">
        <v>18.48</v>
      </c>
      <c r="F60" s="6">
        <v>23.93</v>
      </c>
      <c r="G60" t="s">
        <v>662</v>
      </c>
    </row>
    <row r="61" spans="1:7" x14ac:dyDescent="0.3">
      <c r="A61" t="s">
        <v>782</v>
      </c>
      <c r="B61" t="s">
        <v>659</v>
      </c>
      <c r="C61" t="s">
        <v>754</v>
      </c>
      <c r="D61" t="s">
        <v>783</v>
      </c>
      <c r="E61" s="6">
        <v>71.25</v>
      </c>
      <c r="F61" s="6">
        <v>122.4</v>
      </c>
      <c r="G61" t="s">
        <v>662</v>
      </c>
    </row>
    <row r="62" spans="1:7" x14ac:dyDescent="0.3">
      <c r="A62" t="s">
        <v>784</v>
      </c>
      <c r="B62" t="s">
        <v>659</v>
      </c>
      <c r="C62" t="s">
        <v>754</v>
      </c>
      <c r="D62" t="s">
        <v>785</v>
      </c>
      <c r="E62" s="6">
        <v>51.78</v>
      </c>
      <c r="F62" s="6">
        <v>79.2</v>
      </c>
      <c r="G62" t="s">
        <v>662</v>
      </c>
    </row>
    <row r="63" spans="1:7" x14ac:dyDescent="0.3">
      <c r="A63" t="s">
        <v>786</v>
      </c>
      <c r="B63" t="s">
        <v>659</v>
      </c>
      <c r="C63" t="s">
        <v>754</v>
      </c>
      <c r="D63" t="s">
        <v>787</v>
      </c>
      <c r="E63" s="6">
        <v>59.83</v>
      </c>
      <c r="F63" s="6">
        <v>94.03</v>
      </c>
      <c r="G63" t="s">
        <v>662</v>
      </c>
    </row>
    <row r="64" spans="1:7" x14ac:dyDescent="0.3">
      <c r="A64" t="s">
        <v>788</v>
      </c>
      <c r="B64" t="s">
        <v>659</v>
      </c>
      <c r="C64" t="s">
        <v>754</v>
      </c>
      <c r="D64" t="s">
        <v>789</v>
      </c>
      <c r="E64" s="6">
        <v>46.29</v>
      </c>
      <c r="F64" s="6">
        <v>65.22</v>
      </c>
      <c r="G64" t="s">
        <v>662</v>
      </c>
    </row>
    <row r="65" spans="1:7" x14ac:dyDescent="0.3">
      <c r="A65" t="s">
        <v>790</v>
      </c>
      <c r="B65" t="s">
        <v>659</v>
      </c>
      <c r="C65" t="s">
        <v>754</v>
      </c>
      <c r="D65" t="s">
        <v>791</v>
      </c>
      <c r="E65" s="6">
        <v>76.42</v>
      </c>
      <c r="F65" s="6">
        <v>102.75</v>
      </c>
      <c r="G65" t="s">
        <v>662</v>
      </c>
    </row>
    <row r="66" spans="1:7" x14ac:dyDescent="0.3">
      <c r="A66" t="s">
        <v>792</v>
      </c>
      <c r="B66" t="s">
        <v>659</v>
      </c>
      <c r="C66" t="s">
        <v>754</v>
      </c>
      <c r="D66" t="s">
        <v>793</v>
      </c>
      <c r="E66" s="6">
        <v>70.67</v>
      </c>
      <c r="F66" s="6">
        <v>90.05</v>
      </c>
      <c r="G66" t="s">
        <v>662</v>
      </c>
    </row>
    <row r="67" spans="1:7" x14ac:dyDescent="0.3">
      <c r="A67" t="s">
        <v>794</v>
      </c>
      <c r="B67" t="s">
        <v>795</v>
      </c>
      <c r="C67" t="s">
        <v>796</v>
      </c>
      <c r="D67" t="s">
        <v>797</v>
      </c>
      <c r="E67" s="6">
        <v>51.47</v>
      </c>
      <c r="F67" s="6">
        <v>74.459999999999994</v>
      </c>
      <c r="G67" t="s">
        <v>662</v>
      </c>
    </row>
    <row r="68" spans="1:7" x14ac:dyDescent="0.3">
      <c r="A68" t="s">
        <v>798</v>
      </c>
      <c r="B68" t="s">
        <v>795</v>
      </c>
      <c r="C68" t="s">
        <v>796</v>
      </c>
      <c r="D68" t="s">
        <v>799</v>
      </c>
      <c r="E68" s="6">
        <v>120.52</v>
      </c>
      <c r="F68" s="6">
        <v>187.78</v>
      </c>
      <c r="G68" t="s">
        <v>662</v>
      </c>
    </row>
    <row r="69" spans="1:7" x14ac:dyDescent="0.3">
      <c r="A69" t="s">
        <v>800</v>
      </c>
      <c r="B69" t="s">
        <v>795</v>
      </c>
      <c r="C69" t="s">
        <v>796</v>
      </c>
      <c r="D69" t="s">
        <v>801</v>
      </c>
      <c r="E69" s="6">
        <v>166.88</v>
      </c>
      <c r="F69" s="6">
        <v>234.65</v>
      </c>
      <c r="G69" t="s">
        <v>662</v>
      </c>
    </row>
    <row r="70" spans="1:7" x14ac:dyDescent="0.3">
      <c r="A70" t="s">
        <v>802</v>
      </c>
      <c r="B70" t="s">
        <v>795</v>
      </c>
      <c r="C70" t="s">
        <v>796</v>
      </c>
      <c r="D70" t="s">
        <v>803</v>
      </c>
      <c r="E70" s="6">
        <v>169.93</v>
      </c>
      <c r="F70" s="6">
        <v>258.52</v>
      </c>
      <c r="G70" t="s">
        <v>662</v>
      </c>
    </row>
    <row r="71" spans="1:7" x14ac:dyDescent="0.3">
      <c r="A71" t="s">
        <v>804</v>
      </c>
      <c r="B71" t="s">
        <v>795</v>
      </c>
      <c r="C71" t="s">
        <v>796</v>
      </c>
      <c r="D71" t="s">
        <v>805</v>
      </c>
      <c r="E71" s="6">
        <v>129.88</v>
      </c>
      <c r="F71" s="6">
        <v>181.82</v>
      </c>
      <c r="G71" t="s">
        <v>662</v>
      </c>
    </row>
    <row r="72" spans="1:7" x14ac:dyDescent="0.3">
      <c r="A72" t="s">
        <v>806</v>
      </c>
      <c r="B72" t="s">
        <v>795</v>
      </c>
      <c r="C72" t="s">
        <v>796</v>
      </c>
      <c r="D72" t="s">
        <v>807</v>
      </c>
      <c r="E72" s="6">
        <v>129.12</v>
      </c>
      <c r="F72" s="6">
        <v>162.33000000000001</v>
      </c>
      <c r="G72" t="s">
        <v>662</v>
      </c>
    </row>
    <row r="73" spans="1:7" x14ac:dyDescent="0.3">
      <c r="A73" t="s">
        <v>808</v>
      </c>
      <c r="B73" t="s">
        <v>795</v>
      </c>
      <c r="C73" t="s">
        <v>796</v>
      </c>
      <c r="D73" t="s">
        <v>809</v>
      </c>
      <c r="E73" s="6">
        <v>94.12</v>
      </c>
      <c r="F73" s="6">
        <v>173.14</v>
      </c>
      <c r="G73" t="s">
        <v>662</v>
      </c>
    </row>
    <row r="74" spans="1:7" x14ac:dyDescent="0.3">
      <c r="A74" t="s">
        <v>810</v>
      </c>
      <c r="B74" t="s">
        <v>795</v>
      </c>
      <c r="C74" t="s">
        <v>796</v>
      </c>
      <c r="D74" t="s">
        <v>811</v>
      </c>
      <c r="E74" s="6">
        <v>141.55000000000001</v>
      </c>
      <c r="F74" s="6">
        <v>230.47</v>
      </c>
      <c r="G74" t="s">
        <v>662</v>
      </c>
    </row>
    <row r="75" spans="1:7" x14ac:dyDescent="0.3">
      <c r="A75" t="s">
        <v>812</v>
      </c>
      <c r="B75" t="s">
        <v>795</v>
      </c>
      <c r="C75" t="s">
        <v>796</v>
      </c>
      <c r="D75" t="s">
        <v>813</v>
      </c>
      <c r="E75" s="6">
        <v>76.83</v>
      </c>
      <c r="F75" s="6">
        <v>122.88</v>
      </c>
      <c r="G75" t="s">
        <v>662</v>
      </c>
    </row>
    <row r="76" spans="1:7" x14ac:dyDescent="0.3">
      <c r="A76" t="s">
        <v>814</v>
      </c>
      <c r="B76" t="s">
        <v>795</v>
      </c>
      <c r="C76" t="s">
        <v>796</v>
      </c>
      <c r="D76" t="s">
        <v>815</v>
      </c>
      <c r="E76" s="6">
        <v>124.03</v>
      </c>
      <c r="F76" s="6">
        <v>159.84</v>
      </c>
      <c r="G76" t="s">
        <v>662</v>
      </c>
    </row>
    <row r="77" spans="1:7" x14ac:dyDescent="0.3">
      <c r="A77" t="s">
        <v>816</v>
      </c>
      <c r="B77" t="s">
        <v>795</v>
      </c>
      <c r="C77" t="s">
        <v>796</v>
      </c>
      <c r="D77" t="s">
        <v>817</v>
      </c>
      <c r="E77" s="6">
        <v>110.31</v>
      </c>
      <c r="F77" s="6">
        <v>167.24</v>
      </c>
      <c r="G77" t="s">
        <v>662</v>
      </c>
    </row>
    <row r="78" spans="1:7" x14ac:dyDescent="0.3">
      <c r="A78" t="s">
        <v>818</v>
      </c>
      <c r="B78" t="s">
        <v>795</v>
      </c>
      <c r="C78" t="s">
        <v>796</v>
      </c>
      <c r="D78" t="s">
        <v>819</v>
      </c>
      <c r="E78" s="6">
        <v>197.79</v>
      </c>
      <c r="F78" s="6">
        <v>286.58</v>
      </c>
      <c r="G78" t="s">
        <v>679</v>
      </c>
    </row>
    <row r="79" spans="1:7" x14ac:dyDescent="0.3">
      <c r="A79" t="s">
        <v>820</v>
      </c>
      <c r="B79" t="s">
        <v>795</v>
      </c>
      <c r="C79" t="s">
        <v>796</v>
      </c>
      <c r="D79" t="s">
        <v>821</v>
      </c>
      <c r="E79" s="6">
        <v>67.19</v>
      </c>
      <c r="F79" s="6">
        <v>102.57</v>
      </c>
      <c r="G79" t="s">
        <v>662</v>
      </c>
    </row>
    <row r="80" spans="1:7" x14ac:dyDescent="0.3">
      <c r="A80" t="s">
        <v>822</v>
      </c>
      <c r="B80" t="s">
        <v>795</v>
      </c>
      <c r="C80" t="s">
        <v>796</v>
      </c>
      <c r="D80" t="s">
        <v>823</v>
      </c>
      <c r="E80" s="6">
        <v>36.979999999999997</v>
      </c>
      <c r="F80" s="6">
        <v>54.99</v>
      </c>
      <c r="G80" t="s">
        <v>679</v>
      </c>
    </row>
    <row r="81" spans="1:7" x14ac:dyDescent="0.3">
      <c r="A81" t="s">
        <v>824</v>
      </c>
      <c r="B81" t="s">
        <v>795</v>
      </c>
      <c r="C81" t="s">
        <v>796</v>
      </c>
      <c r="D81" t="s">
        <v>825</v>
      </c>
      <c r="E81" s="6">
        <v>78.430000000000007</v>
      </c>
      <c r="F81" s="6">
        <v>130.19</v>
      </c>
      <c r="G81" t="s">
        <v>662</v>
      </c>
    </row>
    <row r="82" spans="1:7" x14ac:dyDescent="0.3">
      <c r="A82" t="s">
        <v>826</v>
      </c>
      <c r="B82" t="s">
        <v>795</v>
      </c>
      <c r="C82" t="s">
        <v>796</v>
      </c>
      <c r="D82" t="s">
        <v>827</v>
      </c>
      <c r="E82" s="6">
        <v>127.08</v>
      </c>
      <c r="F82" s="6">
        <v>180.19</v>
      </c>
      <c r="G82" t="s">
        <v>662</v>
      </c>
    </row>
    <row r="83" spans="1:7" x14ac:dyDescent="0.3">
      <c r="A83" t="s">
        <v>828</v>
      </c>
      <c r="B83" t="s">
        <v>795</v>
      </c>
      <c r="C83" t="s">
        <v>796</v>
      </c>
      <c r="D83" t="s">
        <v>829</v>
      </c>
      <c r="E83" s="6">
        <v>151.4</v>
      </c>
      <c r="F83" s="6">
        <v>192.4</v>
      </c>
      <c r="G83" t="s">
        <v>662</v>
      </c>
    </row>
    <row r="84" spans="1:7" x14ac:dyDescent="0.3">
      <c r="A84" t="s">
        <v>830</v>
      </c>
      <c r="B84" t="s">
        <v>795</v>
      </c>
      <c r="C84" t="s">
        <v>796</v>
      </c>
      <c r="D84" t="s">
        <v>831</v>
      </c>
      <c r="E84" s="6">
        <v>121.11</v>
      </c>
      <c r="F84" s="6">
        <v>181.33</v>
      </c>
      <c r="G84" t="s">
        <v>662</v>
      </c>
    </row>
    <row r="85" spans="1:7" x14ac:dyDescent="0.3">
      <c r="A85" t="s">
        <v>832</v>
      </c>
      <c r="B85" t="s">
        <v>795</v>
      </c>
      <c r="C85" t="s">
        <v>796</v>
      </c>
      <c r="D85" t="s">
        <v>833</v>
      </c>
      <c r="E85" s="6">
        <v>161.80000000000001</v>
      </c>
      <c r="F85" s="6">
        <v>208.17</v>
      </c>
      <c r="G85" t="s">
        <v>662</v>
      </c>
    </row>
    <row r="86" spans="1:7" x14ac:dyDescent="0.3">
      <c r="A86" t="s">
        <v>834</v>
      </c>
      <c r="B86" t="s">
        <v>795</v>
      </c>
      <c r="C86" t="s">
        <v>796</v>
      </c>
      <c r="D86" t="s">
        <v>835</v>
      </c>
      <c r="E86" s="6">
        <v>141.69999999999999</v>
      </c>
      <c r="F86" s="6">
        <v>252.34</v>
      </c>
      <c r="G86" t="s">
        <v>662</v>
      </c>
    </row>
    <row r="87" spans="1:7" x14ac:dyDescent="0.3">
      <c r="A87" t="s">
        <v>836</v>
      </c>
      <c r="B87" t="s">
        <v>795</v>
      </c>
      <c r="C87" t="s">
        <v>837</v>
      </c>
      <c r="D87" t="s">
        <v>838</v>
      </c>
      <c r="E87" s="6">
        <v>145.32</v>
      </c>
      <c r="F87" s="6">
        <v>236.65</v>
      </c>
      <c r="G87" t="s">
        <v>662</v>
      </c>
    </row>
    <row r="88" spans="1:7" x14ac:dyDescent="0.3">
      <c r="A88" t="s">
        <v>839</v>
      </c>
      <c r="B88" t="s">
        <v>795</v>
      </c>
      <c r="C88" t="s">
        <v>837</v>
      </c>
      <c r="D88" t="s">
        <v>840</v>
      </c>
      <c r="E88" s="6">
        <v>161.93</v>
      </c>
      <c r="F88" s="6">
        <v>278.38</v>
      </c>
      <c r="G88" t="s">
        <v>662</v>
      </c>
    </row>
    <row r="89" spans="1:7" x14ac:dyDescent="0.3">
      <c r="A89" t="s">
        <v>841</v>
      </c>
      <c r="B89" t="s">
        <v>795</v>
      </c>
      <c r="C89" t="s">
        <v>837</v>
      </c>
      <c r="D89" t="s">
        <v>842</v>
      </c>
      <c r="E89" s="6">
        <v>5</v>
      </c>
      <c r="F89" s="6">
        <v>7.88</v>
      </c>
      <c r="G89" t="s">
        <v>662</v>
      </c>
    </row>
    <row r="90" spans="1:7" x14ac:dyDescent="0.3">
      <c r="A90" t="s">
        <v>843</v>
      </c>
      <c r="B90" t="s">
        <v>795</v>
      </c>
      <c r="C90" t="s">
        <v>837</v>
      </c>
      <c r="D90" t="s">
        <v>844</v>
      </c>
      <c r="E90" s="6">
        <v>170.4</v>
      </c>
      <c r="F90" s="6">
        <v>252.71</v>
      </c>
      <c r="G90" t="s">
        <v>662</v>
      </c>
    </row>
    <row r="91" spans="1:7" x14ac:dyDescent="0.3">
      <c r="A91" t="s">
        <v>845</v>
      </c>
      <c r="B91" t="s">
        <v>795</v>
      </c>
      <c r="C91" t="s">
        <v>837</v>
      </c>
      <c r="D91" t="s">
        <v>846</v>
      </c>
      <c r="E91" s="6">
        <v>89.19</v>
      </c>
      <c r="F91" s="6">
        <v>128.55000000000001</v>
      </c>
      <c r="G91" t="s">
        <v>662</v>
      </c>
    </row>
    <row r="92" spans="1:7" x14ac:dyDescent="0.3">
      <c r="A92" t="s">
        <v>847</v>
      </c>
      <c r="B92" t="s">
        <v>795</v>
      </c>
      <c r="C92" t="s">
        <v>837</v>
      </c>
      <c r="D92" t="s">
        <v>848</v>
      </c>
      <c r="E92" s="6">
        <v>188.86</v>
      </c>
      <c r="F92" s="6">
        <v>242.71</v>
      </c>
      <c r="G92" t="s">
        <v>662</v>
      </c>
    </row>
    <row r="93" spans="1:7" x14ac:dyDescent="0.3">
      <c r="A93" t="s">
        <v>849</v>
      </c>
      <c r="B93" t="s">
        <v>795</v>
      </c>
      <c r="C93" t="s">
        <v>837</v>
      </c>
      <c r="D93" t="s">
        <v>850</v>
      </c>
      <c r="E93" s="6">
        <v>67.12</v>
      </c>
      <c r="F93" s="6">
        <v>105.22</v>
      </c>
      <c r="G93" t="s">
        <v>662</v>
      </c>
    </row>
    <row r="94" spans="1:7" x14ac:dyDescent="0.3">
      <c r="A94" t="s">
        <v>851</v>
      </c>
      <c r="B94" t="s">
        <v>795</v>
      </c>
      <c r="C94" t="s">
        <v>837</v>
      </c>
      <c r="D94" t="s">
        <v>852</v>
      </c>
      <c r="E94" s="6">
        <v>255.07</v>
      </c>
      <c r="F94" s="6">
        <v>334.16</v>
      </c>
      <c r="G94" t="s">
        <v>662</v>
      </c>
    </row>
    <row r="95" spans="1:7" x14ac:dyDescent="0.3">
      <c r="A95" t="s">
        <v>853</v>
      </c>
      <c r="B95" t="s">
        <v>795</v>
      </c>
      <c r="C95" t="s">
        <v>837</v>
      </c>
      <c r="D95" t="s">
        <v>854</v>
      </c>
      <c r="E95" s="6">
        <v>119.67</v>
      </c>
      <c r="F95" s="6">
        <v>168.72</v>
      </c>
      <c r="G95" t="s">
        <v>662</v>
      </c>
    </row>
    <row r="96" spans="1:7" x14ac:dyDescent="0.3">
      <c r="A96" t="s">
        <v>855</v>
      </c>
      <c r="B96" t="s">
        <v>795</v>
      </c>
      <c r="C96" t="s">
        <v>837</v>
      </c>
      <c r="D96" t="s">
        <v>856</v>
      </c>
      <c r="E96" s="6">
        <v>134.72</v>
      </c>
      <c r="F96" s="6">
        <v>248.94</v>
      </c>
      <c r="G96" t="s">
        <v>662</v>
      </c>
    </row>
    <row r="97" spans="1:7" x14ac:dyDescent="0.3">
      <c r="A97" t="s">
        <v>857</v>
      </c>
      <c r="B97" t="s">
        <v>795</v>
      </c>
      <c r="C97" t="s">
        <v>837</v>
      </c>
      <c r="D97" t="s">
        <v>858</v>
      </c>
      <c r="E97" s="6">
        <v>111.57</v>
      </c>
      <c r="F97" s="6">
        <v>196.13</v>
      </c>
      <c r="G97" t="s">
        <v>662</v>
      </c>
    </row>
    <row r="98" spans="1:7" x14ac:dyDescent="0.3">
      <c r="A98" t="s">
        <v>859</v>
      </c>
      <c r="B98" t="s">
        <v>795</v>
      </c>
      <c r="C98" t="s">
        <v>837</v>
      </c>
      <c r="D98" t="s">
        <v>860</v>
      </c>
      <c r="E98" s="6">
        <v>61.5</v>
      </c>
      <c r="F98" s="6">
        <v>108.06</v>
      </c>
      <c r="G98" t="s">
        <v>662</v>
      </c>
    </row>
    <row r="99" spans="1:7" x14ac:dyDescent="0.3">
      <c r="A99" t="s">
        <v>861</v>
      </c>
      <c r="B99" t="s">
        <v>795</v>
      </c>
      <c r="C99" t="s">
        <v>837</v>
      </c>
      <c r="D99" t="s">
        <v>862</v>
      </c>
      <c r="E99" s="6">
        <v>195.61</v>
      </c>
      <c r="F99" s="6">
        <v>314.05</v>
      </c>
      <c r="G99" t="s">
        <v>662</v>
      </c>
    </row>
    <row r="100" spans="1:7" x14ac:dyDescent="0.3">
      <c r="A100" t="s">
        <v>863</v>
      </c>
      <c r="B100" t="s">
        <v>795</v>
      </c>
      <c r="C100" t="s">
        <v>837</v>
      </c>
      <c r="D100" t="s">
        <v>864</v>
      </c>
      <c r="E100" s="6">
        <v>84.21</v>
      </c>
      <c r="F100" s="6">
        <v>106.69</v>
      </c>
      <c r="G100" t="s">
        <v>662</v>
      </c>
    </row>
    <row r="101" spans="1:7" x14ac:dyDescent="0.3">
      <c r="A101" t="s">
        <v>865</v>
      </c>
      <c r="B101" t="s">
        <v>795</v>
      </c>
      <c r="C101" t="s">
        <v>837</v>
      </c>
      <c r="D101" t="s">
        <v>866</v>
      </c>
      <c r="E101" s="6">
        <v>15.19</v>
      </c>
      <c r="F101" s="6">
        <v>27.62</v>
      </c>
      <c r="G101" t="s">
        <v>662</v>
      </c>
    </row>
    <row r="102" spans="1:7" x14ac:dyDescent="0.3">
      <c r="A102" t="s">
        <v>867</v>
      </c>
      <c r="B102" t="s">
        <v>795</v>
      </c>
      <c r="C102" t="s">
        <v>837</v>
      </c>
      <c r="D102" t="s">
        <v>868</v>
      </c>
      <c r="E102" s="6">
        <v>90.21</v>
      </c>
      <c r="F102" s="6">
        <v>166.24</v>
      </c>
      <c r="G102" t="s">
        <v>662</v>
      </c>
    </row>
    <row r="103" spans="1:7" x14ac:dyDescent="0.3">
      <c r="A103" t="s">
        <v>869</v>
      </c>
      <c r="B103" t="s">
        <v>795</v>
      </c>
      <c r="C103" t="s">
        <v>837</v>
      </c>
      <c r="D103" t="s">
        <v>870</v>
      </c>
      <c r="E103" s="6">
        <v>107.53</v>
      </c>
      <c r="F103" s="6">
        <v>166.17</v>
      </c>
      <c r="G103" t="s">
        <v>662</v>
      </c>
    </row>
    <row r="104" spans="1:7" x14ac:dyDescent="0.3">
      <c r="A104" t="s">
        <v>871</v>
      </c>
      <c r="B104" t="s">
        <v>795</v>
      </c>
      <c r="C104" t="s">
        <v>837</v>
      </c>
      <c r="D104" t="s">
        <v>872</v>
      </c>
      <c r="E104" s="6">
        <v>98.29</v>
      </c>
      <c r="F104" s="6">
        <v>136.58000000000001</v>
      </c>
      <c r="G104" t="s">
        <v>662</v>
      </c>
    </row>
    <row r="105" spans="1:7" x14ac:dyDescent="0.3">
      <c r="A105" t="s">
        <v>873</v>
      </c>
      <c r="B105" t="s">
        <v>795</v>
      </c>
      <c r="C105" t="s">
        <v>837</v>
      </c>
      <c r="D105" t="s">
        <v>874</v>
      </c>
      <c r="E105" s="6">
        <v>121.31</v>
      </c>
      <c r="F105" s="6">
        <v>189.96</v>
      </c>
      <c r="G105" t="s">
        <v>679</v>
      </c>
    </row>
    <row r="106" spans="1:7" x14ac:dyDescent="0.3">
      <c r="A106" t="s">
        <v>875</v>
      </c>
      <c r="B106" t="s">
        <v>795</v>
      </c>
      <c r="C106" t="s">
        <v>837</v>
      </c>
      <c r="D106" t="s">
        <v>876</v>
      </c>
      <c r="E106" s="6">
        <v>149.16999999999999</v>
      </c>
      <c r="F106" s="6">
        <v>198.14</v>
      </c>
      <c r="G106" t="s">
        <v>662</v>
      </c>
    </row>
    <row r="107" spans="1:7" x14ac:dyDescent="0.3">
      <c r="A107" t="s">
        <v>877</v>
      </c>
      <c r="B107" t="s">
        <v>795</v>
      </c>
      <c r="C107" t="s">
        <v>837</v>
      </c>
      <c r="D107" t="s">
        <v>878</v>
      </c>
      <c r="E107" s="6">
        <v>103.46</v>
      </c>
      <c r="F107" s="6">
        <v>186.36</v>
      </c>
      <c r="G107" t="s">
        <v>662</v>
      </c>
    </row>
    <row r="108" spans="1:7" x14ac:dyDescent="0.3">
      <c r="A108" t="s">
        <v>879</v>
      </c>
      <c r="B108" t="s">
        <v>795</v>
      </c>
      <c r="C108" t="s">
        <v>837</v>
      </c>
      <c r="D108" t="s">
        <v>880</v>
      </c>
      <c r="E108" s="6">
        <v>115.3</v>
      </c>
      <c r="F108" s="6">
        <v>184.71</v>
      </c>
      <c r="G108" t="s">
        <v>662</v>
      </c>
    </row>
    <row r="109" spans="1:7" x14ac:dyDescent="0.3">
      <c r="A109" t="s">
        <v>881</v>
      </c>
      <c r="B109" t="s">
        <v>795</v>
      </c>
      <c r="C109" t="s">
        <v>837</v>
      </c>
      <c r="D109" t="s">
        <v>882</v>
      </c>
      <c r="E109" s="6">
        <v>129.41999999999999</v>
      </c>
      <c r="F109" s="6">
        <v>221.91</v>
      </c>
      <c r="G109" t="s">
        <v>662</v>
      </c>
    </row>
    <row r="110" spans="1:7" x14ac:dyDescent="0.3">
      <c r="A110" t="s">
        <v>883</v>
      </c>
      <c r="B110" t="s">
        <v>795</v>
      </c>
      <c r="C110" t="s">
        <v>837</v>
      </c>
      <c r="D110" t="s">
        <v>884</v>
      </c>
      <c r="E110" s="6">
        <v>201.45</v>
      </c>
      <c r="F110" s="6">
        <v>296.97000000000003</v>
      </c>
      <c r="G110" t="s">
        <v>662</v>
      </c>
    </row>
    <row r="111" spans="1:7" x14ac:dyDescent="0.3">
      <c r="A111" t="s">
        <v>885</v>
      </c>
      <c r="B111" t="s">
        <v>795</v>
      </c>
      <c r="C111" t="s">
        <v>837</v>
      </c>
      <c r="D111" t="s">
        <v>886</v>
      </c>
      <c r="E111" s="6">
        <v>22.38</v>
      </c>
      <c r="F111" s="6">
        <v>33.29</v>
      </c>
      <c r="G111" t="s">
        <v>662</v>
      </c>
    </row>
    <row r="112" spans="1:7" x14ac:dyDescent="0.3">
      <c r="A112" t="s">
        <v>887</v>
      </c>
      <c r="B112" t="s">
        <v>795</v>
      </c>
      <c r="C112" t="s">
        <v>837</v>
      </c>
      <c r="D112" t="s">
        <v>888</v>
      </c>
      <c r="E112" s="6">
        <v>111.35</v>
      </c>
      <c r="F112" s="6">
        <v>149.71</v>
      </c>
      <c r="G112" t="s">
        <v>662</v>
      </c>
    </row>
    <row r="113" spans="1:7" x14ac:dyDescent="0.3">
      <c r="A113" t="s">
        <v>889</v>
      </c>
      <c r="B113" t="s">
        <v>795</v>
      </c>
      <c r="C113" t="s">
        <v>837</v>
      </c>
      <c r="D113" t="s">
        <v>890</v>
      </c>
      <c r="E113" s="6">
        <v>145.66</v>
      </c>
      <c r="F113" s="6">
        <v>251.28</v>
      </c>
      <c r="G113" t="s">
        <v>662</v>
      </c>
    </row>
    <row r="114" spans="1:7" x14ac:dyDescent="0.3">
      <c r="A114" t="s">
        <v>891</v>
      </c>
      <c r="B114" t="s">
        <v>795</v>
      </c>
      <c r="C114" t="s">
        <v>837</v>
      </c>
      <c r="D114" t="s">
        <v>892</v>
      </c>
      <c r="E114" s="6">
        <v>101.69</v>
      </c>
      <c r="F114" s="6">
        <v>186.22</v>
      </c>
      <c r="G114" t="s">
        <v>662</v>
      </c>
    </row>
    <row r="115" spans="1:7" x14ac:dyDescent="0.3">
      <c r="A115" t="s">
        <v>893</v>
      </c>
      <c r="B115" t="s">
        <v>795</v>
      </c>
      <c r="C115" t="s">
        <v>837</v>
      </c>
      <c r="D115" t="s">
        <v>894</v>
      </c>
      <c r="E115" s="6">
        <v>95.07</v>
      </c>
      <c r="F115" s="6">
        <v>171.82</v>
      </c>
      <c r="G115" t="s">
        <v>662</v>
      </c>
    </row>
    <row r="116" spans="1:7" x14ac:dyDescent="0.3">
      <c r="A116" t="s">
        <v>895</v>
      </c>
      <c r="B116" t="s">
        <v>795</v>
      </c>
      <c r="C116" t="s">
        <v>837</v>
      </c>
      <c r="D116" t="s">
        <v>896</v>
      </c>
      <c r="E116" s="6">
        <v>131.16</v>
      </c>
      <c r="F116" s="6">
        <v>177.75</v>
      </c>
      <c r="G116" t="s">
        <v>662</v>
      </c>
    </row>
    <row r="117" spans="1:7" x14ac:dyDescent="0.3">
      <c r="A117" t="s">
        <v>897</v>
      </c>
      <c r="B117" t="s">
        <v>795</v>
      </c>
      <c r="C117" t="s">
        <v>898</v>
      </c>
      <c r="D117" t="s">
        <v>899</v>
      </c>
      <c r="E117" s="6">
        <v>185.73</v>
      </c>
      <c r="F117" s="6">
        <v>308.89</v>
      </c>
      <c r="G117" t="s">
        <v>662</v>
      </c>
    </row>
    <row r="118" spans="1:7" x14ac:dyDescent="0.3">
      <c r="A118" t="s">
        <v>900</v>
      </c>
      <c r="B118" t="s">
        <v>795</v>
      </c>
      <c r="C118" t="s">
        <v>898</v>
      </c>
      <c r="D118" t="s">
        <v>901</v>
      </c>
      <c r="E118" s="6">
        <v>103.83</v>
      </c>
      <c r="F118" s="6">
        <v>188.89</v>
      </c>
      <c r="G118" t="s">
        <v>662</v>
      </c>
    </row>
    <row r="119" spans="1:7" x14ac:dyDescent="0.3">
      <c r="A119" t="s">
        <v>902</v>
      </c>
      <c r="B119" t="s">
        <v>795</v>
      </c>
      <c r="C119" t="s">
        <v>898</v>
      </c>
      <c r="D119" t="s">
        <v>903</v>
      </c>
      <c r="E119" s="6">
        <v>5</v>
      </c>
      <c r="F119" s="6">
        <v>9.23</v>
      </c>
      <c r="G119" t="s">
        <v>662</v>
      </c>
    </row>
    <row r="120" spans="1:7" x14ac:dyDescent="0.3">
      <c r="A120" t="s">
        <v>904</v>
      </c>
      <c r="B120" t="s">
        <v>795</v>
      </c>
      <c r="C120" t="s">
        <v>898</v>
      </c>
      <c r="D120" t="s">
        <v>905</v>
      </c>
      <c r="E120" s="6">
        <v>186.51</v>
      </c>
      <c r="F120" s="6">
        <v>336.21</v>
      </c>
      <c r="G120" t="s">
        <v>662</v>
      </c>
    </row>
    <row r="121" spans="1:7" x14ac:dyDescent="0.3">
      <c r="A121" t="s">
        <v>906</v>
      </c>
      <c r="B121" t="s">
        <v>795</v>
      </c>
      <c r="C121" t="s">
        <v>898</v>
      </c>
      <c r="D121" t="s">
        <v>907</v>
      </c>
      <c r="E121" s="6">
        <v>133.72</v>
      </c>
      <c r="F121" s="6">
        <v>184.87</v>
      </c>
      <c r="G121" t="s">
        <v>662</v>
      </c>
    </row>
    <row r="122" spans="1:7" x14ac:dyDescent="0.3">
      <c r="A122" t="s">
        <v>908</v>
      </c>
      <c r="B122" t="s">
        <v>795</v>
      </c>
      <c r="C122" t="s">
        <v>898</v>
      </c>
      <c r="D122" t="s">
        <v>909</v>
      </c>
      <c r="E122" s="6">
        <v>145.38</v>
      </c>
      <c r="F122" s="6">
        <v>246.74</v>
      </c>
      <c r="G122" t="s">
        <v>662</v>
      </c>
    </row>
    <row r="123" spans="1:7" x14ac:dyDescent="0.3">
      <c r="A123" t="s">
        <v>910</v>
      </c>
      <c r="B123" t="s">
        <v>795</v>
      </c>
      <c r="C123" t="s">
        <v>898</v>
      </c>
      <c r="D123" t="s">
        <v>911</v>
      </c>
      <c r="E123" s="6">
        <v>109.34</v>
      </c>
      <c r="F123" s="6">
        <v>201.12</v>
      </c>
      <c r="G123" t="s">
        <v>662</v>
      </c>
    </row>
    <row r="124" spans="1:7" x14ac:dyDescent="0.3">
      <c r="A124" t="s">
        <v>912</v>
      </c>
      <c r="B124" t="s">
        <v>795</v>
      </c>
      <c r="C124" t="s">
        <v>898</v>
      </c>
      <c r="D124" t="s">
        <v>913</v>
      </c>
      <c r="E124" s="6">
        <v>136.19999999999999</v>
      </c>
      <c r="F124" s="6">
        <v>228.19</v>
      </c>
      <c r="G124" t="s">
        <v>662</v>
      </c>
    </row>
    <row r="125" spans="1:7" x14ac:dyDescent="0.3">
      <c r="A125" t="s">
        <v>914</v>
      </c>
      <c r="B125" t="s">
        <v>795</v>
      </c>
      <c r="C125" t="s">
        <v>898</v>
      </c>
      <c r="D125" t="s">
        <v>915</v>
      </c>
      <c r="E125" s="6">
        <v>105.78</v>
      </c>
      <c r="F125" s="6">
        <v>188.5</v>
      </c>
      <c r="G125" t="s">
        <v>662</v>
      </c>
    </row>
    <row r="126" spans="1:7" x14ac:dyDescent="0.3">
      <c r="A126" t="s">
        <v>916</v>
      </c>
      <c r="B126" t="s">
        <v>795</v>
      </c>
      <c r="C126" t="s">
        <v>898</v>
      </c>
      <c r="D126" t="s">
        <v>917</v>
      </c>
      <c r="E126" s="6">
        <v>116.38</v>
      </c>
      <c r="F126" s="6">
        <v>150.21</v>
      </c>
      <c r="G126" t="s">
        <v>662</v>
      </c>
    </row>
    <row r="127" spans="1:7" x14ac:dyDescent="0.3">
      <c r="A127" t="s">
        <v>918</v>
      </c>
      <c r="B127" t="s">
        <v>795</v>
      </c>
      <c r="C127" t="s">
        <v>898</v>
      </c>
      <c r="D127" t="s">
        <v>919</v>
      </c>
      <c r="E127" s="6">
        <v>157.71</v>
      </c>
      <c r="F127" s="6">
        <v>207.36</v>
      </c>
      <c r="G127" t="s">
        <v>679</v>
      </c>
    </row>
    <row r="128" spans="1:7" x14ac:dyDescent="0.3">
      <c r="A128" t="s">
        <v>920</v>
      </c>
      <c r="B128" t="s">
        <v>795</v>
      </c>
      <c r="C128" t="s">
        <v>898</v>
      </c>
      <c r="D128" t="s">
        <v>921</v>
      </c>
      <c r="E128" s="6">
        <v>58.77</v>
      </c>
      <c r="F128" s="6">
        <v>107.63</v>
      </c>
      <c r="G128" t="s">
        <v>662</v>
      </c>
    </row>
    <row r="129" spans="1:7" x14ac:dyDescent="0.3">
      <c r="A129" t="s">
        <v>922</v>
      </c>
      <c r="B129" t="s">
        <v>795</v>
      </c>
      <c r="C129" t="s">
        <v>898</v>
      </c>
      <c r="D129" t="s">
        <v>923</v>
      </c>
      <c r="E129" s="6">
        <v>173.34</v>
      </c>
      <c r="F129" s="6">
        <v>267.95999999999998</v>
      </c>
      <c r="G129" t="s">
        <v>662</v>
      </c>
    </row>
    <row r="130" spans="1:7" x14ac:dyDescent="0.3">
      <c r="A130" t="s">
        <v>924</v>
      </c>
      <c r="B130" t="s">
        <v>795</v>
      </c>
      <c r="C130" t="s">
        <v>898</v>
      </c>
      <c r="D130" t="s">
        <v>925</v>
      </c>
      <c r="E130" s="6">
        <v>97.84</v>
      </c>
      <c r="F130" s="6">
        <v>150.44999999999999</v>
      </c>
      <c r="G130" t="s">
        <v>662</v>
      </c>
    </row>
    <row r="131" spans="1:7" x14ac:dyDescent="0.3">
      <c r="A131" t="s">
        <v>926</v>
      </c>
      <c r="B131" t="s">
        <v>795</v>
      </c>
      <c r="C131" t="s">
        <v>898</v>
      </c>
      <c r="D131" t="s">
        <v>927</v>
      </c>
      <c r="E131" s="6">
        <v>113.41</v>
      </c>
      <c r="F131" s="6">
        <v>186.06</v>
      </c>
      <c r="G131" t="s">
        <v>662</v>
      </c>
    </row>
    <row r="132" spans="1:7" x14ac:dyDescent="0.3">
      <c r="A132" t="s">
        <v>928</v>
      </c>
      <c r="B132" t="s">
        <v>929</v>
      </c>
      <c r="C132" t="s">
        <v>930</v>
      </c>
      <c r="D132" t="s">
        <v>931</v>
      </c>
      <c r="E132" s="6">
        <v>130.21</v>
      </c>
      <c r="F132" s="6">
        <v>228.84</v>
      </c>
      <c r="G132" t="s">
        <v>662</v>
      </c>
    </row>
    <row r="133" spans="1:7" x14ac:dyDescent="0.3">
      <c r="A133" t="s">
        <v>932</v>
      </c>
      <c r="B133" t="s">
        <v>929</v>
      </c>
      <c r="C133" t="s">
        <v>930</v>
      </c>
      <c r="D133" t="s">
        <v>933</v>
      </c>
      <c r="E133" s="6">
        <v>136.69</v>
      </c>
      <c r="F133" s="6">
        <v>197</v>
      </c>
      <c r="G133" t="s">
        <v>662</v>
      </c>
    </row>
    <row r="134" spans="1:7" x14ac:dyDescent="0.3">
      <c r="A134" t="s">
        <v>934</v>
      </c>
      <c r="B134" t="s">
        <v>929</v>
      </c>
      <c r="C134" t="s">
        <v>930</v>
      </c>
      <c r="D134" t="s">
        <v>935</v>
      </c>
      <c r="E134" s="6">
        <v>147.27000000000001</v>
      </c>
      <c r="F134" s="6">
        <v>217.26</v>
      </c>
      <c r="G134" t="s">
        <v>662</v>
      </c>
    </row>
    <row r="135" spans="1:7" x14ac:dyDescent="0.3">
      <c r="A135" t="s">
        <v>936</v>
      </c>
      <c r="B135" t="s">
        <v>929</v>
      </c>
      <c r="C135" t="s">
        <v>930</v>
      </c>
      <c r="D135" t="s">
        <v>937</v>
      </c>
      <c r="E135" s="6">
        <v>133.72</v>
      </c>
      <c r="F135" s="6">
        <v>211.04</v>
      </c>
      <c r="G135" t="s">
        <v>662</v>
      </c>
    </row>
    <row r="136" spans="1:7" x14ac:dyDescent="0.3">
      <c r="A136" t="s">
        <v>938</v>
      </c>
      <c r="B136" t="s">
        <v>929</v>
      </c>
      <c r="C136" t="s">
        <v>930</v>
      </c>
      <c r="D136" t="s">
        <v>939</v>
      </c>
      <c r="E136" s="6">
        <v>175.97</v>
      </c>
      <c r="F136" s="6">
        <v>284.75</v>
      </c>
      <c r="G136" t="s">
        <v>662</v>
      </c>
    </row>
    <row r="137" spans="1:7" x14ac:dyDescent="0.3">
      <c r="A137" t="s">
        <v>940</v>
      </c>
      <c r="B137" t="s">
        <v>929</v>
      </c>
      <c r="C137" t="s">
        <v>930</v>
      </c>
      <c r="D137" t="s">
        <v>941</v>
      </c>
      <c r="E137" s="6">
        <v>157.07</v>
      </c>
      <c r="F137" s="6">
        <v>199.26</v>
      </c>
      <c r="G137" t="s">
        <v>662</v>
      </c>
    </row>
    <row r="138" spans="1:7" x14ac:dyDescent="0.3">
      <c r="A138" t="s">
        <v>942</v>
      </c>
      <c r="B138" t="s">
        <v>929</v>
      </c>
      <c r="C138" t="s">
        <v>930</v>
      </c>
      <c r="D138" t="s">
        <v>943</v>
      </c>
      <c r="E138" s="6">
        <v>173.45</v>
      </c>
      <c r="F138" s="6">
        <v>233.16</v>
      </c>
      <c r="G138" t="s">
        <v>662</v>
      </c>
    </row>
    <row r="139" spans="1:7" x14ac:dyDescent="0.3">
      <c r="A139" t="s">
        <v>944</v>
      </c>
      <c r="B139" t="s">
        <v>929</v>
      </c>
      <c r="C139" t="s">
        <v>930</v>
      </c>
      <c r="D139" t="s">
        <v>945</v>
      </c>
      <c r="E139" s="6">
        <v>210.38</v>
      </c>
      <c r="F139" s="6">
        <v>288.92</v>
      </c>
      <c r="G139" t="s">
        <v>662</v>
      </c>
    </row>
    <row r="140" spans="1:7" x14ac:dyDescent="0.3">
      <c r="A140" t="s">
        <v>946</v>
      </c>
      <c r="B140" t="s">
        <v>929</v>
      </c>
      <c r="C140" t="s">
        <v>930</v>
      </c>
      <c r="D140" t="s">
        <v>947</v>
      </c>
      <c r="E140" s="6">
        <v>93.94</v>
      </c>
      <c r="F140" s="6">
        <v>158.57</v>
      </c>
      <c r="G140" t="s">
        <v>662</v>
      </c>
    </row>
    <row r="141" spans="1:7" x14ac:dyDescent="0.3">
      <c r="A141" t="s">
        <v>948</v>
      </c>
      <c r="B141" t="s">
        <v>929</v>
      </c>
      <c r="C141" t="s">
        <v>930</v>
      </c>
      <c r="D141" t="s">
        <v>949</v>
      </c>
      <c r="E141" s="6">
        <v>44.35</v>
      </c>
      <c r="F141" s="6">
        <v>62.93</v>
      </c>
      <c r="G141" t="s">
        <v>662</v>
      </c>
    </row>
    <row r="142" spans="1:7" x14ac:dyDescent="0.3">
      <c r="A142" t="s">
        <v>950</v>
      </c>
      <c r="B142" t="s">
        <v>929</v>
      </c>
      <c r="C142" t="s">
        <v>930</v>
      </c>
      <c r="D142" t="s">
        <v>951</v>
      </c>
      <c r="E142" s="6">
        <v>181.98</v>
      </c>
      <c r="F142" s="6">
        <v>319.18</v>
      </c>
      <c r="G142" t="s">
        <v>662</v>
      </c>
    </row>
    <row r="143" spans="1:7" x14ac:dyDescent="0.3">
      <c r="A143" t="s">
        <v>952</v>
      </c>
      <c r="B143" t="s">
        <v>929</v>
      </c>
      <c r="C143" t="s">
        <v>930</v>
      </c>
      <c r="D143" t="s">
        <v>953</v>
      </c>
      <c r="E143" s="6">
        <v>139.97999999999999</v>
      </c>
      <c r="F143" s="6">
        <v>205.28</v>
      </c>
      <c r="G143" t="s">
        <v>662</v>
      </c>
    </row>
    <row r="144" spans="1:7" x14ac:dyDescent="0.3">
      <c r="A144" t="s">
        <v>954</v>
      </c>
      <c r="B144" t="s">
        <v>929</v>
      </c>
      <c r="C144" t="s">
        <v>930</v>
      </c>
      <c r="D144" t="s">
        <v>955</v>
      </c>
      <c r="E144" s="6">
        <v>99.65</v>
      </c>
      <c r="F144" s="6">
        <v>160.44999999999999</v>
      </c>
      <c r="G144" t="s">
        <v>662</v>
      </c>
    </row>
    <row r="145" spans="1:7" x14ac:dyDescent="0.3">
      <c r="A145" t="s">
        <v>956</v>
      </c>
      <c r="B145" t="s">
        <v>929</v>
      </c>
      <c r="C145" t="s">
        <v>930</v>
      </c>
      <c r="D145" t="s">
        <v>957</v>
      </c>
      <c r="E145" s="6">
        <v>190.78</v>
      </c>
      <c r="F145" s="6">
        <v>241.42</v>
      </c>
      <c r="G145" t="s">
        <v>662</v>
      </c>
    </row>
    <row r="146" spans="1:7" x14ac:dyDescent="0.3">
      <c r="A146" t="s">
        <v>958</v>
      </c>
      <c r="B146" t="s">
        <v>929</v>
      </c>
      <c r="C146" t="s">
        <v>930</v>
      </c>
      <c r="D146" t="s">
        <v>959</v>
      </c>
      <c r="E146" s="6">
        <v>114.63</v>
      </c>
      <c r="F146" s="6">
        <v>201.32</v>
      </c>
      <c r="G146" t="s">
        <v>662</v>
      </c>
    </row>
    <row r="147" spans="1:7" x14ac:dyDescent="0.3">
      <c r="A147" t="s">
        <v>960</v>
      </c>
      <c r="B147" t="s">
        <v>929</v>
      </c>
      <c r="C147" t="s">
        <v>930</v>
      </c>
      <c r="D147" t="s">
        <v>961</v>
      </c>
      <c r="E147" s="6">
        <v>139.97</v>
      </c>
      <c r="F147" s="6">
        <v>208.34</v>
      </c>
      <c r="G147" t="s">
        <v>662</v>
      </c>
    </row>
    <row r="148" spans="1:7" x14ac:dyDescent="0.3">
      <c r="A148" t="s">
        <v>962</v>
      </c>
      <c r="B148" t="s">
        <v>929</v>
      </c>
      <c r="C148" t="s">
        <v>930</v>
      </c>
      <c r="D148" t="s">
        <v>963</v>
      </c>
      <c r="E148" s="6">
        <v>108.41</v>
      </c>
      <c r="F148" s="6">
        <v>170.91</v>
      </c>
      <c r="G148" t="s">
        <v>662</v>
      </c>
    </row>
    <row r="149" spans="1:7" x14ac:dyDescent="0.3">
      <c r="A149" t="s">
        <v>964</v>
      </c>
      <c r="B149" t="s">
        <v>929</v>
      </c>
      <c r="C149" t="s">
        <v>930</v>
      </c>
      <c r="D149" t="s">
        <v>965</v>
      </c>
      <c r="E149" s="6">
        <v>101.47</v>
      </c>
      <c r="F149" s="6">
        <v>180.75</v>
      </c>
      <c r="G149" t="s">
        <v>662</v>
      </c>
    </row>
    <row r="150" spans="1:7" x14ac:dyDescent="0.3">
      <c r="A150" t="s">
        <v>966</v>
      </c>
      <c r="B150" t="s">
        <v>929</v>
      </c>
      <c r="C150" t="s">
        <v>930</v>
      </c>
      <c r="D150" t="s">
        <v>967</v>
      </c>
      <c r="E150" s="6">
        <v>83.16</v>
      </c>
      <c r="F150" s="6">
        <v>127.15</v>
      </c>
      <c r="G150" t="s">
        <v>662</v>
      </c>
    </row>
    <row r="151" spans="1:7" x14ac:dyDescent="0.3">
      <c r="A151" t="s">
        <v>968</v>
      </c>
      <c r="B151" t="s">
        <v>929</v>
      </c>
      <c r="C151" t="s">
        <v>930</v>
      </c>
      <c r="D151" t="s">
        <v>969</v>
      </c>
      <c r="E151" s="6">
        <v>133.06</v>
      </c>
      <c r="F151" s="6">
        <v>187.77</v>
      </c>
      <c r="G151" t="s">
        <v>662</v>
      </c>
    </row>
    <row r="152" spans="1:7" x14ac:dyDescent="0.3">
      <c r="A152" t="s">
        <v>970</v>
      </c>
      <c r="B152" t="s">
        <v>929</v>
      </c>
      <c r="C152" t="s">
        <v>971</v>
      </c>
      <c r="D152" t="s">
        <v>972</v>
      </c>
      <c r="E152" s="6">
        <v>121.04</v>
      </c>
      <c r="F152" s="6">
        <v>157.52000000000001</v>
      </c>
      <c r="G152" t="s">
        <v>662</v>
      </c>
    </row>
    <row r="153" spans="1:7" x14ac:dyDescent="0.3">
      <c r="A153" t="s">
        <v>973</v>
      </c>
      <c r="B153" t="s">
        <v>929</v>
      </c>
      <c r="C153" t="s">
        <v>971</v>
      </c>
      <c r="D153" t="s">
        <v>974</v>
      </c>
      <c r="E153" s="6">
        <v>45.81</v>
      </c>
      <c r="F153" s="6">
        <v>72.14</v>
      </c>
      <c r="G153" t="s">
        <v>662</v>
      </c>
    </row>
    <row r="154" spans="1:7" x14ac:dyDescent="0.3">
      <c r="A154" t="s">
        <v>975</v>
      </c>
      <c r="B154" t="s">
        <v>929</v>
      </c>
      <c r="C154" t="s">
        <v>971</v>
      </c>
      <c r="D154" t="s">
        <v>976</v>
      </c>
      <c r="E154" s="6">
        <v>66.319999999999993</v>
      </c>
      <c r="F154" s="6">
        <v>116.36</v>
      </c>
      <c r="G154" t="s">
        <v>662</v>
      </c>
    </row>
    <row r="155" spans="1:7" x14ac:dyDescent="0.3">
      <c r="A155" t="s">
        <v>977</v>
      </c>
      <c r="B155" t="s">
        <v>929</v>
      </c>
      <c r="C155" t="s">
        <v>971</v>
      </c>
      <c r="D155" t="s">
        <v>978</v>
      </c>
      <c r="E155" s="6">
        <v>86.07</v>
      </c>
      <c r="F155" s="6">
        <v>129.21</v>
      </c>
      <c r="G155" t="s">
        <v>662</v>
      </c>
    </row>
    <row r="156" spans="1:7" x14ac:dyDescent="0.3">
      <c r="A156" t="s">
        <v>979</v>
      </c>
      <c r="B156" t="s">
        <v>929</v>
      </c>
      <c r="C156" t="s">
        <v>971</v>
      </c>
      <c r="D156" t="s">
        <v>980</v>
      </c>
      <c r="E156" s="6">
        <v>158.03</v>
      </c>
      <c r="F156" s="6">
        <v>281.13</v>
      </c>
      <c r="G156" t="s">
        <v>662</v>
      </c>
    </row>
    <row r="157" spans="1:7" x14ac:dyDescent="0.3">
      <c r="A157" t="s">
        <v>981</v>
      </c>
      <c r="B157" t="s">
        <v>929</v>
      </c>
      <c r="C157" t="s">
        <v>971</v>
      </c>
      <c r="D157" t="s">
        <v>982</v>
      </c>
      <c r="E157" s="6">
        <v>77.88</v>
      </c>
      <c r="F157" s="6">
        <v>101.04</v>
      </c>
      <c r="G157" t="s">
        <v>662</v>
      </c>
    </row>
    <row r="158" spans="1:7" x14ac:dyDescent="0.3">
      <c r="A158" t="s">
        <v>983</v>
      </c>
      <c r="B158" t="s">
        <v>929</v>
      </c>
      <c r="C158" t="s">
        <v>971</v>
      </c>
      <c r="D158" t="s">
        <v>984</v>
      </c>
      <c r="E158" s="6">
        <v>106.87</v>
      </c>
      <c r="F158" s="6">
        <v>191.33</v>
      </c>
      <c r="G158" t="s">
        <v>662</v>
      </c>
    </row>
    <row r="159" spans="1:7" x14ac:dyDescent="0.3">
      <c r="A159" t="s">
        <v>985</v>
      </c>
      <c r="B159" t="s">
        <v>929</v>
      </c>
      <c r="C159" t="s">
        <v>971</v>
      </c>
      <c r="D159" t="s">
        <v>986</v>
      </c>
      <c r="E159" s="6">
        <v>62.43</v>
      </c>
      <c r="F159" s="6">
        <v>103.42</v>
      </c>
      <c r="G159" t="s">
        <v>662</v>
      </c>
    </row>
    <row r="160" spans="1:7" x14ac:dyDescent="0.3">
      <c r="A160" t="s">
        <v>987</v>
      </c>
      <c r="B160" t="s">
        <v>929</v>
      </c>
      <c r="C160" t="s">
        <v>971</v>
      </c>
      <c r="D160" t="s">
        <v>988</v>
      </c>
      <c r="E160" s="6">
        <v>181.22</v>
      </c>
      <c r="F160" s="6">
        <v>245.32</v>
      </c>
      <c r="G160" t="s">
        <v>662</v>
      </c>
    </row>
    <row r="161" spans="1:7" x14ac:dyDescent="0.3">
      <c r="A161" t="s">
        <v>989</v>
      </c>
      <c r="B161" t="s">
        <v>929</v>
      </c>
      <c r="C161" t="s">
        <v>971</v>
      </c>
      <c r="D161" t="s">
        <v>990</v>
      </c>
      <c r="E161" s="6">
        <v>177.7</v>
      </c>
      <c r="F161" s="6">
        <v>325.77999999999997</v>
      </c>
      <c r="G161" t="s">
        <v>662</v>
      </c>
    </row>
    <row r="162" spans="1:7" x14ac:dyDescent="0.3">
      <c r="A162" t="s">
        <v>991</v>
      </c>
      <c r="B162" t="s">
        <v>929</v>
      </c>
      <c r="C162" t="s">
        <v>971</v>
      </c>
      <c r="D162" t="s">
        <v>992</v>
      </c>
      <c r="E162" s="6">
        <v>156.82</v>
      </c>
      <c r="F162" s="6">
        <v>289.01</v>
      </c>
      <c r="G162" t="s">
        <v>662</v>
      </c>
    </row>
    <row r="163" spans="1:7" x14ac:dyDescent="0.3">
      <c r="A163" t="s">
        <v>993</v>
      </c>
      <c r="B163" t="s">
        <v>929</v>
      </c>
      <c r="C163" t="s">
        <v>971</v>
      </c>
      <c r="D163" t="s">
        <v>994</v>
      </c>
      <c r="E163" s="6">
        <v>157.38</v>
      </c>
      <c r="F163" s="6">
        <v>290.89999999999998</v>
      </c>
      <c r="G163" t="s">
        <v>662</v>
      </c>
    </row>
    <row r="164" spans="1:7" x14ac:dyDescent="0.3">
      <c r="A164" t="s">
        <v>995</v>
      </c>
      <c r="B164" t="s">
        <v>929</v>
      </c>
      <c r="C164" t="s">
        <v>971</v>
      </c>
      <c r="D164" t="s">
        <v>996</v>
      </c>
      <c r="E164" s="6">
        <v>139.47</v>
      </c>
      <c r="F164" s="6">
        <v>250.56</v>
      </c>
      <c r="G164" t="s">
        <v>662</v>
      </c>
    </row>
    <row r="165" spans="1:7" x14ac:dyDescent="0.3">
      <c r="A165" t="s">
        <v>997</v>
      </c>
      <c r="B165" t="s">
        <v>929</v>
      </c>
      <c r="C165" t="s">
        <v>971</v>
      </c>
      <c r="D165" t="s">
        <v>998</v>
      </c>
      <c r="E165" s="6">
        <v>86.65</v>
      </c>
      <c r="F165" s="6">
        <v>111.8</v>
      </c>
      <c r="G165" t="s">
        <v>662</v>
      </c>
    </row>
    <row r="166" spans="1:7" x14ac:dyDescent="0.3">
      <c r="A166" t="s">
        <v>999</v>
      </c>
      <c r="B166" t="s">
        <v>929</v>
      </c>
      <c r="C166" t="s">
        <v>971</v>
      </c>
      <c r="D166" t="s">
        <v>1000</v>
      </c>
      <c r="E166" s="6">
        <v>84.5</v>
      </c>
      <c r="F166" s="6">
        <v>119.63</v>
      </c>
      <c r="G166" t="s">
        <v>662</v>
      </c>
    </row>
    <row r="167" spans="1:7" x14ac:dyDescent="0.3">
      <c r="A167" t="s">
        <v>1001</v>
      </c>
      <c r="B167" t="s">
        <v>1002</v>
      </c>
      <c r="C167" t="s">
        <v>1003</v>
      </c>
      <c r="D167" t="s">
        <v>1004</v>
      </c>
      <c r="E167" s="6">
        <v>146.71</v>
      </c>
      <c r="F167" s="6">
        <v>260.27999999999997</v>
      </c>
      <c r="G167" t="s">
        <v>662</v>
      </c>
    </row>
    <row r="168" spans="1:7" x14ac:dyDescent="0.3">
      <c r="A168" t="s">
        <v>1005</v>
      </c>
      <c r="B168" t="s">
        <v>1002</v>
      </c>
      <c r="C168" t="s">
        <v>1003</v>
      </c>
      <c r="D168" t="s">
        <v>1006</v>
      </c>
      <c r="E168" s="6">
        <v>76.489999999999995</v>
      </c>
      <c r="F168" s="6">
        <v>114.87</v>
      </c>
      <c r="G168" t="s">
        <v>662</v>
      </c>
    </row>
    <row r="169" spans="1:7" x14ac:dyDescent="0.3">
      <c r="A169" t="s">
        <v>1007</v>
      </c>
      <c r="B169" t="s">
        <v>1002</v>
      </c>
      <c r="C169" t="s">
        <v>1003</v>
      </c>
      <c r="D169" t="s">
        <v>1008</v>
      </c>
      <c r="E169" s="6">
        <v>77.540000000000006</v>
      </c>
      <c r="F169" s="6">
        <v>103.82</v>
      </c>
      <c r="G169" t="s">
        <v>662</v>
      </c>
    </row>
    <row r="170" spans="1:7" x14ac:dyDescent="0.3">
      <c r="A170" t="s">
        <v>1009</v>
      </c>
      <c r="B170" t="s">
        <v>1002</v>
      </c>
      <c r="C170" t="s">
        <v>1003</v>
      </c>
      <c r="D170" t="s">
        <v>1010</v>
      </c>
      <c r="E170" s="6">
        <v>126.23</v>
      </c>
      <c r="F170" s="6">
        <v>227.84</v>
      </c>
      <c r="G170" t="s">
        <v>662</v>
      </c>
    </row>
    <row r="171" spans="1:7" x14ac:dyDescent="0.3">
      <c r="A171" t="s">
        <v>1011</v>
      </c>
      <c r="B171" t="s">
        <v>1002</v>
      </c>
      <c r="C171" t="s">
        <v>1003</v>
      </c>
      <c r="D171" t="s">
        <v>1012</v>
      </c>
      <c r="E171" s="6">
        <v>5</v>
      </c>
      <c r="F171" s="6">
        <v>6.55</v>
      </c>
      <c r="G171" t="s">
        <v>662</v>
      </c>
    </row>
    <row r="172" spans="1:7" x14ac:dyDescent="0.3">
      <c r="A172" t="s">
        <v>1013</v>
      </c>
      <c r="B172" t="s">
        <v>1002</v>
      </c>
      <c r="C172" t="s">
        <v>1003</v>
      </c>
      <c r="D172" t="s">
        <v>1014</v>
      </c>
      <c r="E172" s="6">
        <v>75.239999999999995</v>
      </c>
      <c r="F172" s="6">
        <v>112.6</v>
      </c>
      <c r="G172" t="s">
        <v>662</v>
      </c>
    </row>
    <row r="173" spans="1:7" x14ac:dyDescent="0.3">
      <c r="A173" t="s">
        <v>1015</v>
      </c>
      <c r="B173" t="s">
        <v>1002</v>
      </c>
      <c r="C173" t="s">
        <v>1003</v>
      </c>
      <c r="D173" t="s">
        <v>1016</v>
      </c>
      <c r="E173" s="6">
        <v>109.81</v>
      </c>
      <c r="F173" s="6">
        <v>169.26</v>
      </c>
      <c r="G173" t="s">
        <v>662</v>
      </c>
    </row>
    <row r="174" spans="1:7" x14ac:dyDescent="0.3">
      <c r="A174" t="s">
        <v>1017</v>
      </c>
      <c r="B174" t="s">
        <v>1002</v>
      </c>
      <c r="C174" t="s">
        <v>1003</v>
      </c>
      <c r="D174" t="s">
        <v>1018</v>
      </c>
      <c r="E174" s="6">
        <v>159.03</v>
      </c>
      <c r="F174" s="6">
        <v>212.51</v>
      </c>
      <c r="G174" t="s">
        <v>662</v>
      </c>
    </row>
    <row r="175" spans="1:7" x14ac:dyDescent="0.3">
      <c r="A175" t="s">
        <v>1019</v>
      </c>
      <c r="B175" t="s">
        <v>1002</v>
      </c>
      <c r="C175" t="s">
        <v>1003</v>
      </c>
      <c r="D175" t="s">
        <v>1020</v>
      </c>
      <c r="E175" s="6">
        <v>129.36000000000001</v>
      </c>
      <c r="F175" s="6">
        <v>215.54</v>
      </c>
      <c r="G175" t="s">
        <v>679</v>
      </c>
    </row>
    <row r="176" spans="1:7" x14ac:dyDescent="0.3">
      <c r="A176" t="s">
        <v>1021</v>
      </c>
      <c r="B176" t="s">
        <v>1002</v>
      </c>
      <c r="C176" t="s">
        <v>1003</v>
      </c>
      <c r="D176" t="s">
        <v>1022</v>
      </c>
      <c r="E176" s="6">
        <v>154.5</v>
      </c>
      <c r="F176" s="6">
        <v>215.15</v>
      </c>
      <c r="G176" t="s">
        <v>662</v>
      </c>
    </row>
    <row r="177" spans="1:7" x14ac:dyDescent="0.3">
      <c r="A177" t="s">
        <v>1023</v>
      </c>
      <c r="B177" t="s">
        <v>1002</v>
      </c>
      <c r="C177" t="s">
        <v>1003</v>
      </c>
      <c r="D177" t="s">
        <v>1024</v>
      </c>
      <c r="E177" s="6">
        <v>91.3</v>
      </c>
      <c r="F177" s="6">
        <v>164.57</v>
      </c>
      <c r="G177" t="s">
        <v>662</v>
      </c>
    </row>
    <row r="178" spans="1:7" x14ac:dyDescent="0.3">
      <c r="A178" t="s">
        <v>1025</v>
      </c>
      <c r="B178" t="s">
        <v>1002</v>
      </c>
      <c r="C178" t="s">
        <v>1003</v>
      </c>
      <c r="D178" t="s">
        <v>1026</v>
      </c>
      <c r="E178" s="6">
        <v>211.46</v>
      </c>
      <c r="F178" s="6">
        <v>302.77999999999997</v>
      </c>
      <c r="G178" t="s">
        <v>662</v>
      </c>
    </row>
    <row r="179" spans="1:7" x14ac:dyDescent="0.3">
      <c r="A179" t="s">
        <v>1027</v>
      </c>
      <c r="B179" t="s">
        <v>1002</v>
      </c>
      <c r="C179" t="s">
        <v>1003</v>
      </c>
      <c r="D179" t="s">
        <v>1028</v>
      </c>
      <c r="E179" s="6">
        <v>131.69</v>
      </c>
      <c r="F179" s="6">
        <v>203.46</v>
      </c>
      <c r="G179" t="s">
        <v>662</v>
      </c>
    </row>
    <row r="180" spans="1:7" x14ac:dyDescent="0.3">
      <c r="A180" t="s">
        <v>1029</v>
      </c>
      <c r="B180" t="s">
        <v>1002</v>
      </c>
      <c r="C180" t="s">
        <v>1003</v>
      </c>
      <c r="D180" t="s">
        <v>1030</v>
      </c>
      <c r="E180" s="6">
        <v>202.2</v>
      </c>
      <c r="F180" s="6">
        <v>269.05</v>
      </c>
      <c r="G180" t="s">
        <v>662</v>
      </c>
    </row>
    <row r="181" spans="1:7" x14ac:dyDescent="0.3">
      <c r="A181" t="s">
        <v>1031</v>
      </c>
      <c r="B181" t="s">
        <v>1002</v>
      </c>
      <c r="C181" t="s">
        <v>1003</v>
      </c>
      <c r="D181" t="s">
        <v>1032</v>
      </c>
      <c r="E181" s="6">
        <v>178.33</v>
      </c>
      <c r="F181" s="6">
        <v>270.32</v>
      </c>
      <c r="G181" t="s">
        <v>662</v>
      </c>
    </row>
    <row r="182" spans="1:7" x14ac:dyDescent="0.3">
      <c r="A182" t="s">
        <v>1033</v>
      </c>
      <c r="B182" t="s">
        <v>1002</v>
      </c>
      <c r="C182" t="s">
        <v>1034</v>
      </c>
      <c r="D182" t="s">
        <v>1035</v>
      </c>
      <c r="E182" s="6">
        <v>113.68</v>
      </c>
      <c r="F182" s="6">
        <v>186.13</v>
      </c>
      <c r="G182" t="s">
        <v>662</v>
      </c>
    </row>
    <row r="183" spans="1:7" x14ac:dyDescent="0.3">
      <c r="A183" t="s">
        <v>1036</v>
      </c>
      <c r="B183" t="s">
        <v>1002</v>
      </c>
      <c r="C183" t="s">
        <v>1034</v>
      </c>
      <c r="D183" t="s">
        <v>1037</v>
      </c>
      <c r="E183" s="6">
        <v>171.54</v>
      </c>
      <c r="F183" s="6">
        <v>236.18</v>
      </c>
      <c r="G183" t="s">
        <v>662</v>
      </c>
    </row>
    <row r="184" spans="1:7" x14ac:dyDescent="0.3">
      <c r="A184" t="s">
        <v>1038</v>
      </c>
      <c r="B184" t="s">
        <v>1002</v>
      </c>
      <c r="C184" t="s">
        <v>1034</v>
      </c>
      <c r="D184" t="s">
        <v>1039</v>
      </c>
      <c r="E184" s="6">
        <v>115.2</v>
      </c>
      <c r="F184" s="6">
        <v>203.94</v>
      </c>
      <c r="G184" t="s">
        <v>662</v>
      </c>
    </row>
    <row r="185" spans="1:7" x14ac:dyDescent="0.3">
      <c r="A185" t="s">
        <v>1040</v>
      </c>
      <c r="B185" t="s">
        <v>1002</v>
      </c>
      <c r="C185" t="s">
        <v>1034</v>
      </c>
      <c r="D185" t="s">
        <v>1041</v>
      </c>
      <c r="E185" s="6">
        <v>35.729999999999997</v>
      </c>
      <c r="F185" s="6">
        <v>55.71</v>
      </c>
      <c r="G185" t="s">
        <v>662</v>
      </c>
    </row>
    <row r="186" spans="1:7" x14ac:dyDescent="0.3">
      <c r="A186" t="s">
        <v>1042</v>
      </c>
      <c r="B186" t="s">
        <v>1002</v>
      </c>
      <c r="C186" t="s">
        <v>1034</v>
      </c>
      <c r="D186" t="s">
        <v>1043</v>
      </c>
      <c r="E186" s="6">
        <v>97.73</v>
      </c>
      <c r="F186" s="6">
        <v>130.12</v>
      </c>
      <c r="G186" t="s">
        <v>662</v>
      </c>
    </row>
    <row r="187" spans="1:7" x14ac:dyDescent="0.3">
      <c r="A187" t="s">
        <v>1044</v>
      </c>
      <c r="B187" t="s">
        <v>1002</v>
      </c>
      <c r="C187" t="s">
        <v>1034</v>
      </c>
      <c r="D187" t="s">
        <v>1045</v>
      </c>
      <c r="E187" s="6">
        <v>175.12</v>
      </c>
      <c r="F187" s="6">
        <v>311.29000000000002</v>
      </c>
      <c r="G187" t="s">
        <v>679</v>
      </c>
    </row>
    <row r="188" spans="1:7" x14ac:dyDescent="0.3">
      <c r="A188" t="s">
        <v>1046</v>
      </c>
      <c r="B188" t="s">
        <v>1002</v>
      </c>
      <c r="C188" t="s">
        <v>1034</v>
      </c>
      <c r="D188" t="s">
        <v>1047</v>
      </c>
      <c r="E188" s="6">
        <v>153.29</v>
      </c>
      <c r="F188" s="6">
        <v>268.58999999999997</v>
      </c>
      <c r="G188" t="s">
        <v>662</v>
      </c>
    </row>
    <row r="189" spans="1:7" x14ac:dyDescent="0.3">
      <c r="A189" t="s">
        <v>1048</v>
      </c>
      <c r="B189" t="s">
        <v>1002</v>
      </c>
      <c r="C189" t="s">
        <v>1034</v>
      </c>
      <c r="D189" t="s">
        <v>1049</v>
      </c>
      <c r="E189" s="6">
        <v>208.54</v>
      </c>
      <c r="F189" s="6">
        <v>317.79000000000002</v>
      </c>
      <c r="G189" t="s">
        <v>662</v>
      </c>
    </row>
    <row r="190" spans="1:7" x14ac:dyDescent="0.3">
      <c r="A190" t="s">
        <v>1050</v>
      </c>
      <c r="B190" t="s">
        <v>1002</v>
      </c>
      <c r="C190" t="s">
        <v>1034</v>
      </c>
      <c r="D190" t="s">
        <v>1051</v>
      </c>
      <c r="E190" s="6">
        <v>108.75</v>
      </c>
      <c r="F190" s="6">
        <v>189.67</v>
      </c>
      <c r="G190" t="s">
        <v>662</v>
      </c>
    </row>
    <row r="191" spans="1:7" x14ac:dyDescent="0.3">
      <c r="A191" t="s">
        <v>1052</v>
      </c>
      <c r="B191" t="s">
        <v>1002</v>
      </c>
      <c r="C191" t="s">
        <v>1034</v>
      </c>
      <c r="D191" t="s">
        <v>1053</v>
      </c>
      <c r="E191" s="6">
        <v>81.599999999999994</v>
      </c>
      <c r="F191" s="6">
        <v>133.11000000000001</v>
      </c>
      <c r="G191" t="s">
        <v>662</v>
      </c>
    </row>
    <row r="192" spans="1:7" x14ac:dyDescent="0.3">
      <c r="A192" t="s">
        <v>1054</v>
      </c>
      <c r="B192" t="s">
        <v>1002</v>
      </c>
      <c r="C192" t="s">
        <v>1034</v>
      </c>
      <c r="D192" t="s">
        <v>1055</v>
      </c>
      <c r="E192" s="6">
        <v>167.38</v>
      </c>
      <c r="F192" s="6">
        <v>268.88</v>
      </c>
      <c r="G192" t="s">
        <v>662</v>
      </c>
    </row>
    <row r="193" spans="1:7" x14ac:dyDescent="0.3">
      <c r="A193" t="s">
        <v>1056</v>
      </c>
      <c r="B193" t="s">
        <v>1002</v>
      </c>
      <c r="C193" t="s">
        <v>1034</v>
      </c>
      <c r="D193" t="s">
        <v>1057</v>
      </c>
      <c r="E193" s="6">
        <v>129.21</v>
      </c>
      <c r="F193" s="6">
        <v>229</v>
      </c>
      <c r="G193" t="s">
        <v>662</v>
      </c>
    </row>
    <row r="194" spans="1:7" x14ac:dyDescent="0.3">
      <c r="A194" t="s">
        <v>1058</v>
      </c>
      <c r="B194" t="s">
        <v>1002</v>
      </c>
      <c r="C194" t="s">
        <v>1034</v>
      </c>
      <c r="D194" t="s">
        <v>1059</v>
      </c>
      <c r="E194" s="6">
        <v>102.47</v>
      </c>
      <c r="F194" s="6">
        <v>183.08</v>
      </c>
      <c r="G194" t="s">
        <v>662</v>
      </c>
    </row>
    <row r="195" spans="1:7" x14ac:dyDescent="0.3">
      <c r="A195" t="s">
        <v>1060</v>
      </c>
      <c r="B195" t="s">
        <v>1002</v>
      </c>
      <c r="C195" t="s">
        <v>1034</v>
      </c>
      <c r="D195" t="s">
        <v>1061</v>
      </c>
      <c r="E195" s="6">
        <v>144.19999999999999</v>
      </c>
      <c r="F195" s="6">
        <v>239.85</v>
      </c>
      <c r="G195" t="s">
        <v>662</v>
      </c>
    </row>
    <row r="196" spans="1:7" x14ac:dyDescent="0.3">
      <c r="A196" t="s">
        <v>1062</v>
      </c>
      <c r="B196" t="s">
        <v>1002</v>
      </c>
      <c r="C196" t="s">
        <v>1034</v>
      </c>
      <c r="D196" t="s">
        <v>1063</v>
      </c>
      <c r="E196" s="6">
        <v>97.44</v>
      </c>
      <c r="F196" s="6">
        <v>155.26</v>
      </c>
      <c r="G196" t="s">
        <v>662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10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7" customWidth="1"/>
    <col min="3" max="4" width="11" customWidth="1"/>
    <col min="5" max="5" width="10" customWidth="1"/>
    <col min="6" max="6" width="26" customWidth="1"/>
    <col min="7" max="7" width="12" customWidth="1"/>
    <col min="8" max="8" width="14" customWidth="1"/>
    <col min="9" max="9" width="12" customWidth="1"/>
    <col min="10" max="10" width="10" customWidth="1"/>
    <col min="11" max="11" width="16" customWidth="1"/>
    <col min="12" max="12" width="11" customWidth="1"/>
    <col min="13" max="13" width="14" customWidth="1"/>
    <col min="14" max="14" width="16" customWidth="1"/>
    <col min="15" max="15" width="24" customWidth="1"/>
    <col min="16" max="16" width="11" customWidth="1"/>
    <col min="17" max="17" width="18" customWidth="1"/>
    <col min="18" max="18" width="10" customWidth="1"/>
    <col min="19" max="19" width="14" customWidth="1"/>
    <col min="20" max="20" width="7" customWidth="1"/>
    <col min="21" max="22" width="10" customWidth="1"/>
    <col min="23" max="23" width="11" customWidth="1"/>
    <col min="24" max="24" width="12" customWidth="1"/>
    <col min="25" max="25" width="10" customWidth="1"/>
    <col min="26" max="26" width="12" customWidth="1"/>
    <col min="27" max="27" width="9" customWidth="1"/>
    <col min="28" max="28" width="14" customWidth="1"/>
    <col min="29" max="29" width="16" customWidth="1"/>
    <col min="30" max="30" width="22" customWidth="1"/>
    <col min="31" max="32" width="10" customWidth="1"/>
  </cols>
  <sheetData>
    <row r="1" spans="1:32" ht="28.8" x14ac:dyDescent="0.3">
      <c r="A1" s="7" t="s">
        <v>1064</v>
      </c>
      <c r="B1" s="7" t="s">
        <v>1065</v>
      </c>
      <c r="C1" s="7" t="s">
        <v>1066</v>
      </c>
      <c r="D1" s="7" t="s">
        <v>1067</v>
      </c>
      <c r="E1" s="7" t="s">
        <v>55</v>
      </c>
      <c r="F1" s="7" t="s">
        <v>56</v>
      </c>
      <c r="G1" s="7" t="s">
        <v>57</v>
      </c>
      <c r="H1" s="7" t="s">
        <v>1068</v>
      </c>
      <c r="I1" s="7" t="s">
        <v>61</v>
      </c>
      <c r="J1" s="7" t="s">
        <v>1069</v>
      </c>
      <c r="K1" s="7" t="s">
        <v>1070</v>
      </c>
      <c r="L1" s="7" t="s">
        <v>651</v>
      </c>
      <c r="M1" s="7" t="s">
        <v>652</v>
      </c>
      <c r="N1" s="7" t="s">
        <v>653</v>
      </c>
      <c r="O1" s="7" t="s">
        <v>654</v>
      </c>
      <c r="P1" s="7" t="s">
        <v>12</v>
      </c>
      <c r="Q1" s="7" t="s">
        <v>13</v>
      </c>
      <c r="R1" s="7" t="s">
        <v>1071</v>
      </c>
      <c r="S1" s="7" t="s">
        <v>1072</v>
      </c>
      <c r="T1" s="7" t="s">
        <v>1073</v>
      </c>
      <c r="U1" s="7" t="s">
        <v>1074</v>
      </c>
      <c r="V1" s="7" t="s">
        <v>655</v>
      </c>
      <c r="W1" s="7" t="s">
        <v>1075</v>
      </c>
      <c r="X1" s="7" t="s">
        <v>1076</v>
      </c>
      <c r="Y1" s="7" t="s">
        <v>1077</v>
      </c>
      <c r="Z1" s="7" t="s">
        <v>1078</v>
      </c>
      <c r="AA1" s="7" t="s">
        <v>1079</v>
      </c>
      <c r="AB1" s="7" t="s">
        <v>1080</v>
      </c>
      <c r="AC1" s="7" t="s">
        <v>1081</v>
      </c>
      <c r="AD1" s="7" t="s">
        <v>1082</v>
      </c>
      <c r="AE1" s="7" t="s">
        <v>1083</v>
      </c>
      <c r="AF1" s="7" t="s">
        <v>1084</v>
      </c>
    </row>
    <row r="2" spans="1:32" x14ac:dyDescent="0.3">
      <c r="A2" t="s">
        <v>1085</v>
      </c>
      <c r="B2" s="5">
        <v>2</v>
      </c>
      <c r="C2" s="4">
        <v>45959</v>
      </c>
      <c r="D2" s="4">
        <v>45962</v>
      </c>
      <c r="E2" t="s">
        <v>354</v>
      </c>
      <c r="F2" t="s">
        <v>355</v>
      </c>
      <c r="G2" t="s">
        <v>84</v>
      </c>
      <c r="H2" t="s">
        <v>41</v>
      </c>
      <c r="I2" t="s">
        <v>86</v>
      </c>
      <c r="J2" t="s">
        <v>1086</v>
      </c>
      <c r="K2" t="s">
        <v>1087</v>
      </c>
      <c r="L2" t="s">
        <v>729</v>
      </c>
      <c r="M2" t="s">
        <v>659</v>
      </c>
      <c r="N2" t="s">
        <v>713</v>
      </c>
      <c r="O2" t="s">
        <v>730</v>
      </c>
      <c r="P2" t="s">
        <v>44</v>
      </c>
      <c r="Q2" t="s">
        <v>45</v>
      </c>
      <c r="R2" t="s">
        <v>1088</v>
      </c>
      <c r="S2" t="s">
        <v>1089</v>
      </c>
      <c r="T2" s="5">
        <v>6</v>
      </c>
      <c r="U2" s="6">
        <v>88.29</v>
      </c>
      <c r="V2" s="6">
        <v>54.13</v>
      </c>
      <c r="W2" s="8">
        <v>0</v>
      </c>
      <c r="X2" s="6">
        <f t="shared" ref="X2:X65" si="0">T2*U2*(1-IF(ISBLANK(W2),0,W2))</f>
        <v>529.74</v>
      </c>
      <c r="Y2" s="6">
        <f t="shared" ref="Y2:Y65" si="1">T2*V2</f>
        <v>324.78000000000003</v>
      </c>
      <c r="Z2" s="6">
        <f t="shared" ref="Z2:Z65" si="2">X2-Y2</f>
        <v>204.95999999999998</v>
      </c>
      <c r="AA2" t="s">
        <v>679</v>
      </c>
      <c r="AC2" s="5">
        <v>3</v>
      </c>
      <c r="AD2" t="s">
        <v>1090</v>
      </c>
      <c r="AE2" t="str">
        <f t="shared" ref="AE2:AE65" si="3">TEXT(C2,"yyyy-mm")</f>
        <v>2025-10</v>
      </c>
      <c r="AF2" t="str">
        <f t="shared" ref="AF2:AF65" si="4">"Q"&amp;ROUNDUP(MONTH(C2)/3,0)&amp;"-"&amp;YEAR(C2)</f>
        <v>Q4-2025</v>
      </c>
    </row>
    <row r="3" spans="1:32" x14ac:dyDescent="0.3">
      <c r="A3" t="s">
        <v>1091</v>
      </c>
      <c r="B3" s="5">
        <v>5</v>
      </c>
      <c r="C3" s="4">
        <v>45935</v>
      </c>
      <c r="D3" s="4">
        <v>45941</v>
      </c>
      <c r="E3" t="s">
        <v>76</v>
      </c>
      <c r="F3" t="s">
        <v>77</v>
      </c>
      <c r="G3" t="s">
        <v>74</v>
      </c>
      <c r="H3" t="s">
        <v>31</v>
      </c>
      <c r="I3" t="s">
        <v>160</v>
      </c>
      <c r="J3" t="s">
        <v>1092</v>
      </c>
      <c r="K3" t="s">
        <v>1093</v>
      </c>
      <c r="L3" t="s">
        <v>1023</v>
      </c>
      <c r="M3" t="s">
        <v>1002</v>
      </c>
      <c r="N3" t="s">
        <v>1003</v>
      </c>
      <c r="O3" t="s">
        <v>1024</v>
      </c>
      <c r="P3" t="s">
        <v>21</v>
      </c>
      <c r="Q3" t="s">
        <v>22</v>
      </c>
      <c r="R3" t="s">
        <v>1094</v>
      </c>
      <c r="S3" t="s">
        <v>1095</v>
      </c>
      <c r="T3" s="5">
        <v>8</v>
      </c>
      <c r="U3" s="6">
        <v>146.51</v>
      </c>
      <c r="V3" s="6">
        <v>91.3</v>
      </c>
      <c r="W3" s="8">
        <v>0</v>
      </c>
      <c r="X3" s="6">
        <f t="shared" si="0"/>
        <v>1172.08</v>
      </c>
      <c r="Y3" s="6">
        <f t="shared" si="1"/>
        <v>730.4</v>
      </c>
      <c r="Z3" s="6">
        <f t="shared" si="2"/>
        <v>441.67999999999995</v>
      </c>
      <c r="AA3" t="s">
        <v>679</v>
      </c>
      <c r="AC3" s="5">
        <v>1</v>
      </c>
      <c r="AD3" t="s">
        <v>1096</v>
      </c>
      <c r="AE3" t="str">
        <f t="shared" si="3"/>
        <v>2025-10</v>
      </c>
      <c r="AF3" t="str">
        <f t="shared" si="4"/>
        <v>Q4-2025</v>
      </c>
    </row>
    <row r="4" spans="1:32" x14ac:dyDescent="0.3">
      <c r="A4" t="s">
        <v>1097</v>
      </c>
      <c r="B4" s="5">
        <v>2</v>
      </c>
      <c r="C4" s="4">
        <v>45323</v>
      </c>
      <c r="D4" s="4">
        <v>45333</v>
      </c>
      <c r="E4" t="s">
        <v>381</v>
      </c>
      <c r="F4" t="s">
        <v>382</v>
      </c>
      <c r="G4" t="s">
        <v>65</v>
      </c>
      <c r="H4" t="s">
        <v>31</v>
      </c>
      <c r="I4" t="s">
        <v>127</v>
      </c>
      <c r="J4" t="s">
        <v>1098</v>
      </c>
      <c r="K4" t="s">
        <v>1099</v>
      </c>
      <c r="L4" t="s">
        <v>1050</v>
      </c>
      <c r="M4" t="s">
        <v>1002</v>
      </c>
      <c r="N4" t="s">
        <v>1034</v>
      </c>
      <c r="O4" t="s">
        <v>1051</v>
      </c>
      <c r="P4" t="s">
        <v>17</v>
      </c>
      <c r="Q4" t="s">
        <v>18</v>
      </c>
      <c r="R4" t="s">
        <v>1094</v>
      </c>
      <c r="S4" t="s">
        <v>1100</v>
      </c>
      <c r="T4" s="5">
        <v>23</v>
      </c>
      <c r="U4" s="6">
        <v>158.58000000000001</v>
      </c>
      <c r="V4" s="6">
        <v>108.75</v>
      </c>
      <c r="W4" s="8">
        <v>0</v>
      </c>
      <c r="X4" s="6">
        <f t="shared" si="0"/>
        <v>3647.34</v>
      </c>
      <c r="Y4" s="6">
        <f t="shared" si="1"/>
        <v>2501.25</v>
      </c>
      <c r="Z4" s="6">
        <f t="shared" si="2"/>
        <v>1146.0900000000001</v>
      </c>
      <c r="AA4" t="s">
        <v>679</v>
      </c>
      <c r="AC4" s="5"/>
      <c r="AD4" t="s">
        <v>1101</v>
      </c>
      <c r="AE4" t="str">
        <f t="shared" si="3"/>
        <v>2024-02</v>
      </c>
      <c r="AF4" t="str">
        <f t="shared" si="4"/>
        <v>Q1-2024</v>
      </c>
    </row>
    <row r="5" spans="1:32" x14ac:dyDescent="0.3">
      <c r="A5" t="s">
        <v>1102</v>
      </c>
      <c r="B5" s="5">
        <v>3</v>
      </c>
      <c r="C5" s="4">
        <v>45869</v>
      </c>
      <c r="D5" s="4">
        <v>45881</v>
      </c>
      <c r="E5" t="s">
        <v>420</v>
      </c>
      <c r="F5" t="s">
        <v>421</v>
      </c>
      <c r="G5" t="s">
        <v>84</v>
      </c>
      <c r="H5" t="s">
        <v>23</v>
      </c>
      <c r="I5" t="s">
        <v>93</v>
      </c>
      <c r="J5" t="s">
        <v>1103</v>
      </c>
      <c r="K5" t="s">
        <v>1104</v>
      </c>
      <c r="L5" t="s">
        <v>1054</v>
      </c>
      <c r="M5" t="s">
        <v>1002</v>
      </c>
      <c r="N5" t="s">
        <v>1034</v>
      </c>
      <c r="O5" t="s">
        <v>1055</v>
      </c>
      <c r="P5" t="s">
        <v>50</v>
      </c>
      <c r="Q5" t="s">
        <v>51</v>
      </c>
      <c r="R5" t="s">
        <v>1088</v>
      </c>
      <c r="S5" t="s">
        <v>1089</v>
      </c>
      <c r="T5" s="5">
        <v>9</v>
      </c>
      <c r="U5" s="6">
        <v>283.29000000000002</v>
      </c>
      <c r="V5" s="6">
        <v>167.38</v>
      </c>
      <c r="W5" s="8">
        <v>0</v>
      </c>
      <c r="X5" s="6">
        <f t="shared" si="0"/>
        <v>2549.61</v>
      </c>
      <c r="Y5" s="6">
        <f t="shared" si="1"/>
        <v>1506.42</v>
      </c>
      <c r="Z5" s="6">
        <f t="shared" si="2"/>
        <v>1043.19</v>
      </c>
      <c r="AA5" t="s">
        <v>679</v>
      </c>
      <c r="AC5" s="5">
        <v>1</v>
      </c>
      <c r="AD5" t="s">
        <v>1105</v>
      </c>
      <c r="AE5" t="str">
        <f t="shared" si="3"/>
        <v>2025-07</v>
      </c>
      <c r="AF5" t="str">
        <f t="shared" si="4"/>
        <v>Q3-2025</v>
      </c>
    </row>
    <row r="6" spans="1:32" x14ac:dyDescent="0.3">
      <c r="A6" t="s">
        <v>1106</v>
      </c>
      <c r="B6" s="5">
        <v>2</v>
      </c>
      <c r="C6" s="4">
        <v>45437</v>
      </c>
      <c r="D6" s="4">
        <v>45440</v>
      </c>
      <c r="E6" t="s">
        <v>634</v>
      </c>
      <c r="F6" t="s">
        <v>635</v>
      </c>
      <c r="G6" t="s">
        <v>80</v>
      </c>
      <c r="H6" t="s">
        <v>41</v>
      </c>
      <c r="I6" t="s">
        <v>86</v>
      </c>
      <c r="J6" t="s">
        <v>1107</v>
      </c>
      <c r="K6" t="s">
        <v>1108</v>
      </c>
      <c r="L6" t="s">
        <v>756</v>
      </c>
      <c r="M6" t="s">
        <v>659</v>
      </c>
      <c r="N6" t="s">
        <v>754</v>
      </c>
      <c r="O6" t="s">
        <v>757</v>
      </c>
      <c r="P6" t="s">
        <v>48</v>
      </c>
      <c r="Q6" t="s">
        <v>49</v>
      </c>
      <c r="R6" t="s">
        <v>1088</v>
      </c>
      <c r="S6" t="s">
        <v>1109</v>
      </c>
      <c r="T6" s="5">
        <v>2</v>
      </c>
      <c r="U6" s="6">
        <v>8.24</v>
      </c>
      <c r="V6" s="6">
        <v>5</v>
      </c>
      <c r="W6" s="8">
        <v>0</v>
      </c>
      <c r="X6" s="6">
        <f t="shared" si="0"/>
        <v>16.48</v>
      </c>
      <c r="Y6" s="6">
        <f t="shared" si="1"/>
        <v>10</v>
      </c>
      <c r="Z6" s="6">
        <f t="shared" si="2"/>
        <v>6.48</v>
      </c>
      <c r="AA6" t="s">
        <v>679</v>
      </c>
      <c r="AC6" s="5">
        <v>1</v>
      </c>
      <c r="AD6" t="s">
        <v>1110</v>
      </c>
      <c r="AE6" t="str">
        <f t="shared" si="3"/>
        <v>2024-05</v>
      </c>
      <c r="AF6" t="str">
        <f t="shared" si="4"/>
        <v>Q2-2024</v>
      </c>
    </row>
    <row r="7" spans="1:32" x14ac:dyDescent="0.3">
      <c r="A7" t="s">
        <v>1111</v>
      </c>
      <c r="B7" s="5">
        <v>4</v>
      </c>
      <c r="C7" s="4">
        <v>45736</v>
      </c>
      <c r="D7" s="4">
        <v>45743</v>
      </c>
      <c r="E7" t="s">
        <v>119</v>
      </c>
      <c r="F7" t="s">
        <v>120</v>
      </c>
      <c r="G7" t="s">
        <v>84</v>
      </c>
      <c r="H7" t="s">
        <v>20</v>
      </c>
      <c r="I7" t="s">
        <v>71</v>
      </c>
      <c r="J7" t="s">
        <v>1112</v>
      </c>
      <c r="K7" t="s">
        <v>1113</v>
      </c>
      <c r="L7" t="s">
        <v>830</v>
      </c>
      <c r="M7" t="s">
        <v>795</v>
      </c>
      <c r="N7" t="s">
        <v>796</v>
      </c>
      <c r="O7" t="s">
        <v>831</v>
      </c>
      <c r="P7" t="s">
        <v>48</v>
      </c>
      <c r="Q7" t="s">
        <v>49</v>
      </c>
      <c r="R7" t="s">
        <v>1114</v>
      </c>
      <c r="S7" t="s">
        <v>1109</v>
      </c>
      <c r="T7" s="5">
        <v>21</v>
      </c>
      <c r="U7" s="6">
        <v>176.7</v>
      </c>
      <c r="V7" s="6">
        <v>121.11</v>
      </c>
      <c r="W7" s="8">
        <v>6.25E-2</v>
      </c>
      <c r="X7" s="6">
        <f t="shared" si="0"/>
        <v>3478.78125</v>
      </c>
      <c r="Y7" s="6">
        <f t="shared" si="1"/>
        <v>2543.31</v>
      </c>
      <c r="Z7" s="6">
        <f t="shared" si="2"/>
        <v>935.47125000000005</v>
      </c>
      <c r="AA7" t="s">
        <v>679</v>
      </c>
      <c r="AC7" s="5">
        <v>1</v>
      </c>
      <c r="AE7" t="str">
        <f t="shared" si="3"/>
        <v>2025-03</v>
      </c>
      <c r="AF7" t="str">
        <f t="shared" si="4"/>
        <v>Q1-2025</v>
      </c>
    </row>
    <row r="8" spans="1:32" x14ac:dyDescent="0.3">
      <c r="A8" t="s">
        <v>1115</v>
      </c>
      <c r="B8" s="5">
        <v>3</v>
      </c>
      <c r="C8" s="4">
        <v>45763</v>
      </c>
      <c r="D8" s="4">
        <v>45774</v>
      </c>
      <c r="E8" t="s">
        <v>596</v>
      </c>
      <c r="F8" t="s">
        <v>355</v>
      </c>
      <c r="G8" t="s">
        <v>84</v>
      </c>
      <c r="H8" t="s">
        <v>31</v>
      </c>
      <c r="I8" t="s">
        <v>127</v>
      </c>
      <c r="J8" t="s">
        <v>1116</v>
      </c>
      <c r="K8" t="s">
        <v>1117</v>
      </c>
      <c r="L8" t="s">
        <v>918</v>
      </c>
      <c r="M8" t="s">
        <v>795</v>
      </c>
      <c r="N8" t="s">
        <v>898</v>
      </c>
      <c r="O8" t="s">
        <v>919</v>
      </c>
      <c r="P8" t="s">
        <v>32</v>
      </c>
      <c r="Q8" t="s">
        <v>33</v>
      </c>
      <c r="R8" t="s">
        <v>1114</v>
      </c>
      <c r="S8" t="s">
        <v>1109</v>
      </c>
      <c r="T8" s="5">
        <v>1</v>
      </c>
      <c r="U8" s="6">
        <v>193.07</v>
      </c>
      <c r="V8" s="6">
        <v>157.71</v>
      </c>
      <c r="W8" s="8">
        <v>0</v>
      </c>
      <c r="X8" s="6">
        <f t="shared" si="0"/>
        <v>193.07</v>
      </c>
      <c r="Y8" s="6">
        <f t="shared" si="1"/>
        <v>157.71</v>
      </c>
      <c r="Z8" s="6">
        <f t="shared" si="2"/>
        <v>35.359999999999985</v>
      </c>
      <c r="AA8" t="s">
        <v>679</v>
      </c>
      <c r="AC8" s="5">
        <v>3</v>
      </c>
      <c r="AE8" t="str">
        <f t="shared" si="3"/>
        <v>2025-04</v>
      </c>
      <c r="AF8" t="str">
        <f t="shared" si="4"/>
        <v>Q2-2025</v>
      </c>
    </row>
    <row r="9" spans="1:32" x14ac:dyDescent="0.3">
      <c r="A9" t="s">
        <v>1118</v>
      </c>
      <c r="B9" s="5">
        <v>3</v>
      </c>
      <c r="C9" s="4">
        <v>45844</v>
      </c>
      <c r="D9" s="4">
        <v>45853</v>
      </c>
      <c r="E9" t="s">
        <v>132</v>
      </c>
      <c r="F9" t="s">
        <v>133</v>
      </c>
      <c r="G9" t="s">
        <v>74</v>
      </c>
      <c r="H9" t="s">
        <v>23</v>
      </c>
      <c r="I9" t="s">
        <v>81</v>
      </c>
      <c r="J9" t="s">
        <v>1119</v>
      </c>
      <c r="K9" t="s">
        <v>1120</v>
      </c>
      <c r="L9" t="s">
        <v>1025</v>
      </c>
      <c r="M9" t="s">
        <v>1002</v>
      </c>
      <c r="N9" t="s">
        <v>1003</v>
      </c>
      <c r="O9" t="s">
        <v>1026</v>
      </c>
      <c r="P9" t="s">
        <v>21</v>
      </c>
      <c r="Q9" t="s">
        <v>22</v>
      </c>
      <c r="R9" t="s">
        <v>1094</v>
      </c>
      <c r="S9" t="s">
        <v>1095</v>
      </c>
      <c r="T9" s="5">
        <v>15</v>
      </c>
      <c r="U9" s="6">
        <v>291.24</v>
      </c>
      <c r="V9" s="6">
        <v>211.46</v>
      </c>
      <c r="W9" s="8">
        <v>0</v>
      </c>
      <c r="X9" s="6">
        <f t="shared" si="0"/>
        <v>4368.6000000000004</v>
      </c>
      <c r="Y9" s="6">
        <f t="shared" si="1"/>
        <v>3171.9</v>
      </c>
      <c r="Z9" s="6">
        <f t="shared" si="2"/>
        <v>1196.7000000000003</v>
      </c>
      <c r="AA9" t="s">
        <v>679</v>
      </c>
      <c r="AC9" s="5">
        <v>5</v>
      </c>
      <c r="AD9" t="s">
        <v>1110</v>
      </c>
      <c r="AE9" t="str">
        <f t="shared" si="3"/>
        <v>2025-07</v>
      </c>
      <c r="AF9" t="str">
        <f t="shared" si="4"/>
        <v>Q3-2025</v>
      </c>
    </row>
    <row r="10" spans="1:32" x14ac:dyDescent="0.3">
      <c r="A10" t="s">
        <v>1121</v>
      </c>
      <c r="B10" s="5">
        <v>5</v>
      </c>
      <c r="C10" s="4">
        <v>45929</v>
      </c>
      <c r="D10" s="4">
        <v>45930</v>
      </c>
      <c r="E10" t="s">
        <v>192</v>
      </c>
      <c r="F10" t="s">
        <v>193</v>
      </c>
      <c r="G10" t="s">
        <v>80</v>
      </c>
      <c r="H10" t="s">
        <v>41</v>
      </c>
      <c r="I10" t="s">
        <v>86</v>
      </c>
      <c r="J10" t="s">
        <v>1086</v>
      </c>
      <c r="K10" t="s">
        <v>1087</v>
      </c>
      <c r="L10" t="s">
        <v>936</v>
      </c>
      <c r="M10" t="s">
        <v>929</v>
      </c>
      <c r="N10" t="s">
        <v>930</v>
      </c>
      <c r="O10" t="s">
        <v>937</v>
      </c>
      <c r="P10" t="s">
        <v>27</v>
      </c>
      <c r="Q10" t="s">
        <v>28</v>
      </c>
      <c r="R10" t="s">
        <v>1088</v>
      </c>
      <c r="S10" t="s">
        <v>1095</v>
      </c>
      <c r="T10" s="5">
        <v>5</v>
      </c>
      <c r="U10" s="6">
        <v>188.62</v>
      </c>
      <c r="V10" s="6">
        <v>133.72</v>
      </c>
      <c r="W10" s="8">
        <v>0.24709999999999999</v>
      </c>
      <c r="X10" s="6">
        <f t="shared" si="0"/>
        <v>710.05999000000008</v>
      </c>
      <c r="Y10" s="6">
        <f t="shared" si="1"/>
        <v>668.6</v>
      </c>
      <c r="Z10" s="6">
        <f t="shared" si="2"/>
        <v>41.459990000000062</v>
      </c>
      <c r="AA10" t="s">
        <v>662</v>
      </c>
      <c r="AB10" t="s">
        <v>1122</v>
      </c>
      <c r="AC10" s="5">
        <v>1</v>
      </c>
      <c r="AD10" t="s">
        <v>1123</v>
      </c>
      <c r="AE10" t="str">
        <f t="shared" si="3"/>
        <v>2025-09</v>
      </c>
      <c r="AF10" t="str">
        <f t="shared" si="4"/>
        <v>Q3-2025</v>
      </c>
    </row>
    <row r="11" spans="1:32" x14ac:dyDescent="0.3">
      <c r="A11" t="s">
        <v>1124</v>
      </c>
      <c r="B11" s="5">
        <v>2</v>
      </c>
      <c r="C11" s="4">
        <v>45389</v>
      </c>
      <c r="D11" s="4">
        <v>45401</v>
      </c>
      <c r="E11" t="s">
        <v>186</v>
      </c>
      <c r="F11" t="s">
        <v>187</v>
      </c>
      <c r="G11" t="s">
        <v>65</v>
      </c>
      <c r="H11" t="s">
        <v>31</v>
      </c>
      <c r="I11" t="s">
        <v>160</v>
      </c>
      <c r="J11" t="s">
        <v>1125</v>
      </c>
      <c r="K11" t="s">
        <v>1126</v>
      </c>
      <c r="L11" t="s">
        <v>816</v>
      </c>
      <c r="M11" t="s">
        <v>795</v>
      </c>
      <c r="N11" t="s">
        <v>796</v>
      </c>
      <c r="O11" t="s">
        <v>817</v>
      </c>
      <c r="P11" t="s">
        <v>29</v>
      </c>
      <c r="Q11" t="s">
        <v>30</v>
      </c>
      <c r="R11" t="s">
        <v>1094</v>
      </c>
      <c r="S11" t="s">
        <v>1109</v>
      </c>
      <c r="T11" s="5">
        <v>8</v>
      </c>
      <c r="U11" s="6">
        <v>166.81</v>
      </c>
      <c r="V11" s="6">
        <v>110.31</v>
      </c>
      <c r="W11" s="8"/>
      <c r="X11" s="6">
        <f t="shared" si="0"/>
        <v>1334.48</v>
      </c>
      <c r="Y11" s="6">
        <f t="shared" si="1"/>
        <v>882.48</v>
      </c>
      <c r="Z11" s="6">
        <f t="shared" si="2"/>
        <v>452</v>
      </c>
      <c r="AA11" t="s">
        <v>679</v>
      </c>
      <c r="AC11" s="5"/>
      <c r="AD11" t="s">
        <v>1110</v>
      </c>
      <c r="AE11" t="str">
        <f t="shared" si="3"/>
        <v>2024-04</v>
      </c>
      <c r="AF11" t="str">
        <f t="shared" si="4"/>
        <v>Q2-2024</v>
      </c>
    </row>
    <row r="12" spans="1:32" x14ac:dyDescent="0.3">
      <c r="A12" t="s">
        <v>1127</v>
      </c>
      <c r="B12" s="5">
        <v>5</v>
      </c>
      <c r="C12" s="4">
        <v>45571</v>
      </c>
      <c r="D12" s="4">
        <v>45585</v>
      </c>
      <c r="E12" t="s">
        <v>455</v>
      </c>
      <c r="F12" t="s">
        <v>456</v>
      </c>
      <c r="G12" t="s">
        <v>65</v>
      </c>
      <c r="H12" t="s">
        <v>31</v>
      </c>
      <c r="I12" t="s">
        <v>67</v>
      </c>
      <c r="J12" t="s">
        <v>1128</v>
      </c>
      <c r="K12" t="s">
        <v>1129</v>
      </c>
      <c r="L12" t="s">
        <v>871</v>
      </c>
      <c r="M12" t="s">
        <v>795</v>
      </c>
      <c r="N12" t="s">
        <v>837</v>
      </c>
      <c r="O12" t="s">
        <v>872</v>
      </c>
      <c r="P12" t="s">
        <v>37</v>
      </c>
      <c r="Q12" t="s">
        <v>38</v>
      </c>
      <c r="R12" t="s">
        <v>1088</v>
      </c>
      <c r="S12" t="s">
        <v>1095</v>
      </c>
      <c r="T12" s="5">
        <v>38</v>
      </c>
      <c r="U12" s="6">
        <v>131.71</v>
      </c>
      <c r="V12" s="6">
        <v>98.29</v>
      </c>
      <c r="W12" s="8">
        <v>0</v>
      </c>
      <c r="X12" s="6">
        <f t="shared" si="0"/>
        <v>5004.9800000000005</v>
      </c>
      <c r="Y12" s="6">
        <f t="shared" si="1"/>
        <v>3735.0200000000004</v>
      </c>
      <c r="Z12" s="6">
        <f t="shared" si="2"/>
        <v>1269.96</v>
      </c>
      <c r="AA12" t="s">
        <v>679</v>
      </c>
      <c r="AC12" s="5"/>
      <c r="AD12" t="s">
        <v>1130</v>
      </c>
      <c r="AE12" t="str">
        <f t="shared" si="3"/>
        <v>2024-10</v>
      </c>
      <c r="AF12" t="str">
        <f t="shared" si="4"/>
        <v>Q4-2024</v>
      </c>
    </row>
    <row r="13" spans="1:32" x14ac:dyDescent="0.3">
      <c r="A13" t="s">
        <v>1131</v>
      </c>
      <c r="B13" s="5">
        <v>5</v>
      </c>
      <c r="C13" s="4">
        <v>45991</v>
      </c>
      <c r="D13" s="4">
        <v>45998</v>
      </c>
      <c r="E13" t="s">
        <v>463</v>
      </c>
      <c r="F13" t="s">
        <v>464</v>
      </c>
      <c r="G13" t="s">
        <v>104</v>
      </c>
      <c r="H13" t="s">
        <v>31</v>
      </c>
      <c r="I13" t="s">
        <v>160</v>
      </c>
      <c r="J13" t="s">
        <v>1125</v>
      </c>
      <c r="K13" t="s">
        <v>1132</v>
      </c>
      <c r="L13" t="s">
        <v>1046</v>
      </c>
      <c r="M13" t="s">
        <v>1002</v>
      </c>
      <c r="N13" t="s">
        <v>1034</v>
      </c>
      <c r="O13" t="s">
        <v>1047</v>
      </c>
      <c r="P13" t="s">
        <v>53</v>
      </c>
      <c r="Q13" t="s">
        <v>54</v>
      </c>
      <c r="R13" t="s">
        <v>1088</v>
      </c>
      <c r="S13" t="s">
        <v>1100</v>
      </c>
      <c r="T13" s="5">
        <v>4</v>
      </c>
      <c r="U13" s="6">
        <v>267.23</v>
      </c>
      <c r="V13" s="6">
        <v>153.29</v>
      </c>
      <c r="W13" s="8">
        <v>0</v>
      </c>
      <c r="X13" s="6">
        <f t="shared" si="0"/>
        <v>1068.92</v>
      </c>
      <c r="Y13" s="6">
        <f t="shared" si="1"/>
        <v>613.16</v>
      </c>
      <c r="Z13" s="6">
        <f t="shared" si="2"/>
        <v>455.7600000000001</v>
      </c>
      <c r="AA13" t="s">
        <v>679</v>
      </c>
      <c r="AC13" s="5">
        <v>3</v>
      </c>
      <c r="AD13" t="s">
        <v>1101</v>
      </c>
      <c r="AE13" t="str">
        <f t="shared" si="3"/>
        <v>2025-11</v>
      </c>
      <c r="AF13" t="str">
        <f t="shared" si="4"/>
        <v>Q4-2025</v>
      </c>
    </row>
    <row r="14" spans="1:32" x14ac:dyDescent="0.3">
      <c r="A14" t="s">
        <v>1133</v>
      </c>
      <c r="B14" s="5">
        <v>1</v>
      </c>
      <c r="C14" s="4">
        <v>45740</v>
      </c>
      <c r="D14" s="4">
        <v>45750</v>
      </c>
      <c r="E14" t="s">
        <v>558</v>
      </c>
      <c r="F14" t="s">
        <v>1134</v>
      </c>
      <c r="G14" t="s">
        <v>74</v>
      </c>
      <c r="H14" t="s">
        <v>31</v>
      </c>
      <c r="I14" t="s">
        <v>160</v>
      </c>
      <c r="J14" t="s">
        <v>1092</v>
      </c>
      <c r="K14" t="s">
        <v>1135</v>
      </c>
      <c r="L14" t="s">
        <v>954</v>
      </c>
      <c r="M14" t="s">
        <v>929</v>
      </c>
      <c r="N14" t="s">
        <v>930</v>
      </c>
      <c r="O14" t="s">
        <v>955</v>
      </c>
      <c r="P14" t="s">
        <v>53</v>
      </c>
      <c r="Q14" t="s">
        <v>54</v>
      </c>
      <c r="R14" t="s">
        <v>126</v>
      </c>
      <c r="S14" t="s">
        <v>1109</v>
      </c>
      <c r="T14" s="5">
        <v>19</v>
      </c>
      <c r="U14" s="6">
        <v>171.57</v>
      </c>
      <c r="V14" s="6">
        <v>99.65</v>
      </c>
      <c r="W14" s="8">
        <v>0</v>
      </c>
      <c r="X14" s="6">
        <f t="shared" si="0"/>
        <v>3259.83</v>
      </c>
      <c r="Y14" s="6">
        <f t="shared" si="1"/>
        <v>1893.3500000000001</v>
      </c>
      <c r="Z14" s="6">
        <f t="shared" si="2"/>
        <v>1366.4799999999998</v>
      </c>
      <c r="AA14" t="s">
        <v>679</v>
      </c>
      <c r="AC14" s="5">
        <v>2</v>
      </c>
      <c r="AD14" t="s">
        <v>1136</v>
      </c>
      <c r="AE14" t="str">
        <f t="shared" si="3"/>
        <v>2025-03</v>
      </c>
      <c r="AF14" t="str">
        <f t="shared" si="4"/>
        <v>Q1-2025</v>
      </c>
    </row>
    <row r="15" spans="1:32" x14ac:dyDescent="0.3">
      <c r="A15" t="s">
        <v>1137</v>
      </c>
      <c r="B15" s="5">
        <v>5</v>
      </c>
      <c r="C15" s="4">
        <v>45955</v>
      </c>
      <c r="D15" s="4">
        <v>45961</v>
      </c>
      <c r="E15" t="s">
        <v>320</v>
      </c>
      <c r="F15" t="s">
        <v>321</v>
      </c>
      <c r="G15" t="s">
        <v>104</v>
      </c>
      <c r="H15" t="s">
        <v>23</v>
      </c>
      <c r="I15" t="s">
        <v>109</v>
      </c>
      <c r="J15" t="s">
        <v>1138</v>
      </c>
      <c r="K15" t="s">
        <v>1139</v>
      </c>
      <c r="L15" t="s">
        <v>895</v>
      </c>
      <c r="M15" t="s">
        <v>795</v>
      </c>
      <c r="N15" t="s">
        <v>837</v>
      </c>
      <c r="O15" t="s">
        <v>896</v>
      </c>
      <c r="P15" t="s">
        <v>21</v>
      </c>
      <c r="Q15" t="s">
        <v>22</v>
      </c>
      <c r="R15" t="s">
        <v>1114</v>
      </c>
      <c r="S15" t="s">
        <v>1095</v>
      </c>
      <c r="T15" s="5">
        <v>4</v>
      </c>
      <c r="U15" s="6">
        <v>189.47</v>
      </c>
      <c r="V15" s="6">
        <v>131.16</v>
      </c>
      <c r="W15" s="8">
        <v>0</v>
      </c>
      <c r="X15" s="6">
        <f t="shared" si="0"/>
        <v>757.88</v>
      </c>
      <c r="Y15" s="6">
        <f t="shared" si="1"/>
        <v>524.64</v>
      </c>
      <c r="Z15" s="6">
        <f t="shared" si="2"/>
        <v>233.24</v>
      </c>
      <c r="AA15" t="s">
        <v>679</v>
      </c>
      <c r="AC15" s="5">
        <v>5</v>
      </c>
      <c r="AD15" t="s">
        <v>1140</v>
      </c>
      <c r="AE15" t="str">
        <f t="shared" si="3"/>
        <v>2025-10</v>
      </c>
      <c r="AF15" t="str">
        <f t="shared" si="4"/>
        <v>Q4-2025</v>
      </c>
    </row>
    <row r="16" spans="1:32" x14ac:dyDescent="0.3">
      <c r="A16" t="s">
        <v>1141</v>
      </c>
      <c r="B16" s="5">
        <v>4</v>
      </c>
      <c r="C16" s="4">
        <v>45646</v>
      </c>
      <c r="D16" s="4">
        <v>45651</v>
      </c>
      <c r="E16" t="s">
        <v>309</v>
      </c>
      <c r="F16" t="s">
        <v>220</v>
      </c>
      <c r="G16" t="s">
        <v>74</v>
      </c>
      <c r="H16" t="s">
        <v>41</v>
      </c>
      <c r="I16" t="s">
        <v>75</v>
      </c>
      <c r="J16" t="s">
        <v>1142</v>
      </c>
      <c r="K16" t="s">
        <v>1143</v>
      </c>
      <c r="L16" t="s">
        <v>1009</v>
      </c>
      <c r="M16" t="s">
        <v>1002</v>
      </c>
      <c r="N16" t="s">
        <v>1003</v>
      </c>
      <c r="O16" t="s">
        <v>1010</v>
      </c>
      <c r="P16" t="s">
        <v>32</v>
      </c>
      <c r="Q16" t="s">
        <v>33</v>
      </c>
      <c r="R16" t="s">
        <v>1114</v>
      </c>
      <c r="S16" t="s">
        <v>1109</v>
      </c>
      <c r="T16" s="5">
        <v>27</v>
      </c>
      <c r="U16" s="6">
        <v>239.14</v>
      </c>
      <c r="V16" s="6">
        <v>126.23</v>
      </c>
      <c r="W16" s="8">
        <v>0</v>
      </c>
      <c r="X16" s="6">
        <f t="shared" si="0"/>
        <v>6456.78</v>
      </c>
      <c r="Y16" s="6">
        <f t="shared" si="1"/>
        <v>3408.21</v>
      </c>
      <c r="Z16" s="6">
        <f t="shared" si="2"/>
        <v>3048.5699999999997</v>
      </c>
      <c r="AA16" t="s">
        <v>679</v>
      </c>
      <c r="AC16" s="5">
        <v>1</v>
      </c>
      <c r="AE16" t="str">
        <f t="shared" si="3"/>
        <v>2024-12</v>
      </c>
      <c r="AF16" t="str">
        <f t="shared" si="4"/>
        <v>Q4-2024</v>
      </c>
    </row>
    <row r="17" spans="1:32" x14ac:dyDescent="0.3">
      <c r="A17" t="s">
        <v>1144</v>
      </c>
      <c r="B17" s="5">
        <v>4</v>
      </c>
      <c r="C17" s="4">
        <v>45440</v>
      </c>
      <c r="D17" s="4">
        <v>45453</v>
      </c>
      <c r="E17" t="s">
        <v>492</v>
      </c>
      <c r="F17" t="s">
        <v>493</v>
      </c>
      <c r="G17" t="s">
        <v>74</v>
      </c>
      <c r="H17" t="s">
        <v>23</v>
      </c>
      <c r="I17" t="s">
        <v>109</v>
      </c>
      <c r="J17" t="s">
        <v>1145</v>
      </c>
      <c r="K17" t="s">
        <v>1146</v>
      </c>
      <c r="L17" t="s">
        <v>760</v>
      </c>
      <c r="M17" t="s">
        <v>659</v>
      </c>
      <c r="N17" t="s">
        <v>754</v>
      </c>
      <c r="O17" t="s">
        <v>761</v>
      </c>
      <c r="P17" t="s">
        <v>21</v>
      </c>
      <c r="Q17" t="s">
        <v>22</v>
      </c>
      <c r="R17" t="s">
        <v>126</v>
      </c>
      <c r="S17" t="s">
        <v>1095</v>
      </c>
      <c r="T17" s="5">
        <v>12</v>
      </c>
      <c r="U17" s="6">
        <v>114.5</v>
      </c>
      <c r="V17" s="6">
        <v>81.96</v>
      </c>
      <c r="W17" s="8">
        <v>0</v>
      </c>
      <c r="X17" s="6">
        <f t="shared" si="0"/>
        <v>1374</v>
      </c>
      <c r="Y17" s="6">
        <f t="shared" si="1"/>
        <v>983.52</v>
      </c>
      <c r="Z17" s="6">
        <f t="shared" si="2"/>
        <v>390.48</v>
      </c>
      <c r="AA17" t="s">
        <v>679</v>
      </c>
      <c r="AC17" s="5"/>
      <c r="AD17" t="s">
        <v>1096</v>
      </c>
      <c r="AE17" t="str">
        <f t="shared" si="3"/>
        <v>2024-05</v>
      </c>
      <c r="AF17" t="str">
        <f t="shared" si="4"/>
        <v>Q2-2024</v>
      </c>
    </row>
    <row r="18" spans="1:32" x14ac:dyDescent="0.3">
      <c r="A18" t="s">
        <v>1147</v>
      </c>
      <c r="B18" s="5">
        <v>4</v>
      </c>
      <c r="C18" s="4">
        <v>45301</v>
      </c>
      <c r="D18" s="4">
        <v>45309</v>
      </c>
      <c r="E18" t="s">
        <v>621</v>
      </c>
      <c r="F18" t="s">
        <v>191</v>
      </c>
      <c r="G18" t="s">
        <v>84</v>
      </c>
      <c r="H18" t="s">
        <v>41</v>
      </c>
      <c r="I18" t="s">
        <v>75</v>
      </c>
      <c r="J18" t="s">
        <v>1142</v>
      </c>
      <c r="K18" t="s">
        <v>1143</v>
      </c>
      <c r="L18" t="s">
        <v>966</v>
      </c>
      <c r="M18" t="s">
        <v>929</v>
      </c>
      <c r="N18" t="s">
        <v>930</v>
      </c>
      <c r="O18" t="s">
        <v>967</v>
      </c>
      <c r="P18" t="s">
        <v>24</v>
      </c>
      <c r="Q18" t="s">
        <v>25</v>
      </c>
      <c r="R18" t="s">
        <v>1114</v>
      </c>
      <c r="S18" t="s">
        <v>1109</v>
      </c>
      <c r="T18" s="5">
        <v>10</v>
      </c>
      <c r="U18" s="6">
        <v>133.74</v>
      </c>
      <c r="V18" s="6">
        <v>83.16</v>
      </c>
      <c r="W18" s="8">
        <v>0.18640000000000001</v>
      </c>
      <c r="X18" s="6">
        <f t="shared" si="0"/>
        <v>1088.1086400000002</v>
      </c>
      <c r="Y18" s="6">
        <f t="shared" si="1"/>
        <v>831.59999999999991</v>
      </c>
      <c r="Z18" s="6">
        <f t="shared" si="2"/>
        <v>256.50864000000024</v>
      </c>
      <c r="AA18" t="s">
        <v>679</v>
      </c>
      <c r="AC18" s="5"/>
      <c r="AD18" t="s">
        <v>1148</v>
      </c>
      <c r="AE18" t="str">
        <f t="shared" si="3"/>
        <v>2024-01</v>
      </c>
      <c r="AF18" t="str">
        <f t="shared" si="4"/>
        <v>Q1-2024</v>
      </c>
    </row>
    <row r="19" spans="1:32" x14ac:dyDescent="0.3">
      <c r="A19" t="s">
        <v>1149</v>
      </c>
      <c r="B19" s="5">
        <v>3</v>
      </c>
      <c r="C19" s="4">
        <v>45760</v>
      </c>
      <c r="D19" s="4">
        <v>45772</v>
      </c>
      <c r="E19" t="s">
        <v>496</v>
      </c>
      <c r="F19" t="s">
        <v>497</v>
      </c>
      <c r="G19" t="s">
        <v>84</v>
      </c>
      <c r="H19" t="s">
        <v>31</v>
      </c>
      <c r="I19" t="s">
        <v>160</v>
      </c>
      <c r="J19" t="s">
        <v>1092</v>
      </c>
      <c r="K19" t="s">
        <v>1150</v>
      </c>
      <c r="L19" t="s">
        <v>1050</v>
      </c>
      <c r="M19" t="s">
        <v>1002</v>
      </c>
      <c r="N19" t="s">
        <v>1034</v>
      </c>
      <c r="O19" t="s">
        <v>1051</v>
      </c>
      <c r="P19" t="s">
        <v>53</v>
      </c>
      <c r="Q19" t="s">
        <v>54</v>
      </c>
      <c r="R19" t="s">
        <v>1094</v>
      </c>
      <c r="S19" t="s">
        <v>1109</v>
      </c>
      <c r="T19" s="5">
        <v>6</v>
      </c>
      <c r="U19" s="6">
        <v>196.79</v>
      </c>
      <c r="V19" s="6">
        <v>108.75</v>
      </c>
      <c r="W19" s="8">
        <v>0</v>
      </c>
      <c r="X19" s="6">
        <f t="shared" si="0"/>
        <v>1180.74</v>
      </c>
      <c r="Y19" s="6">
        <f t="shared" si="1"/>
        <v>652.5</v>
      </c>
      <c r="Z19" s="6">
        <f t="shared" si="2"/>
        <v>528.24</v>
      </c>
      <c r="AA19" t="s">
        <v>679</v>
      </c>
      <c r="AC19" s="5">
        <v>3</v>
      </c>
      <c r="AD19" t="s">
        <v>1123</v>
      </c>
      <c r="AE19" t="str">
        <f t="shared" si="3"/>
        <v>2025-04</v>
      </c>
      <c r="AF19" t="str">
        <f t="shared" si="4"/>
        <v>Q2-2025</v>
      </c>
    </row>
    <row r="20" spans="1:32" x14ac:dyDescent="0.3">
      <c r="A20" t="s">
        <v>1151</v>
      </c>
      <c r="B20" s="5">
        <v>5</v>
      </c>
      <c r="C20" s="4">
        <v>45881</v>
      </c>
      <c r="D20" s="4">
        <v>45891</v>
      </c>
      <c r="E20" t="s">
        <v>605</v>
      </c>
      <c r="F20" t="s">
        <v>1152</v>
      </c>
      <c r="G20" t="s">
        <v>74</v>
      </c>
      <c r="H20" t="s">
        <v>31</v>
      </c>
      <c r="I20" t="s">
        <v>127</v>
      </c>
      <c r="J20" t="s">
        <v>1116</v>
      </c>
      <c r="K20" t="s">
        <v>1153</v>
      </c>
      <c r="L20" t="s">
        <v>717</v>
      </c>
      <c r="M20" t="s">
        <v>659</v>
      </c>
      <c r="N20" t="s">
        <v>713</v>
      </c>
      <c r="O20" t="s">
        <v>718</v>
      </c>
      <c r="P20" t="s">
        <v>17</v>
      </c>
      <c r="Q20" t="s">
        <v>18</v>
      </c>
      <c r="R20" t="s">
        <v>1088</v>
      </c>
      <c r="S20" t="s">
        <v>1109</v>
      </c>
      <c r="T20" s="5">
        <v>2</v>
      </c>
      <c r="U20" s="6">
        <v>7.18</v>
      </c>
      <c r="V20" s="6">
        <v>5</v>
      </c>
      <c r="W20" s="8">
        <v>0</v>
      </c>
      <c r="X20" s="6">
        <f t="shared" si="0"/>
        <v>14.36</v>
      </c>
      <c r="Y20" s="6">
        <f t="shared" si="1"/>
        <v>10</v>
      </c>
      <c r="Z20" s="6">
        <f t="shared" si="2"/>
        <v>4.3599999999999994</v>
      </c>
      <c r="AA20" t="s">
        <v>679</v>
      </c>
      <c r="AC20" s="5"/>
      <c r="AD20" t="s">
        <v>1154</v>
      </c>
      <c r="AE20" t="str">
        <f t="shared" si="3"/>
        <v>2025-08</v>
      </c>
      <c r="AF20" t="str">
        <f t="shared" si="4"/>
        <v>Q3-2025</v>
      </c>
    </row>
    <row r="21" spans="1:32" x14ac:dyDescent="0.3">
      <c r="A21" t="s">
        <v>1155</v>
      </c>
      <c r="B21" s="5">
        <v>1</v>
      </c>
      <c r="C21" s="4">
        <v>45927</v>
      </c>
      <c r="D21" s="4">
        <v>45940</v>
      </c>
      <c r="E21" t="s">
        <v>628</v>
      </c>
      <c r="F21" t="s">
        <v>629</v>
      </c>
      <c r="G21" t="s">
        <v>65</v>
      </c>
      <c r="H21" t="s">
        <v>20</v>
      </c>
      <c r="I21" t="s">
        <v>71</v>
      </c>
      <c r="J21" t="s">
        <v>1112</v>
      </c>
      <c r="K21" t="s">
        <v>1113</v>
      </c>
      <c r="L21" t="s">
        <v>928</v>
      </c>
      <c r="M21" t="s">
        <v>929</v>
      </c>
      <c r="N21" t="s">
        <v>930</v>
      </c>
      <c r="O21" t="s">
        <v>931</v>
      </c>
      <c r="P21" t="s">
        <v>48</v>
      </c>
      <c r="Q21" t="s">
        <v>49</v>
      </c>
      <c r="R21" t="s">
        <v>1114</v>
      </c>
      <c r="S21" t="s">
        <v>1156</v>
      </c>
      <c r="T21" s="5">
        <v>10</v>
      </c>
      <c r="U21" s="6">
        <v>209.99</v>
      </c>
      <c r="V21" s="6">
        <v>130.21</v>
      </c>
      <c r="W21" s="8">
        <v>0</v>
      </c>
      <c r="X21" s="6">
        <f t="shared" si="0"/>
        <v>2099.9</v>
      </c>
      <c r="Y21" s="6">
        <f t="shared" si="1"/>
        <v>1302.1000000000001</v>
      </c>
      <c r="Z21" s="6">
        <f t="shared" si="2"/>
        <v>797.8</v>
      </c>
      <c r="AA21" t="s">
        <v>679</v>
      </c>
      <c r="AC21" s="5"/>
      <c r="AD21" t="s">
        <v>1090</v>
      </c>
      <c r="AE21" t="str">
        <f t="shared" si="3"/>
        <v>2025-09</v>
      </c>
      <c r="AF21" t="str">
        <f t="shared" si="4"/>
        <v>Q3-2025</v>
      </c>
    </row>
    <row r="22" spans="1:32" x14ac:dyDescent="0.3">
      <c r="A22" t="s">
        <v>1157</v>
      </c>
      <c r="B22" s="5">
        <v>3</v>
      </c>
      <c r="C22" s="4">
        <v>45899</v>
      </c>
      <c r="D22" s="4">
        <v>45907</v>
      </c>
      <c r="E22" t="s">
        <v>281</v>
      </c>
      <c r="F22" t="s">
        <v>282</v>
      </c>
      <c r="G22" t="s">
        <v>80</v>
      </c>
      <c r="H22" t="s">
        <v>20</v>
      </c>
      <c r="I22" t="s">
        <v>112</v>
      </c>
      <c r="J22" t="s">
        <v>1158</v>
      </c>
      <c r="K22" t="s">
        <v>1159</v>
      </c>
      <c r="L22" t="s">
        <v>1021</v>
      </c>
      <c r="M22" t="s">
        <v>1002</v>
      </c>
      <c r="N22" t="s">
        <v>1003</v>
      </c>
      <c r="O22" t="s">
        <v>1022</v>
      </c>
      <c r="P22" t="s">
        <v>21</v>
      </c>
      <c r="Q22" t="s">
        <v>22</v>
      </c>
      <c r="R22" t="s">
        <v>1088</v>
      </c>
      <c r="S22" t="s">
        <v>1109</v>
      </c>
      <c r="T22" s="5">
        <v>14</v>
      </c>
      <c r="U22" s="6">
        <v>174.08</v>
      </c>
      <c r="V22" s="6">
        <v>154.5</v>
      </c>
      <c r="W22" s="8">
        <v>0</v>
      </c>
      <c r="X22" s="6">
        <f t="shared" si="0"/>
        <v>2437.1200000000003</v>
      </c>
      <c r="Y22" s="6">
        <f t="shared" si="1"/>
        <v>2163</v>
      </c>
      <c r="Z22" s="6">
        <f t="shared" si="2"/>
        <v>274.12000000000035</v>
      </c>
      <c r="AA22" t="s">
        <v>679</v>
      </c>
      <c r="AC22" s="5">
        <v>1</v>
      </c>
      <c r="AD22" t="s">
        <v>1136</v>
      </c>
      <c r="AE22" t="str">
        <f t="shared" si="3"/>
        <v>2025-08</v>
      </c>
      <c r="AF22" t="str">
        <f t="shared" si="4"/>
        <v>Q3-2025</v>
      </c>
    </row>
    <row r="23" spans="1:32" x14ac:dyDescent="0.3">
      <c r="A23" t="s">
        <v>1160</v>
      </c>
      <c r="B23" s="5">
        <v>1</v>
      </c>
      <c r="C23" s="4">
        <v>45454</v>
      </c>
      <c r="D23" s="4">
        <v>45468</v>
      </c>
      <c r="E23" t="s">
        <v>136</v>
      </c>
      <c r="F23" t="s">
        <v>137</v>
      </c>
      <c r="G23" t="s">
        <v>65</v>
      </c>
      <c r="H23" t="s">
        <v>31</v>
      </c>
      <c r="I23" t="s">
        <v>127</v>
      </c>
      <c r="J23" t="s">
        <v>1098</v>
      </c>
      <c r="K23" t="s">
        <v>1161</v>
      </c>
      <c r="L23" t="s">
        <v>1036</v>
      </c>
      <c r="M23" t="s">
        <v>1002</v>
      </c>
      <c r="N23" t="s">
        <v>1034</v>
      </c>
      <c r="O23" t="s">
        <v>1037</v>
      </c>
      <c r="P23" t="s">
        <v>32</v>
      </c>
      <c r="Q23" t="s">
        <v>33</v>
      </c>
      <c r="R23" t="s">
        <v>1094</v>
      </c>
      <c r="S23" t="s">
        <v>1100</v>
      </c>
      <c r="T23" s="5">
        <v>14</v>
      </c>
      <c r="U23" s="6">
        <v>217.67</v>
      </c>
      <c r="V23" s="6">
        <v>171.54</v>
      </c>
      <c r="W23" s="8">
        <v>0</v>
      </c>
      <c r="X23" s="6">
        <f t="shared" si="0"/>
        <v>3047.3799999999997</v>
      </c>
      <c r="Y23" s="6">
        <f t="shared" si="1"/>
        <v>2401.56</v>
      </c>
      <c r="Z23" s="6">
        <f t="shared" si="2"/>
        <v>645.81999999999971</v>
      </c>
      <c r="AA23" t="s">
        <v>679</v>
      </c>
      <c r="AC23" s="5">
        <v>3</v>
      </c>
      <c r="AD23" t="s">
        <v>1148</v>
      </c>
      <c r="AE23" t="str">
        <f t="shared" si="3"/>
        <v>2024-06</v>
      </c>
      <c r="AF23" t="str">
        <f t="shared" si="4"/>
        <v>Q2-2024</v>
      </c>
    </row>
    <row r="24" spans="1:32" x14ac:dyDescent="0.3">
      <c r="A24" t="s">
        <v>1162</v>
      </c>
      <c r="B24" s="5">
        <v>4</v>
      </c>
      <c r="C24" s="4">
        <v>45871</v>
      </c>
      <c r="D24" s="4">
        <v>45884</v>
      </c>
      <c r="E24" t="s">
        <v>78</v>
      </c>
      <c r="F24" t="s">
        <v>79</v>
      </c>
      <c r="G24" t="s">
        <v>65</v>
      </c>
      <c r="H24" t="s">
        <v>23</v>
      </c>
      <c r="I24" t="s">
        <v>81</v>
      </c>
      <c r="J24" t="s">
        <v>1163</v>
      </c>
      <c r="K24" t="s">
        <v>1164</v>
      </c>
      <c r="L24" t="s">
        <v>786</v>
      </c>
      <c r="M24" t="s">
        <v>659</v>
      </c>
      <c r="N24" t="s">
        <v>754</v>
      </c>
      <c r="O24" t="s">
        <v>787</v>
      </c>
      <c r="P24" t="s">
        <v>53</v>
      </c>
      <c r="Q24" t="s">
        <v>54</v>
      </c>
      <c r="R24" t="s">
        <v>1114</v>
      </c>
      <c r="S24" t="s">
        <v>1100</v>
      </c>
      <c r="T24" s="5">
        <v>7</v>
      </c>
      <c r="U24" s="6">
        <v>91.99</v>
      </c>
      <c r="V24" s="6">
        <v>59.83</v>
      </c>
      <c r="W24" s="8">
        <v>0</v>
      </c>
      <c r="X24" s="6">
        <f t="shared" si="0"/>
        <v>643.92999999999995</v>
      </c>
      <c r="Y24" s="6">
        <f t="shared" si="1"/>
        <v>418.81</v>
      </c>
      <c r="Z24" s="6">
        <f t="shared" si="2"/>
        <v>225.11999999999995</v>
      </c>
      <c r="AA24" t="s">
        <v>679</v>
      </c>
      <c r="AC24" s="5">
        <v>4</v>
      </c>
      <c r="AE24" t="str">
        <f t="shared" si="3"/>
        <v>2025-08</v>
      </c>
      <c r="AF24" t="str">
        <f t="shared" si="4"/>
        <v>Q3-2025</v>
      </c>
    </row>
    <row r="25" spans="1:32" x14ac:dyDescent="0.3">
      <c r="A25" t="s">
        <v>1165</v>
      </c>
      <c r="B25" s="5">
        <v>2</v>
      </c>
      <c r="C25" s="4">
        <v>45625</v>
      </c>
      <c r="D25" s="4">
        <v>45633</v>
      </c>
      <c r="E25" t="s">
        <v>182</v>
      </c>
      <c r="F25" t="s">
        <v>183</v>
      </c>
      <c r="G25" t="s">
        <v>74</v>
      </c>
      <c r="H25" t="s">
        <v>20</v>
      </c>
      <c r="I25" t="s">
        <v>71</v>
      </c>
      <c r="J25" t="s">
        <v>1166</v>
      </c>
      <c r="K25" t="s">
        <v>1167</v>
      </c>
      <c r="L25" t="s">
        <v>694</v>
      </c>
      <c r="M25" t="s">
        <v>659</v>
      </c>
      <c r="N25" t="s">
        <v>660</v>
      </c>
      <c r="O25" t="s">
        <v>695</v>
      </c>
      <c r="P25" t="s">
        <v>27</v>
      </c>
      <c r="Q25" t="s">
        <v>28</v>
      </c>
      <c r="R25" t="s">
        <v>1114</v>
      </c>
      <c r="S25" t="s">
        <v>1089</v>
      </c>
      <c r="T25" s="5">
        <v>4</v>
      </c>
      <c r="U25" s="6">
        <v>203.11</v>
      </c>
      <c r="V25" s="6">
        <v>105.86</v>
      </c>
      <c r="W25" s="8">
        <v>0</v>
      </c>
      <c r="X25" s="6">
        <f t="shared" si="0"/>
        <v>812.44</v>
      </c>
      <c r="Y25" s="6">
        <f t="shared" si="1"/>
        <v>423.44</v>
      </c>
      <c r="Z25" s="6">
        <f t="shared" si="2"/>
        <v>389.00000000000006</v>
      </c>
      <c r="AA25" t="s">
        <v>679</v>
      </c>
      <c r="AC25" s="5">
        <v>4</v>
      </c>
      <c r="AD25" t="s">
        <v>1136</v>
      </c>
      <c r="AE25" t="str">
        <f t="shared" si="3"/>
        <v>2024-11</v>
      </c>
      <c r="AF25" t="str">
        <f t="shared" si="4"/>
        <v>Q4-2024</v>
      </c>
    </row>
    <row r="26" spans="1:32" x14ac:dyDescent="0.3">
      <c r="A26" t="s">
        <v>1168</v>
      </c>
      <c r="B26" s="5">
        <v>5</v>
      </c>
      <c r="C26" s="4">
        <v>45369</v>
      </c>
      <c r="D26" s="4">
        <v>45378</v>
      </c>
      <c r="E26" t="s">
        <v>344</v>
      </c>
      <c r="F26" t="s">
        <v>345</v>
      </c>
      <c r="G26" t="s">
        <v>65</v>
      </c>
      <c r="H26" t="s">
        <v>41</v>
      </c>
      <c r="I26" t="s">
        <v>75</v>
      </c>
      <c r="J26" t="s">
        <v>1142</v>
      </c>
      <c r="K26" t="s">
        <v>1143</v>
      </c>
      <c r="L26" t="s">
        <v>873</v>
      </c>
      <c r="M26" t="s">
        <v>795</v>
      </c>
      <c r="N26" t="s">
        <v>837</v>
      </c>
      <c r="O26" t="s">
        <v>874</v>
      </c>
      <c r="P26" t="s">
        <v>34</v>
      </c>
      <c r="Q26" t="s">
        <v>35</v>
      </c>
      <c r="R26" t="s">
        <v>1088</v>
      </c>
      <c r="S26" t="s">
        <v>1095</v>
      </c>
      <c r="T26" s="5">
        <v>14</v>
      </c>
      <c r="U26" s="6">
        <v>186.05</v>
      </c>
      <c r="V26" s="6">
        <v>121.31</v>
      </c>
      <c r="W26" s="8">
        <v>0</v>
      </c>
      <c r="X26" s="6">
        <f t="shared" si="0"/>
        <v>2604.7000000000003</v>
      </c>
      <c r="Y26" s="6">
        <f t="shared" si="1"/>
        <v>1698.3400000000001</v>
      </c>
      <c r="Z26" s="6">
        <f t="shared" si="2"/>
        <v>906.36000000000013</v>
      </c>
      <c r="AA26" t="s">
        <v>679</v>
      </c>
      <c r="AC26" s="5">
        <v>4</v>
      </c>
      <c r="AE26" t="str">
        <f t="shared" si="3"/>
        <v>2024-03</v>
      </c>
      <c r="AF26" t="str">
        <f t="shared" si="4"/>
        <v>Q1-2024</v>
      </c>
    </row>
    <row r="27" spans="1:32" x14ac:dyDescent="0.3">
      <c r="A27" t="s">
        <v>1169</v>
      </c>
      <c r="B27" s="5">
        <v>5</v>
      </c>
      <c r="C27" s="4">
        <v>45522</v>
      </c>
      <c r="D27" s="4">
        <v>45524</v>
      </c>
      <c r="E27" t="s">
        <v>616</v>
      </c>
      <c r="F27" t="s">
        <v>382</v>
      </c>
      <c r="G27" t="s">
        <v>84</v>
      </c>
      <c r="H27" t="s">
        <v>31</v>
      </c>
      <c r="I27" t="s">
        <v>160</v>
      </c>
      <c r="J27" t="s">
        <v>1125</v>
      </c>
      <c r="K27" t="s">
        <v>1126</v>
      </c>
      <c r="L27" t="s">
        <v>1019</v>
      </c>
      <c r="M27" t="s">
        <v>1002</v>
      </c>
      <c r="N27" t="s">
        <v>1003</v>
      </c>
      <c r="O27" t="s">
        <v>1020</v>
      </c>
      <c r="P27" t="s">
        <v>53</v>
      </c>
      <c r="Q27" t="s">
        <v>54</v>
      </c>
      <c r="R27" t="s">
        <v>126</v>
      </c>
      <c r="S27" t="s">
        <v>1089</v>
      </c>
      <c r="T27" s="5">
        <v>24</v>
      </c>
      <c r="U27" s="6">
        <v>194.82</v>
      </c>
      <c r="V27" s="6">
        <v>129.36000000000001</v>
      </c>
      <c r="W27" s="8">
        <v>0</v>
      </c>
      <c r="X27" s="6">
        <f t="shared" si="0"/>
        <v>4675.68</v>
      </c>
      <c r="Y27" s="6">
        <f t="shared" si="1"/>
        <v>3104.6400000000003</v>
      </c>
      <c r="Z27" s="6">
        <f t="shared" si="2"/>
        <v>1571.04</v>
      </c>
      <c r="AA27" t="s">
        <v>679</v>
      </c>
      <c r="AC27" s="5">
        <v>5</v>
      </c>
      <c r="AD27" t="s">
        <v>1123</v>
      </c>
      <c r="AE27" t="str">
        <f t="shared" si="3"/>
        <v>2024-08</v>
      </c>
      <c r="AF27" t="str">
        <f t="shared" si="4"/>
        <v>Q3-2024</v>
      </c>
    </row>
    <row r="28" spans="1:32" x14ac:dyDescent="0.3">
      <c r="A28" t="s">
        <v>1170</v>
      </c>
      <c r="B28" s="5">
        <v>3</v>
      </c>
      <c r="C28" s="4">
        <v>45513</v>
      </c>
      <c r="D28" s="4">
        <v>45519</v>
      </c>
      <c r="E28" t="s">
        <v>586</v>
      </c>
      <c r="F28" t="s">
        <v>587</v>
      </c>
      <c r="G28" t="s">
        <v>80</v>
      </c>
      <c r="H28" t="s">
        <v>20</v>
      </c>
      <c r="I28" t="s">
        <v>90</v>
      </c>
      <c r="J28" t="s">
        <v>1171</v>
      </c>
      <c r="K28" t="s">
        <v>1172</v>
      </c>
      <c r="L28" t="s">
        <v>985</v>
      </c>
      <c r="M28" t="s">
        <v>929</v>
      </c>
      <c r="N28" t="s">
        <v>971</v>
      </c>
      <c r="O28" t="s">
        <v>986</v>
      </c>
      <c r="P28" t="s">
        <v>50</v>
      </c>
      <c r="Q28" t="s">
        <v>51</v>
      </c>
      <c r="R28" t="s">
        <v>1088</v>
      </c>
      <c r="S28" t="s">
        <v>1109</v>
      </c>
      <c r="T28" s="5">
        <v>21</v>
      </c>
      <c r="U28" s="6">
        <v>99.95</v>
      </c>
      <c r="V28" s="6">
        <v>62.43</v>
      </c>
      <c r="W28" s="8">
        <v>0.26779999999999998</v>
      </c>
      <c r="X28" s="6">
        <f t="shared" si="0"/>
        <v>1536.8511900000001</v>
      </c>
      <c r="Y28" s="6">
        <f t="shared" si="1"/>
        <v>1311.03</v>
      </c>
      <c r="Z28" s="6">
        <f t="shared" si="2"/>
        <v>225.82119000000012</v>
      </c>
      <c r="AA28" t="s">
        <v>679</v>
      </c>
      <c r="AC28" s="5"/>
      <c r="AD28" t="s">
        <v>1123</v>
      </c>
      <c r="AE28" t="str">
        <f t="shared" si="3"/>
        <v>2024-08</v>
      </c>
      <c r="AF28" t="str">
        <f t="shared" si="4"/>
        <v>Q3-2024</v>
      </c>
    </row>
    <row r="29" spans="1:32" x14ac:dyDescent="0.3">
      <c r="A29" t="s">
        <v>1173</v>
      </c>
      <c r="B29" s="5">
        <v>5</v>
      </c>
      <c r="C29" s="4">
        <v>45795</v>
      </c>
      <c r="D29" s="4">
        <v>45800</v>
      </c>
      <c r="E29" t="s">
        <v>320</v>
      </c>
      <c r="F29" t="s">
        <v>321</v>
      </c>
      <c r="G29" t="s">
        <v>104</v>
      </c>
      <c r="H29" t="s">
        <v>23</v>
      </c>
      <c r="I29" t="s">
        <v>109</v>
      </c>
      <c r="J29" t="s">
        <v>1145</v>
      </c>
      <c r="K29" t="s">
        <v>1146</v>
      </c>
      <c r="L29" t="s">
        <v>762</v>
      </c>
      <c r="M29" t="s">
        <v>659</v>
      </c>
      <c r="N29" t="s">
        <v>754</v>
      </c>
      <c r="O29" t="s">
        <v>763</v>
      </c>
      <c r="P29" t="s">
        <v>32</v>
      </c>
      <c r="Q29" t="s">
        <v>33</v>
      </c>
      <c r="R29" t="s">
        <v>1094</v>
      </c>
      <c r="S29" t="s">
        <v>1109</v>
      </c>
      <c r="T29" s="5">
        <v>20</v>
      </c>
      <c r="U29" s="6">
        <v>6.04</v>
      </c>
      <c r="V29" s="6">
        <v>5</v>
      </c>
      <c r="W29" s="8"/>
      <c r="X29" s="6">
        <f t="shared" si="0"/>
        <v>120.8</v>
      </c>
      <c r="Y29" s="6">
        <f t="shared" si="1"/>
        <v>100</v>
      </c>
      <c r="Z29" s="6">
        <f t="shared" si="2"/>
        <v>20.799999999999997</v>
      </c>
      <c r="AA29" t="s">
        <v>679</v>
      </c>
      <c r="AC29" s="5">
        <v>2</v>
      </c>
      <c r="AD29" t="s">
        <v>1105</v>
      </c>
      <c r="AE29" t="str">
        <f t="shared" si="3"/>
        <v>2025-05</v>
      </c>
      <c r="AF29" t="str">
        <f t="shared" si="4"/>
        <v>Q2-2025</v>
      </c>
    </row>
    <row r="30" spans="1:32" x14ac:dyDescent="0.3">
      <c r="A30" t="s">
        <v>1174</v>
      </c>
      <c r="B30" s="5">
        <v>3</v>
      </c>
      <c r="C30" s="4">
        <v>45788</v>
      </c>
      <c r="D30" s="4">
        <v>45795</v>
      </c>
      <c r="E30" t="s">
        <v>391</v>
      </c>
      <c r="F30" t="s">
        <v>392</v>
      </c>
      <c r="G30" t="s">
        <v>74</v>
      </c>
      <c r="H30" t="s">
        <v>41</v>
      </c>
      <c r="I30" t="s">
        <v>86</v>
      </c>
      <c r="J30" t="s">
        <v>1086</v>
      </c>
      <c r="K30" t="s">
        <v>1175</v>
      </c>
      <c r="L30" t="s">
        <v>981</v>
      </c>
      <c r="M30" t="s">
        <v>929</v>
      </c>
      <c r="N30" t="s">
        <v>971</v>
      </c>
      <c r="O30" t="s">
        <v>982</v>
      </c>
      <c r="P30" t="s">
        <v>21</v>
      </c>
      <c r="Q30" t="s">
        <v>22</v>
      </c>
      <c r="R30" t="s">
        <v>1114</v>
      </c>
      <c r="S30" t="s">
        <v>1089</v>
      </c>
      <c r="T30" s="5">
        <v>4</v>
      </c>
      <c r="U30" s="6">
        <v>95.05</v>
      </c>
      <c r="V30" s="6">
        <v>77.88</v>
      </c>
      <c r="W30" s="8">
        <v>0</v>
      </c>
      <c r="X30" s="6">
        <f t="shared" si="0"/>
        <v>380.2</v>
      </c>
      <c r="Y30" s="6">
        <f t="shared" si="1"/>
        <v>311.52</v>
      </c>
      <c r="Z30" s="6">
        <f t="shared" si="2"/>
        <v>68.680000000000007</v>
      </c>
      <c r="AA30" t="s">
        <v>679</v>
      </c>
      <c r="AC30" s="5"/>
      <c r="AD30" t="s">
        <v>1101</v>
      </c>
      <c r="AE30" t="str">
        <f t="shared" si="3"/>
        <v>2025-05</v>
      </c>
      <c r="AF30" t="str">
        <f t="shared" si="4"/>
        <v>Q2-2025</v>
      </c>
    </row>
    <row r="31" spans="1:32" x14ac:dyDescent="0.3">
      <c r="A31" t="s">
        <v>1176</v>
      </c>
      <c r="B31" s="5">
        <v>5</v>
      </c>
      <c r="C31" s="4">
        <v>45711</v>
      </c>
      <c r="D31" s="4">
        <v>45723</v>
      </c>
      <c r="E31" t="s">
        <v>117</v>
      </c>
      <c r="F31" t="s">
        <v>118</v>
      </c>
      <c r="G31" t="s">
        <v>74</v>
      </c>
      <c r="H31" t="s">
        <v>31</v>
      </c>
      <c r="I31" t="s">
        <v>160</v>
      </c>
      <c r="J31" t="s">
        <v>1092</v>
      </c>
      <c r="K31" t="s">
        <v>1150</v>
      </c>
      <c r="L31" t="s">
        <v>739</v>
      </c>
      <c r="M31" t="s">
        <v>659</v>
      </c>
      <c r="N31" t="s">
        <v>713</v>
      </c>
      <c r="O31" t="s">
        <v>740</v>
      </c>
      <c r="P31" t="s">
        <v>32</v>
      </c>
      <c r="Q31" t="s">
        <v>33</v>
      </c>
      <c r="R31" t="s">
        <v>1088</v>
      </c>
      <c r="S31" t="s">
        <v>1089</v>
      </c>
      <c r="T31" s="5">
        <v>17</v>
      </c>
      <c r="U31" s="6">
        <v>197.26</v>
      </c>
      <c r="V31" s="6">
        <v>158.27000000000001</v>
      </c>
      <c r="W31" s="8">
        <v>0</v>
      </c>
      <c r="X31" s="6">
        <f t="shared" si="0"/>
        <v>3353.42</v>
      </c>
      <c r="Y31" s="6">
        <f t="shared" si="1"/>
        <v>2690.59</v>
      </c>
      <c r="Z31" s="6">
        <f t="shared" si="2"/>
        <v>662.82999999999993</v>
      </c>
      <c r="AA31" t="s">
        <v>679</v>
      </c>
      <c r="AC31" s="5"/>
      <c r="AD31" t="s">
        <v>1096</v>
      </c>
      <c r="AE31" t="str">
        <f t="shared" si="3"/>
        <v>2025-02</v>
      </c>
      <c r="AF31" t="str">
        <f t="shared" si="4"/>
        <v>Q1-2025</v>
      </c>
    </row>
    <row r="32" spans="1:32" x14ac:dyDescent="0.3">
      <c r="A32" t="s">
        <v>1177</v>
      </c>
      <c r="B32" s="5">
        <v>2</v>
      </c>
      <c r="C32" s="4">
        <v>45753</v>
      </c>
      <c r="D32" s="4">
        <v>45755</v>
      </c>
      <c r="E32" t="s">
        <v>631</v>
      </c>
      <c r="F32" t="s">
        <v>632</v>
      </c>
      <c r="G32" t="s">
        <v>65</v>
      </c>
      <c r="H32" t="s">
        <v>20</v>
      </c>
      <c r="I32" t="s">
        <v>71</v>
      </c>
      <c r="J32" t="s">
        <v>1112</v>
      </c>
      <c r="K32" t="s">
        <v>1178</v>
      </c>
      <c r="L32" t="s">
        <v>682</v>
      </c>
      <c r="M32" t="s">
        <v>659</v>
      </c>
      <c r="N32" t="s">
        <v>660</v>
      </c>
      <c r="O32" t="s">
        <v>683</v>
      </c>
      <c r="P32" t="s">
        <v>27</v>
      </c>
      <c r="Q32" t="s">
        <v>28</v>
      </c>
      <c r="R32" t="s">
        <v>1114</v>
      </c>
      <c r="S32" t="s">
        <v>1109</v>
      </c>
      <c r="T32" s="5">
        <v>7</v>
      </c>
      <c r="U32" s="6">
        <v>7.75</v>
      </c>
      <c r="V32" s="6">
        <v>5</v>
      </c>
      <c r="W32" s="8">
        <v>0</v>
      </c>
      <c r="X32" s="6">
        <f t="shared" si="0"/>
        <v>54.25</v>
      </c>
      <c r="Y32" s="6">
        <f t="shared" si="1"/>
        <v>35</v>
      </c>
      <c r="Z32" s="6">
        <f t="shared" si="2"/>
        <v>19.25</v>
      </c>
      <c r="AA32" t="s">
        <v>679</v>
      </c>
      <c r="AC32" s="5">
        <v>1</v>
      </c>
      <c r="AE32" t="str">
        <f t="shared" si="3"/>
        <v>2025-04</v>
      </c>
      <c r="AF32" t="str">
        <f t="shared" si="4"/>
        <v>Q2-2025</v>
      </c>
    </row>
    <row r="33" spans="1:32" x14ac:dyDescent="0.3">
      <c r="A33" t="s">
        <v>1179</v>
      </c>
      <c r="B33" s="5">
        <v>3</v>
      </c>
      <c r="C33" s="4">
        <v>45402</v>
      </c>
      <c r="D33" s="4">
        <v>45413</v>
      </c>
      <c r="E33" t="s">
        <v>360</v>
      </c>
      <c r="F33" t="s">
        <v>361</v>
      </c>
      <c r="G33" t="s">
        <v>65</v>
      </c>
      <c r="H33" t="s">
        <v>31</v>
      </c>
      <c r="I33" t="s">
        <v>160</v>
      </c>
      <c r="J33" t="s">
        <v>1125</v>
      </c>
      <c r="K33" t="s">
        <v>1126</v>
      </c>
      <c r="L33" t="s">
        <v>1007</v>
      </c>
      <c r="M33" t="s">
        <v>1002</v>
      </c>
      <c r="N33" t="s">
        <v>1003</v>
      </c>
      <c r="O33" t="s">
        <v>1008</v>
      </c>
      <c r="P33" t="s">
        <v>34</v>
      </c>
      <c r="Q33" t="s">
        <v>35</v>
      </c>
      <c r="R33" t="s">
        <v>1088</v>
      </c>
      <c r="S33" t="s">
        <v>1156</v>
      </c>
      <c r="T33" s="5">
        <v>35</v>
      </c>
      <c r="U33" s="6">
        <v>112.18</v>
      </c>
      <c r="V33" s="6">
        <v>77.540000000000006</v>
      </c>
      <c r="W33" s="8">
        <v>0</v>
      </c>
      <c r="X33" s="6">
        <f t="shared" si="0"/>
        <v>3926.3</v>
      </c>
      <c r="Y33" s="6">
        <f t="shared" si="1"/>
        <v>2713.9</v>
      </c>
      <c r="Z33" s="6">
        <f t="shared" si="2"/>
        <v>1212.4000000000001</v>
      </c>
      <c r="AA33" t="s">
        <v>679</v>
      </c>
      <c r="AC33" s="5">
        <v>5</v>
      </c>
      <c r="AE33" t="str">
        <f t="shared" si="3"/>
        <v>2024-04</v>
      </c>
      <c r="AF33" t="str">
        <f t="shared" si="4"/>
        <v>Q2-2024</v>
      </c>
    </row>
    <row r="34" spans="1:32" x14ac:dyDescent="0.3">
      <c r="A34" t="s">
        <v>1180</v>
      </c>
      <c r="B34" s="5">
        <v>2</v>
      </c>
      <c r="C34" s="4">
        <v>45747</v>
      </c>
      <c r="D34" s="4">
        <v>45749</v>
      </c>
      <c r="E34" t="s">
        <v>588</v>
      </c>
      <c r="F34" t="s">
        <v>589</v>
      </c>
      <c r="G34" t="s">
        <v>104</v>
      </c>
      <c r="H34" t="s">
        <v>31</v>
      </c>
      <c r="I34" t="s">
        <v>67</v>
      </c>
      <c r="J34" t="s">
        <v>1128</v>
      </c>
      <c r="K34" t="s">
        <v>1181</v>
      </c>
      <c r="L34" t="s">
        <v>743</v>
      </c>
      <c r="M34" t="s">
        <v>659</v>
      </c>
      <c r="N34" t="s">
        <v>713</v>
      </c>
      <c r="O34" t="s">
        <v>744</v>
      </c>
      <c r="P34" t="s">
        <v>32</v>
      </c>
      <c r="Q34" t="s">
        <v>33</v>
      </c>
      <c r="R34" t="s">
        <v>1114</v>
      </c>
      <c r="S34" t="s">
        <v>1089</v>
      </c>
      <c r="T34" s="5">
        <v>20</v>
      </c>
      <c r="U34" s="6">
        <v>6.39</v>
      </c>
      <c r="V34" s="6">
        <v>5.38</v>
      </c>
      <c r="W34" s="8">
        <v>5.74E-2</v>
      </c>
      <c r="X34" s="6">
        <f t="shared" si="0"/>
        <v>120.46428</v>
      </c>
      <c r="Y34" s="6">
        <f t="shared" si="1"/>
        <v>107.6</v>
      </c>
      <c r="Z34" s="6">
        <f t="shared" si="2"/>
        <v>12.864280000000008</v>
      </c>
      <c r="AA34" t="s">
        <v>679</v>
      </c>
      <c r="AC34" s="5"/>
      <c r="AD34" t="s">
        <v>1105</v>
      </c>
      <c r="AE34" t="str">
        <f t="shared" si="3"/>
        <v>2025-03</v>
      </c>
      <c r="AF34" t="str">
        <f t="shared" si="4"/>
        <v>Q1-2025</v>
      </c>
    </row>
    <row r="35" spans="1:32" x14ac:dyDescent="0.3">
      <c r="A35" t="s">
        <v>1182</v>
      </c>
      <c r="B35" s="5">
        <v>5</v>
      </c>
      <c r="C35" s="4">
        <v>45461</v>
      </c>
      <c r="D35" s="4">
        <v>45463</v>
      </c>
      <c r="E35" t="s">
        <v>121</v>
      </c>
      <c r="F35" t="s">
        <v>122</v>
      </c>
      <c r="G35" t="s">
        <v>74</v>
      </c>
      <c r="H35" t="s">
        <v>20</v>
      </c>
      <c r="I35" t="s">
        <v>90</v>
      </c>
      <c r="J35" t="s">
        <v>1171</v>
      </c>
      <c r="K35" t="s">
        <v>1183</v>
      </c>
      <c r="L35" t="s">
        <v>756</v>
      </c>
      <c r="M35" t="s">
        <v>659</v>
      </c>
      <c r="N35" t="s">
        <v>754</v>
      </c>
      <c r="O35" t="s">
        <v>757</v>
      </c>
      <c r="P35" t="s">
        <v>39</v>
      </c>
      <c r="Q35" t="s">
        <v>40</v>
      </c>
      <c r="R35" t="s">
        <v>126</v>
      </c>
      <c r="S35" t="s">
        <v>1156</v>
      </c>
      <c r="T35" s="5">
        <v>16</v>
      </c>
      <c r="U35" s="6">
        <v>8.57</v>
      </c>
      <c r="V35" s="6">
        <v>5</v>
      </c>
      <c r="W35" s="8">
        <v>4.8300000000000003E-2</v>
      </c>
      <c r="X35" s="6">
        <f t="shared" si="0"/>
        <v>130.49710400000001</v>
      </c>
      <c r="Y35" s="6">
        <f t="shared" si="1"/>
        <v>80</v>
      </c>
      <c r="Z35" s="6">
        <f t="shared" si="2"/>
        <v>50.497104000000007</v>
      </c>
      <c r="AA35" t="s">
        <v>679</v>
      </c>
      <c r="AC35" s="5">
        <v>4</v>
      </c>
      <c r="AD35" t="s">
        <v>1184</v>
      </c>
      <c r="AE35" t="str">
        <f t="shared" si="3"/>
        <v>2024-06</v>
      </c>
      <c r="AF35" t="str">
        <f t="shared" si="4"/>
        <v>Q2-2024</v>
      </c>
    </row>
    <row r="36" spans="1:32" x14ac:dyDescent="0.3">
      <c r="A36" t="s">
        <v>1185</v>
      </c>
      <c r="B36" s="5">
        <v>5</v>
      </c>
      <c r="C36" s="4">
        <v>45483</v>
      </c>
      <c r="D36" s="4">
        <v>45492</v>
      </c>
      <c r="E36" t="s">
        <v>350</v>
      </c>
      <c r="F36" t="s">
        <v>351</v>
      </c>
      <c r="G36" t="s">
        <v>65</v>
      </c>
      <c r="H36" t="s">
        <v>20</v>
      </c>
      <c r="I36" t="s">
        <v>71</v>
      </c>
      <c r="J36" t="s">
        <v>1112</v>
      </c>
      <c r="K36" t="s">
        <v>1178</v>
      </c>
      <c r="L36" t="s">
        <v>975</v>
      </c>
      <c r="M36" t="s">
        <v>929</v>
      </c>
      <c r="N36" t="s">
        <v>971</v>
      </c>
      <c r="O36" t="s">
        <v>976</v>
      </c>
      <c r="P36" t="s">
        <v>42</v>
      </c>
      <c r="Q36" t="s">
        <v>43</v>
      </c>
      <c r="R36" t="s">
        <v>1088</v>
      </c>
      <c r="S36" t="s">
        <v>1095</v>
      </c>
      <c r="T36" s="5">
        <v>14</v>
      </c>
      <c r="U36" s="6">
        <v>109.9</v>
      </c>
      <c r="V36" s="6">
        <v>66.319999999999993</v>
      </c>
      <c r="W36" s="8">
        <v>0</v>
      </c>
      <c r="X36" s="6">
        <f t="shared" si="0"/>
        <v>1538.6000000000001</v>
      </c>
      <c r="Y36" s="6">
        <f t="shared" si="1"/>
        <v>928.4799999999999</v>
      </c>
      <c r="Z36" s="6">
        <f t="shared" si="2"/>
        <v>610.12000000000023</v>
      </c>
      <c r="AA36" t="s">
        <v>679</v>
      </c>
      <c r="AC36" s="5">
        <v>5</v>
      </c>
      <c r="AE36" t="str">
        <f t="shared" si="3"/>
        <v>2024-07</v>
      </c>
      <c r="AF36" t="str">
        <f t="shared" si="4"/>
        <v>Q3-2024</v>
      </c>
    </row>
    <row r="37" spans="1:32" x14ac:dyDescent="0.3">
      <c r="A37" t="s">
        <v>1186</v>
      </c>
      <c r="B37" s="5">
        <v>5</v>
      </c>
      <c r="C37" s="4">
        <v>45812</v>
      </c>
      <c r="D37" s="4">
        <v>45824</v>
      </c>
      <c r="E37" t="s">
        <v>558</v>
      </c>
      <c r="F37" t="s">
        <v>1187</v>
      </c>
      <c r="G37" t="s">
        <v>74</v>
      </c>
      <c r="H37" t="s">
        <v>20</v>
      </c>
      <c r="I37" t="s">
        <v>71</v>
      </c>
      <c r="J37" t="s">
        <v>1166</v>
      </c>
      <c r="K37" t="s">
        <v>1167</v>
      </c>
      <c r="L37" t="s">
        <v>1005</v>
      </c>
      <c r="M37" t="s">
        <v>1002</v>
      </c>
      <c r="N37" t="s">
        <v>1003</v>
      </c>
      <c r="O37" t="s">
        <v>1006</v>
      </c>
      <c r="P37" t="s">
        <v>34</v>
      </c>
      <c r="Q37" t="s">
        <v>35</v>
      </c>
      <c r="R37" t="s">
        <v>1094</v>
      </c>
      <c r="S37" t="s">
        <v>1095</v>
      </c>
      <c r="T37" s="5">
        <v>2</v>
      </c>
      <c r="U37" s="6">
        <v>120.11</v>
      </c>
      <c r="V37" s="6">
        <v>76.489999999999995</v>
      </c>
      <c r="W37" s="8">
        <v>0</v>
      </c>
      <c r="X37" s="6">
        <f t="shared" si="0"/>
        <v>240.22</v>
      </c>
      <c r="Y37" s="6">
        <f t="shared" si="1"/>
        <v>152.97999999999999</v>
      </c>
      <c r="Z37" s="6">
        <f t="shared" si="2"/>
        <v>87.240000000000009</v>
      </c>
      <c r="AA37" t="s">
        <v>679</v>
      </c>
      <c r="AC37" s="5"/>
      <c r="AD37" t="s">
        <v>1148</v>
      </c>
      <c r="AE37" t="str">
        <f t="shared" si="3"/>
        <v>2025-06</v>
      </c>
      <c r="AF37" t="str">
        <f t="shared" si="4"/>
        <v>Q2-2025</v>
      </c>
    </row>
    <row r="38" spans="1:32" x14ac:dyDescent="0.3">
      <c r="A38" t="s">
        <v>1188</v>
      </c>
      <c r="B38" s="5">
        <v>5</v>
      </c>
      <c r="C38" s="4">
        <v>45715</v>
      </c>
      <c r="D38" s="4">
        <v>45719</v>
      </c>
      <c r="E38" t="s">
        <v>76</v>
      </c>
      <c r="F38" t="s">
        <v>77</v>
      </c>
      <c r="G38" t="s">
        <v>74</v>
      </c>
      <c r="H38" t="s">
        <v>23</v>
      </c>
      <c r="I38" t="s">
        <v>81</v>
      </c>
      <c r="J38" t="s">
        <v>1119</v>
      </c>
      <c r="K38" t="s">
        <v>1189</v>
      </c>
      <c r="L38" t="s">
        <v>1007</v>
      </c>
      <c r="M38" t="s">
        <v>1002</v>
      </c>
      <c r="N38" t="s">
        <v>1003</v>
      </c>
      <c r="O38" t="s">
        <v>1008</v>
      </c>
      <c r="P38" t="s">
        <v>27</v>
      </c>
      <c r="Q38" t="s">
        <v>28</v>
      </c>
      <c r="R38" t="s">
        <v>1114</v>
      </c>
      <c r="S38" t="s">
        <v>1109</v>
      </c>
      <c r="T38" s="5">
        <v>10</v>
      </c>
      <c r="U38" s="6">
        <v>89.94</v>
      </c>
      <c r="V38" s="6">
        <v>77.540000000000006</v>
      </c>
      <c r="W38" s="8">
        <v>0.1037</v>
      </c>
      <c r="X38" s="6">
        <f t="shared" si="0"/>
        <v>806.13221999999996</v>
      </c>
      <c r="Y38" s="6">
        <f t="shared" si="1"/>
        <v>775.40000000000009</v>
      </c>
      <c r="Z38" s="6">
        <f t="shared" si="2"/>
        <v>30.73221999999987</v>
      </c>
      <c r="AA38" t="s">
        <v>679</v>
      </c>
      <c r="AC38" s="5"/>
      <c r="AD38" t="s">
        <v>1105</v>
      </c>
      <c r="AE38" t="str">
        <f t="shared" si="3"/>
        <v>2025-02</v>
      </c>
      <c r="AF38" t="str">
        <f t="shared" si="4"/>
        <v>Q1-2025</v>
      </c>
    </row>
    <row r="39" spans="1:32" x14ac:dyDescent="0.3">
      <c r="A39" t="s">
        <v>1190</v>
      </c>
      <c r="B39" s="5">
        <v>5</v>
      </c>
      <c r="C39" s="4">
        <v>45791</v>
      </c>
      <c r="D39" s="4">
        <v>45793</v>
      </c>
      <c r="E39" t="s">
        <v>622</v>
      </c>
      <c r="F39" t="s">
        <v>623</v>
      </c>
      <c r="G39" t="s">
        <v>84</v>
      </c>
      <c r="H39" t="s">
        <v>41</v>
      </c>
      <c r="I39" t="s">
        <v>75</v>
      </c>
      <c r="J39" t="s">
        <v>1142</v>
      </c>
      <c r="K39" t="s">
        <v>1143</v>
      </c>
      <c r="L39" t="s">
        <v>843</v>
      </c>
      <c r="M39" t="s">
        <v>795</v>
      </c>
      <c r="N39" t="s">
        <v>837</v>
      </c>
      <c r="O39" t="s">
        <v>844</v>
      </c>
      <c r="P39" t="s">
        <v>48</v>
      </c>
      <c r="Q39" t="s">
        <v>49</v>
      </c>
      <c r="R39" t="s">
        <v>1114</v>
      </c>
      <c r="S39" t="s">
        <v>1156</v>
      </c>
      <c r="T39" s="5">
        <v>38</v>
      </c>
      <c r="U39" s="6">
        <v>223.12</v>
      </c>
      <c r="V39" s="6">
        <v>170.4</v>
      </c>
      <c r="W39" s="8">
        <v>0</v>
      </c>
      <c r="X39" s="6">
        <f t="shared" si="0"/>
        <v>8478.56</v>
      </c>
      <c r="Y39" s="6">
        <f t="shared" si="1"/>
        <v>6475.2</v>
      </c>
      <c r="Z39" s="6">
        <f t="shared" si="2"/>
        <v>2003.3599999999997</v>
      </c>
      <c r="AA39" t="s">
        <v>679</v>
      </c>
      <c r="AC39" s="5"/>
      <c r="AD39" t="s">
        <v>1101</v>
      </c>
      <c r="AE39" t="str">
        <f t="shared" si="3"/>
        <v>2025-05</v>
      </c>
      <c r="AF39" t="str">
        <f t="shared" si="4"/>
        <v>Q2-2025</v>
      </c>
    </row>
    <row r="40" spans="1:32" x14ac:dyDescent="0.3">
      <c r="A40" t="s">
        <v>1191</v>
      </c>
      <c r="B40" s="5">
        <v>1</v>
      </c>
      <c r="C40" s="4">
        <v>45461</v>
      </c>
      <c r="D40" s="4">
        <v>45467</v>
      </c>
      <c r="E40" t="s">
        <v>72</v>
      </c>
      <c r="F40" t="s">
        <v>73</v>
      </c>
      <c r="G40" t="s">
        <v>74</v>
      </c>
      <c r="H40" t="s">
        <v>23</v>
      </c>
      <c r="I40" t="s">
        <v>93</v>
      </c>
      <c r="J40" t="s">
        <v>1192</v>
      </c>
      <c r="K40" t="s">
        <v>1193</v>
      </c>
      <c r="L40" t="s">
        <v>889</v>
      </c>
      <c r="M40" t="s">
        <v>795</v>
      </c>
      <c r="N40" t="s">
        <v>837</v>
      </c>
      <c r="O40" t="s">
        <v>890</v>
      </c>
      <c r="P40" t="s">
        <v>21</v>
      </c>
      <c r="Q40" t="s">
        <v>22</v>
      </c>
      <c r="R40" t="s">
        <v>1088</v>
      </c>
      <c r="S40" t="s">
        <v>1109</v>
      </c>
      <c r="T40" s="5">
        <v>10</v>
      </c>
      <c r="U40" s="6">
        <v>261.54000000000002</v>
      </c>
      <c r="V40" s="6">
        <v>145.66</v>
      </c>
      <c r="W40" s="8">
        <v>0</v>
      </c>
      <c r="X40" s="6">
        <f t="shared" si="0"/>
        <v>2615.4</v>
      </c>
      <c r="Y40" s="6">
        <f t="shared" si="1"/>
        <v>1456.6</v>
      </c>
      <c r="Z40" s="6">
        <f t="shared" si="2"/>
        <v>1158.8000000000002</v>
      </c>
      <c r="AA40" t="s">
        <v>679</v>
      </c>
      <c r="AC40" s="5"/>
      <c r="AD40" t="s">
        <v>1090</v>
      </c>
      <c r="AE40" t="str">
        <f t="shared" si="3"/>
        <v>2024-06</v>
      </c>
      <c r="AF40" t="str">
        <f t="shared" si="4"/>
        <v>Q2-2024</v>
      </c>
    </row>
    <row r="41" spans="1:32" x14ac:dyDescent="0.3">
      <c r="A41" t="s">
        <v>1194</v>
      </c>
      <c r="B41" s="5">
        <v>5</v>
      </c>
      <c r="C41" s="4">
        <v>45589</v>
      </c>
      <c r="D41" s="4">
        <v>45592</v>
      </c>
      <c r="E41" t="s">
        <v>585</v>
      </c>
      <c r="F41" t="s">
        <v>238</v>
      </c>
      <c r="G41" t="s">
        <v>80</v>
      </c>
      <c r="H41" t="s">
        <v>20</v>
      </c>
      <c r="I41" t="s">
        <v>71</v>
      </c>
      <c r="J41" t="s">
        <v>1166</v>
      </c>
      <c r="K41" t="s">
        <v>1167</v>
      </c>
      <c r="L41" t="s">
        <v>680</v>
      </c>
      <c r="M41" t="s">
        <v>659</v>
      </c>
      <c r="N41" t="s">
        <v>660</v>
      </c>
      <c r="O41" t="s">
        <v>681</v>
      </c>
      <c r="P41" t="s">
        <v>32</v>
      </c>
      <c r="Q41" t="s">
        <v>33</v>
      </c>
      <c r="R41" t="s">
        <v>1088</v>
      </c>
      <c r="S41" t="s">
        <v>1109</v>
      </c>
      <c r="T41" s="5">
        <v>5</v>
      </c>
      <c r="U41" s="6">
        <v>45.24</v>
      </c>
      <c r="V41" s="6">
        <v>36.96</v>
      </c>
      <c r="W41" s="8">
        <v>0</v>
      </c>
      <c r="X41" s="6">
        <f t="shared" si="0"/>
        <v>226.20000000000002</v>
      </c>
      <c r="Y41" s="6">
        <f t="shared" si="1"/>
        <v>184.8</v>
      </c>
      <c r="Z41" s="6">
        <f t="shared" si="2"/>
        <v>41.400000000000006</v>
      </c>
      <c r="AA41" t="s">
        <v>679</v>
      </c>
      <c r="AC41" s="5">
        <v>1</v>
      </c>
      <c r="AD41" t="s">
        <v>1101</v>
      </c>
      <c r="AE41" t="str">
        <f t="shared" si="3"/>
        <v>2024-10</v>
      </c>
      <c r="AF41" t="str">
        <f t="shared" si="4"/>
        <v>Q4-2024</v>
      </c>
    </row>
    <row r="42" spans="1:32" x14ac:dyDescent="0.3">
      <c r="A42" t="s">
        <v>1195</v>
      </c>
      <c r="B42" s="5">
        <v>5</v>
      </c>
      <c r="C42" s="4">
        <v>45653</v>
      </c>
      <c r="D42" s="4">
        <v>45658</v>
      </c>
      <c r="E42" t="s">
        <v>362</v>
      </c>
      <c r="F42" t="s">
        <v>363</v>
      </c>
      <c r="G42" t="s">
        <v>80</v>
      </c>
      <c r="H42" t="s">
        <v>20</v>
      </c>
      <c r="I42" t="s">
        <v>71</v>
      </c>
      <c r="J42" t="s">
        <v>1166</v>
      </c>
      <c r="K42" t="s">
        <v>1196</v>
      </c>
      <c r="L42" t="s">
        <v>873</v>
      </c>
      <c r="M42" t="s">
        <v>795</v>
      </c>
      <c r="N42" t="s">
        <v>837</v>
      </c>
      <c r="O42" t="s">
        <v>874</v>
      </c>
      <c r="P42" t="s">
        <v>42</v>
      </c>
      <c r="Q42" t="s">
        <v>43</v>
      </c>
      <c r="R42" t="s">
        <v>1088</v>
      </c>
      <c r="S42" t="s">
        <v>1109</v>
      </c>
      <c r="T42" s="5">
        <v>14</v>
      </c>
      <c r="U42" s="6">
        <v>202.11</v>
      </c>
      <c r="V42" s="6">
        <v>121.31</v>
      </c>
      <c r="W42" s="8">
        <v>0</v>
      </c>
      <c r="X42" s="6">
        <f t="shared" si="0"/>
        <v>2829.54</v>
      </c>
      <c r="Y42" s="6">
        <f t="shared" si="1"/>
        <v>1698.3400000000001</v>
      </c>
      <c r="Z42" s="6">
        <f t="shared" si="2"/>
        <v>1131.1999999999998</v>
      </c>
      <c r="AA42" t="s">
        <v>679</v>
      </c>
      <c r="AC42" s="5">
        <v>5</v>
      </c>
      <c r="AD42" t="s">
        <v>1096</v>
      </c>
      <c r="AE42" t="str">
        <f t="shared" si="3"/>
        <v>2024-12</v>
      </c>
      <c r="AF42" t="str">
        <f t="shared" si="4"/>
        <v>Q4-2024</v>
      </c>
    </row>
    <row r="43" spans="1:32" x14ac:dyDescent="0.3">
      <c r="A43" t="s">
        <v>1197</v>
      </c>
      <c r="B43" s="5">
        <v>4</v>
      </c>
      <c r="C43" s="4">
        <v>45873</v>
      </c>
      <c r="D43" s="4">
        <v>45880</v>
      </c>
      <c r="E43" t="s">
        <v>424</v>
      </c>
      <c r="F43" t="s">
        <v>425</v>
      </c>
      <c r="G43" t="s">
        <v>74</v>
      </c>
      <c r="H43" t="s">
        <v>41</v>
      </c>
      <c r="I43" t="s">
        <v>75</v>
      </c>
      <c r="J43" t="s">
        <v>1142</v>
      </c>
      <c r="K43" t="s">
        <v>1198</v>
      </c>
      <c r="L43" t="s">
        <v>721</v>
      </c>
      <c r="M43" t="s">
        <v>659</v>
      </c>
      <c r="N43" t="s">
        <v>713</v>
      </c>
      <c r="O43" t="s">
        <v>722</v>
      </c>
      <c r="P43" t="s">
        <v>29</v>
      </c>
      <c r="Q43" t="s">
        <v>30</v>
      </c>
      <c r="R43" t="s">
        <v>1088</v>
      </c>
      <c r="S43" t="s">
        <v>1156</v>
      </c>
      <c r="T43" s="5">
        <v>6</v>
      </c>
      <c r="U43" s="6">
        <v>24.39</v>
      </c>
      <c r="V43" s="6">
        <v>15.47</v>
      </c>
      <c r="W43" s="8">
        <v>0</v>
      </c>
      <c r="X43" s="6">
        <f t="shared" si="0"/>
        <v>146.34</v>
      </c>
      <c r="Y43" s="6">
        <f t="shared" si="1"/>
        <v>92.820000000000007</v>
      </c>
      <c r="Z43" s="6">
        <f t="shared" si="2"/>
        <v>53.519999999999996</v>
      </c>
      <c r="AA43" t="s">
        <v>679</v>
      </c>
      <c r="AC43" s="5"/>
      <c r="AD43" t="s">
        <v>1199</v>
      </c>
      <c r="AE43" t="str">
        <f t="shared" si="3"/>
        <v>2025-08</v>
      </c>
      <c r="AF43" t="str">
        <f t="shared" si="4"/>
        <v>Q3-2025</v>
      </c>
    </row>
    <row r="44" spans="1:32" x14ac:dyDescent="0.3">
      <c r="A44" t="s">
        <v>1200</v>
      </c>
      <c r="B44" s="5">
        <v>3</v>
      </c>
      <c r="C44" s="4">
        <v>45520</v>
      </c>
      <c r="D44" s="4">
        <v>45534</v>
      </c>
      <c r="E44" t="s">
        <v>267</v>
      </c>
      <c r="F44" t="s">
        <v>268</v>
      </c>
      <c r="G44" t="s">
        <v>80</v>
      </c>
      <c r="H44" t="s">
        <v>20</v>
      </c>
      <c r="I44" t="s">
        <v>112</v>
      </c>
      <c r="J44" t="s">
        <v>1201</v>
      </c>
      <c r="K44" t="s">
        <v>1202</v>
      </c>
      <c r="L44" t="s">
        <v>1050</v>
      </c>
      <c r="M44" t="s">
        <v>1002</v>
      </c>
      <c r="N44" t="s">
        <v>1034</v>
      </c>
      <c r="O44" t="s">
        <v>1051</v>
      </c>
      <c r="P44" t="s">
        <v>27</v>
      </c>
      <c r="Q44" t="s">
        <v>28</v>
      </c>
      <c r="R44" t="s">
        <v>1114</v>
      </c>
      <c r="S44" t="s">
        <v>1109</v>
      </c>
      <c r="T44" s="5">
        <v>6</v>
      </c>
      <c r="U44" s="6">
        <v>189.45</v>
      </c>
      <c r="V44" s="6">
        <v>108.75</v>
      </c>
      <c r="W44" s="8">
        <v>0</v>
      </c>
      <c r="X44" s="6">
        <f t="shared" si="0"/>
        <v>1136.6999999999998</v>
      </c>
      <c r="Y44" s="6">
        <f t="shared" si="1"/>
        <v>652.5</v>
      </c>
      <c r="Z44" s="6">
        <f t="shared" si="2"/>
        <v>484.19999999999982</v>
      </c>
      <c r="AA44" t="s">
        <v>679</v>
      </c>
      <c r="AC44" s="5"/>
      <c r="AD44" t="s">
        <v>1090</v>
      </c>
      <c r="AE44" t="str">
        <f t="shared" si="3"/>
        <v>2024-08</v>
      </c>
      <c r="AF44" t="str">
        <f t="shared" si="4"/>
        <v>Q3-2024</v>
      </c>
    </row>
    <row r="45" spans="1:32" x14ac:dyDescent="0.3">
      <c r="A45" t="s">
        <v>1203</v>
      </c>
      <c r="B45" s="5">
        <v>5</v>
      </c>
      <c r="C45" s="4">
        <v>45340</v>
      </c>
      <c r="D45" s="4">
        <v>45353</v>
      </c>
      <c r="E45" t="s">
        <v>401</v>
      </c>
      <c r="F45" t="s">
        <v>1204</v>
      </c>
      <c r="G45" t="s">
        <v>74</v>
      </c>
      <c r="H45" t="s">
        <v>41</v>
      </c>
      <c r="I45" t="s">
        <v>75</v>
      </c>
      <c r="J45" t="s">
        <v>1142</v>
      </c>
      <c r="K45" t="s">
        <v>1205</v>
      </c>
      <c r="L45" t="s">
        <v>928</v>
      </c>
      <c r="M45" t="s">
        <v>929</v>
      </c>
      <c r="N45" t="s">
        <v>930</v>
      </c>
      <c r="O45" t="s">
        <v>931</v>
      </c>
      <c r="P45" t="s">
        <v>29</v>
      </c>
      <c r="Q45" t="s">
        <v>30</v>
      </c>
      <c r="R45" t="s">
        <v>1088</v>
      </c>
      <c r="S45" t="s">
        <v>1089</v>
      </c>
      <c r="T45" s="5">
        <v>4</v>
      </c>
      <c r="U45" s="6">
        <v>233.22</v>
      </c>
      <c r="V45" s="6">
        <v>130.21</v>
      </c>
      <c r="W45" s="8">
        <v>0</v>
      </c>
      <c r="X45" s="6">
        <f t="shared" si="0"/>
        <v>932.88</v>
      </c>
      <c r="Y45" s="6">
        <f t="shared" si="1"/>
        <v>520.84</v>
      </c>
      <c r="Z45" s="6">
        <f t="shared" si="2"/>
        <v>412.03999999999996</v>
      </c>
      <c r="AA45" t="s">
        <v>679</v>
      </c>
      <c r="AC45" s="5">
        <v>5</v>
      </c>
      <c r="AD45" t="s">
        <v>1090</v>
      </c>
      <c r="AE45" t="str">
        <f t="shared" si="3"/>
        <v>2024-02</v>
      </c>
      <c r="AF45" t="str">
        <f t="shared" si="4"/>
        <v>Q1-2024</v>
      </c>
    </row>
    <row r="46" spans="1:32" x14ac:dyDescent="0.3">
      <c r="A46" t="s">
        <v>1206</v>
      </c>
      <c r="B46" s="5">
        <v>2</v>
      </c>
      <c r="C46" s="4">
        <v>45685</v>
      </c>
      <c r="D46" s="4">
        <v>45694</v>
      </c>
      <c r="E46" t="s">
        <v>447</v>
      </c>
      <c r="F46" t="s">
        <v>448</v>
      </c>
      <c r="G46" t="s">
        <v>74</v>
      </c>
      <c r="H46" t="s">
        <v>31</v>
      </c>
      <c r="I46" t="s">
        <v>67</v>
      </c>
      <c r="J46" t="s">
        <v>1207</v>
      </c>
      <c r="K46" t="s">
        <v>1208</v>
      </c>
      <c r="L46" t="s">
        <v>784</v>
      </c>
      <c r="M46" t="s">
        <v>659</v>
      </c>
      <c r="N46" t="s">
        <v>754</v>
      </c>
      <c r="O46" t="s">
        <v>785</v>
      </c>
      <c r="P46" t="s">
        <v>29</v>
      </c>
      <c r="Q46" t="s">
        <v>30</v>
      </c>
      <c r="R46" t="s">
        <v>1094</v>
      </c>
      <c r="S46" t="s">
        <v>1156</v>
      </c>
      <c r="T46" s="5">
        <v>10</v>
      </c>
      <c r="U46" s="6">
        <v>78.599999999999994</v>
      </c>
      <c r="V46" s="6">
        <v>51.78</v>
      </c>
      <c r="W46" s="8">
        <v>0</v>
      </c>
      <c r="X46" s="6">
        <f t="shared" si="0"/>
        <v>786</v>
      </c>
      <c r="Y46" s="6">
        <f t="shared" si="1"/>
        <v>517.79999999999995</v>
      </c>
      <c r="Z46" s="6">
        <f t="shared" si="2"/>
        <v>268.20000000000005</v>
      </c>
      <c r="AA46" t="s">
        <v>679</v>
      </c>
      <c r="AC46" s="5">
        <v>4</v>
      </c>
      <c r="AD46" t="s">
        <v>1110</v>
      </c>
      <c r="AE46" t="str">
        <f t="shared" si="3"/>
        <v>2025-01</v>
      </c>
      <c r="AF46" t="str">
        <f t="shared" si="4"/>
        <v>Q1-2025</v>
      </c>
    </row>
    <row r="47" spans="1:32" x14ac:dyDescent="0.3">
      <c r="A47" t="s">
        <v>1209</v>
      </c>
      <c r="B47" s="5">
        <v>2</v>
      </c>
      <c r="C47" s="4">
        <v>45399</v>
      </c>
      <c r="D47" s="4">
        <v>45410</v>
      </c>
      <c r="E47" t="s">
        <v>320</v>
      </c>
      <c r="F47" t="s">
        <v>321</v>
      </c>
      <c r="G47" t="s">
        <v>104</v>
      </c>
      <c r="H47" t="s">
        <v>41</v>
      </c>
      <c r="I47" t="s">
        <v>75</v>
      </c>
      <c r="J47" t="s">
        <v>1142</v>
      </c>
      <c r="K47" t="s">
        <v>1205</v>
      </c>
      <c r="L47" t="s">
        <v>1052</v>
      </c>
      <c r="M47" t="s">
        <v>1002</v>
      </c>
      <c r="N47" t="s">
        <v>1034</v>
      </c>
      <c r="O47" t="s">
        <v>1053</v>
      </c>
      <c r="P47" t="s">
        <v>24</v>
      </c>
      <c r="Q47" t="s">
        <v>25</v>
      </c>
      <c r="R47" t="s">
        <v>1094</v>
      </c>
      <c r="S47" t="s">
        <v>1109</v>
      </c>
      <c r="T47" s="5">
        <v>11</v>
      </c>
      <c r="U47" s="6">
        <v>124.14</v>
      </c>
      <c r="V47" s="6">
        <v>81.599999999999994</v>
      </c>
      <c r="W47" s="8">
        <v>0.1242</v>
      </c>
      <c r="X47" s="6">
        <f t="shared" si="0"/>
        <v>1195.939932</v>
      </c>
      <c r="Y47" s="6">
        <f t="shared" si="1"/>
        <v>897.59999999999991</v>
      </c>
      <c r="Z47" s="6">
        <f t="shared" si="2"/>
        <v>298.33993200000009</v>
      </c>
      <c r="AA47" t="s">
        <v>679</v>
      </c>
      <c r="AC47" s="5">
        <v>5</v>
      </c>
      <c r="AE47" t="str">
        <f t="shared" si="3"/>
        <v>2024-04</v>
      </c>
      <c r="AF47" t="str">
        <f t="shared" si="4"/>
        <v>Q2-2024</v>
      </c>
    </row>
    <row r="48" spans="1:32" x14ac:dyDescent="0.3">
      <c r="A48" t="s">
        <v>1210</v>
      </c>
      <c r="B48" s="5">
        <v>2</v>
      </c>
      <c r="C48" s="4">
        <v>45358</v>
      </c>
      <c r="D48" s="4">
        <v>45361</v>
      </c>
      <c r="E48" t="s">
        <v>553</v>
      </c>
      <c r="F48" t="s">
        <v>495</v>
      </c>
      <c r="G48" t="s">
        <v>74</v>
      </c>
      <c r="H48" t="s">
        <v>23</v>
      </c>
      <c r="I48" t="s">
        <v>109</v>
      </c>
      <c r="J48" t="s">
        <v>1145</v>
      </c>
      <c r="K48" t="s">
        <v>1211</v>
      </c>
      <c r="L48" t="s">
        <v>798</v>
      </c>
      <c r="M48" t="s">
        <v>795</v>
      </c>
      <c r="N48" t="s">
        <v>796</v>
      </c>
      <c r="O48" t="s">
        <v>799</v>
      </c>
      <c r="P48" t="s">
        <v>32</v>
      </c>
      <c r="Q48" t="s">
        <v>33</v>
      </c>
      <c r="R48" t="s">
        <v>1088</v>
      </c>
      <c r="S48" t="s">
        <v>1156</v>
      </c>
      <c r="T48" s="5">
        <v>11</v>
      </c>
      <c r="U48" s="6">
        <v>174.2</v>
      </c>
      <c r="V48" s="6">
        <v>120.52</v>
      </c>
      <c r="W48" s="8">
        <v>0</v>
      </c>
      <c r="X48" s="6">
        <f t="shared" si="0"/>
        <v>1916.1999999999998</v>
      </c>
      <c r="Y48" s="6">
        <f t="shared" si="1"/>
        <v>1325.72</v>
      </c>
      <c r="Z48" s="6">
        <f t="shared" si="2"/>
        <v>590.47999999999979</v>
      </c>
      <c r="AA48" t="s">
        <v>679</v>
      </c>
      <c r="AC48" s="5">
        <v>3</v>
      </c>
      <c r="AD48" t="s">
        <v>1101</v>
      </c>
      <c r="AE48" t="str">
        <f t="shared" si="3"/>
        <v>2024-03</v>
      </c>
      <c r="AF48" t="str">
        <f t="shared" si="4"/>
        <v>Q1-2024</v>
      </c>
    </row>
    <row r="49" spans="1:32" x14ac:dyDescent="0.3">
      <c r="A49" t="s">
        <v>1212</v>
      </c>
      <c r="B49" s="5">
        <v>1</v>
      </c>
      <c r="C49" s="4">
        <v>45687</v>
      </c>
      <c r="D49" s="4">
        <v>45696</v>
      </c>
      <c r="E49" t="s">
        <v>231</v>
      </c>
      <c r="F49" t="s">
        <v>232</v>
      </c>
      <c r="G49" t="s">
        <v>65</v>
      </c>
      <c r="H49" t="s">
        <v>20</v>
      </c>
      <c r="I49" t="s">
        <v>71</v>
      </c>
      <c r="J49" t="s">
        <v>1112</v>
      </c>
      <c r="K49" t="s">
        <v>1178</v>
      </c>
      <c r="L49" t="s">
        <v>993</v>
      </c>
      <c r="M49" t="s">
        <v>929</v>
      </c>
      <c r="N49" t="s">
        <v>971</v>
      </c>
      <c r="O49" t="s">
        <v>994</v>
      </c>
      <c r="P49" t="s">
        <v>42</v>
      </c>
      <c r="Q49" t="s">
        <v>43</v>
      </c>
      <c r="R49" t="s">
        <v>1094</v>
      </c>
      <c r="S49" t="s">
        <v>1089</v>
      </c>
      <c r="T49" s="5">
        <v>3</v>
      </c>
      <c r="U49" s="6">
        <v>283.02</v>
      </c>
      <c r="V49" s="6">
        <v>157.38</v>
      </c>
      <c r="W49" s="8">
        <v>0.10829999999999999</v>
      </c>
      <c r="X49" s="6">
        <f t="shared" si="0"/>
        <v>757.10680200000002</v>
      </c>
      <c r="Y49" s="6">
        <f t="shared" si="1"/>
        <v>472.14</v>
      </c>
      <c r="Z49" s="6">
        <f t="shared" si="2"/>
        <v>284.96680200000003</v>
      </c>
      <c r="AA49" t="s">
        <v>679</v>
      </c>
      <c r="AC49" s="5"/>
      <c r="AD49" t="s">
        <v>1136</v>
      </c>
      <c r="AE49" t="str">
        <f t="shared" si="3"/>
        <v>2025-01</v>
      </c>
      <c r="AF49" t="str">
        <f t="shared" si="4"/>
        <v>Q1-2025</v>
      </c>
    </row>
    <row r="50" spans="1:32" x14ac:dyDescent="0.3">
      <c r="A50" t="s">
        <v>1213</v>
      </c>
      <c r="B50" s="5">
        <v>4</v>
      </c>
      <c r="C50" s="4">
        <v>45720</v>
      </c>
      <c r="D50" s="4">
        <v>45722</v>
      </c>
      <c r="E50" t="s">
        <v>100</v>
      </c>
      <c r="F50" t="s">
        <v>101</v>
      </c>
      <c r="G50" t="s">
        <v>74</v>
      </c>
      <c r="H50" t="s">
        <v>20</v>
      </c>
      <c r="I50" t="s">
        <v>71</v>
      </c>
      <c r="J50" t="s">
        <v>1166</v>
      </c>
      <c r="K50" t="s">
        <v>1167</v>
      </c>
      <c r="L50" t="s">
        <v>792</v>
      </c>
      <c r="M50" t="s">
        <v>659</v>
      </c>
      <c r="N50" t="s">
        <v>754</v>
      </c>
      <c r="O50" t="s">
        <v>793</v>
      </c>
      <c r="P50" t="s">
        <v>46</v>
      </c>
      <c r="Q50" t="s">
        <v>47</v>
      </c>
      <c r="R50" t="s">
        <v>1114</v>
      </c>
      <c r="S50" t="s">
        <v>1109</v>
      </c>
      <c r="T50" s="5">
        <v>5</v>
      </c>
      <c r="U50" s="6">
        <v>95.51</v>
      </c>
      <c r="V50" s="6">
        <v>70.67</v>
      </c>
      <c r="W50" s="8">
        <v>0</v>
      </c>
      <c r="X50" s="6">
        <f t="shared" si="0"/>
        <v>477.55</v>
      </c>
      <c r="Y50" s="6">
        <f t="shared" si="1"/>
        <v>353.35</v>
      </c>
      <c r="Z50" s="6">
        <f t="shared" si="2"/>
        <v>124.19999999999999</v>
      </c>
      <c r="AA50" t="s">
        <v>679</v>
      </c>
      <c r="AC50" s="5"/>
      <c r="AD50" t="s">
        <v>1214</v>
      </c>
      <c r="AE50" t="str">
        <f t="shared" si="3"/>
        <v>2025-03</v>
      </c>
      <c r="AF50" t="str">
        <f t="shared" si="4"/>
        <v>Q1-2025</v>
      </c>
    </row>
    <row r="51" spans="1:32" x14ac:dyDescent="0.3">
      <c r="A51" t="s">
        <v>1215</v>
      </c>
      <c r="B51" s="5">
        <v>4</v>
      </c>
      <c r="C51" s="4">
        <v>45613</v>
      </c>
      <c r="D51" s="4">
        <v>45616</v>
      </c>
      <c r="E51" t="s">
        <v>369</v>
      </c>
      <c r="F51" t="s">
        <v>370</v>
      </c>
      <c r="G51" t="s">
        <v>65</v>
      </c>
      <c r="H51" t="s">
        <v>41</v>
      </c>
      <c r="I51" t="s">
        <v>86</v>
      </c>
      <c r="J51" t="s">
        <v>1086</v>
      </c>
      <c r="K51" t="s">
        <v>1175</v>
      </c>
      <c r="L51" t="s">
        <v>749</v>
      </c>
      <c r="M51" t="s">
        <v>659</v>
      </c>
      <c r="N51" t="s">
        <v>713</v>
      </c>
      <c r="O51" t="s">
        <v>750</v>
      </c>
      <c r="P51" t="s">
        <v>17</v>
      </c>
      <c r="Q51" t="s">
        <v>18</v>
      </c>
      <c r="R51" t="s">
        <v>1088</v>
      </c>
      <c r="S51" t="s">
        <v>1095</v>
      </c>
      <c r="T51" s="5">
        <v>55</v>
      </c>
      <c r="U51" s="6">
        <v>9.67</v>
      </c>
      <c r="V51" s="6">
        <v>5</v>
      </c>
      <c r="W51" s="8">
        <v>0</v>
      </c>
      <c r="X51" s="6">
        <f t="shared" si="0"/>
        <v>531.85</v>
      </c>
      <c r="Y51" s="6">
        <f t="shared" si="1"/>
        <v>275</v>
      </c>
      <c r="Z51" s="6">
        <f t="shared" si="2"/>
        <v>256.85000000000002</v>
      </c>
      <c r="AA51" t="s">
        <v>679</v>
      </c>
      <c r="AC51" s="5">
        <v>2</v>
      </c>
      <c r="AD51" t="s">
        <v>1096</v>
      </c>
      <c r="AE51" t="str">
        <f t="shared" si="3"/>
        <v>2024-11</v>
      </c>
      <c r="AF51" t="str">
        <f t="shared" si="4"/>
        <v>Q4-2024</v>
      </c>
    </row>
    <row r="52" spans="1:32" x14ac:dyDescent="0.3">
      <c r="A52" t="s">
        <v>1216</v>
      </c>
      <c r="B52" s="5">
        <v>5</v>
      </c>
      <c r="C52" s="4">
        <v>45742</v>
      </c>
      <c r="D52" s="4">
        <v>45750</v>
      </c>
      <c r="E52" t="s">
        <v>605</v>
      </c>
      <c r="F52" t="s">
        <v>513</v>
      </c>
      <c r="G52" t="s">
        <v>74</v>
      </c>
      <c r="H52" t="s">
        <v>31</v>
      </c>
      <c r="I52" t="s">
        <v>127</v>
      </c>
      <c r="J52" t="s">
        <v>1098</v>
      </c>
      <c r="K52" t="s">
        <v>1217</v>
      </c>
      <c r="L52" t="s">
        <v>780</v>
      </c>
      <c r="M52" t="s">
        <v>659</v>
      </c>
      <c r="N52" t="s">
        <v>754</v>
      </c>
      <c r="O52" t="s">
        <v>781</v>
      </c>
      <c r="P52" t="s">
        <v>48</v>
      </c>
      <c r="Q52" t="s">
        <v>49</v>
      </c>
      <c r="R52" t="s">
        <v>1088</v>
      </c>
      <c r="S52" t="s">
        <v>1109</v>
      </c>
      <c r="T52" s="5">
        <v>11</v>
      </c>
      <c r="U52" s="6">
        <v>20.69</v>
      </c>
      <c r="V52" s="6">
        <v>18.48</v>
      </c>
      <c r="W52" s="8">
        <v>0</v>
      </c>
      <c r="X52" s="6">
        <f t="shared" si="0"/>
        <v>227.59</v>
      </c>
      <c r="Y52" s="6">
        <f t="shared" si="1"/>
        <v>203.28</v>
      </c>
      <c r="Z52" s="6">
        <f t="shared" si="2"/>
        <v>24.310000000000002</v>
      </c>
      <c r="AA52" t="s">
        <v>679</v>
      </c>
      <c r="AC52" s="5">
        <v>1</v>
      </c>
      <c r="AD52" t="s">
        <v>1090</v>
      </c>
      <c r="AE52" t="str">
        <f t="shared" si="3"/>
        <v>2025-03</v>
      </c>
      <c r="AF52" t="str">
        <f t="shared" si="4"/>
        <v>Q1-2025</v>
      </c>
    </row>
    <row r="53" spans="1:32" x14ac:dyDescent="0.3">
      <c r="A53" t="s">
        <v>1218</v>
      </c>
      <c r="B53" s="5">
        <v>1</v>
      </c>
      <c r="C53" s="4">
        <v>45737</v>
      </c>
      <c r="D53" s="4">
        <v>45749</v>
      </c>
      <c r="E53" t="s">
        <v>316</v>
      </c>
      <c r="F53" t="s">
        <v>317</v>
      </c>
      <c r="G53" t="s">
        <v>74</v>
      </c>
      <c r="H53" t="s">
        <v>23</v>
      </c>
      <c r="I53" t="s">
        <v>81</v>
      </c>
      <c r="J53" t="s">
        <v>1163</v>
      </c>
      <c r="K53" t="s">
        <v>1219</v>
      </c>
      <c r="L53" t="s">
        <v>877</v>
      </c>
      <c r="M53" t="s">
        <v>795</v>
      </c>
      <c r="N53" t="s">
        <v>837</v>
      </c>
      <c r="O53" t="s">
        <v>878</v>
      </c>
      <c r="P53" t="s">
        <v>53</v>
      </c>
      <c r="Q53" t="s">
        <v>54</v>
      </c>
      <c r="R53" t="s">
        <v>1094</v>
      </c>
      <c r="S53" t="s">
        <v>1095</v>
      </c>
      <c r="T53" s="5">
        <v>5</v>
      </c>
      <c r="U53" s="6">
        <v>177.95</v>
      </c>
      <c r="V53" s="6">
        <v>103.46</v>
      </c>
      <c r="W53" s="8">
        <v>0</v>
      </c>
      <c r="X53" s="6">
        <f t="shared" si="0"/>
        <v>889.75</v>
      </c>
      <c r="Y53" s="6">
        <f t="shared" si="1"/>
        <v>517.29999999999995</v>
      </c>
      <c r="Z53" s="6">
        <f t="shared" si="2"/>
        <v>372.45000000000005</v>
      </c>
      <c r="AA53" t="s">
        <v>679</v>
      </c>
      <c r="AC53" s="5">
        <v>5</v>
      </c>
      <c r="AD53" t="s">
        <v>1140</v>
      </c>
      <c r="AE53" t="str">
        <f t="shared" si="3"/>
        <v>2025-03</v>
      </c>
      <c r="AF53" t="str">
        <f t="shared" si="4"/>
        <v>Q1-2025</v>
      </c>
    </row>
    <row r="54" spans="1:32" x14ac:dyDescent="0.3">
      <c r="A54" t="s">
        <v>1220</v>
      </c>
      <c r="B54" s="5">
        <v>3</v>
      </c>
      <c r="C54" s="4">
        <v>45719</v>
      </c>
      <c r="D54" s="4">
        <v>45722</v>
      </c>
      <c r="E54" t="s">
        <v>267</v>
      </c>
      <c r="F54" t="s">
        <v>268</v>
      </c>
      <c r="G54" t="s">
        <v>80</v>
      </c>
      <c r="H54" t="s">
        <v>20</v>
      </c>
      <c r="I54" t="s">
        <v>112</v>
      </c>
      <c r="J54" t="s">
        <v>1201</v>
      </c>
      <c r="K54" t="s">
        <v>1221</v>
      </c>
      <c r="L54" t="s">
        <v>900</v>
      </c>
      <c r="M54" t="s">
        <v>795</v>
      </c>
      <c r="N54" t="s">
        <v>898</v>
      </c>
      <c r="O54" t="s">
        <v>901</v>
      </c>
      <c r="P54" t="s">
        <v>42</v>
      </c>
      <c r="Q54" t="s">
        <v>43</v>
      </c>
      <c r="R54" t="s">
        <v>1094</v>
      </c>
      <c r="S54" t="s">
        <v>1156</v>
      </c>
      <c r="T54" s="5">
        <v>13</v>
      </c>
      <c r="U54" s="6">
        <v>197.06</v>
      </c>
      <c r="V54" s="6">
        <v>103.83</v>
      </c>
      <c r="W54" s="8">
        <v>0</v>
      </c>
      <c r="X54" s="6">
        <f t="shared" si="0"/>
        <v>2561.7800000000002</v>
      </c>
      <c r="Y54" s="6">
        <f t="shared" si="1"/>
        <v>1349.79</v>
      </c>
      <c r="Z54" s="6">
        <f t="shared" si="2"/>
        <v>1211.9900000000002</v>
      </c>
      <c r="AA54" t="s">
        <v>679</v>
      </c>
      <c r="AC54" s="5">
        <v>3</v>
      </c>
      <c r="AD54" t="s">
        <v>1110</v>
      </c>
      <c r="AE54" t="str">
        <f t="shared" si="3"/>
        <v>2025-03</v>
      </c>
      <c r="AF54" t="str">
        <f t="shared" si="4"/>
        <v>Q1-2025</v>
      </c>
    </row>
    <row r="55" spans="1:32" x14ac:dyDescent="0.3">
      <c r="A55" t="s">
        <v>1222</v>
      </c>
      <c r="B55" s="5">
        <v>2</v>
      </c>
      <c r="C55" s="4">
        <v>45389</v>
      </c>
      <c r="D55" s="4">
        <v>45391</v>
      </c>
      <c r="E55" t="s">
        <v>303</v>
      </c>
      <c r="F55" t="s">
        <v>304</v>
      </c>
      <c r="G55" t="s">
        <v>74</v>
      </c>
      <c r="H55" t="s">
        <v>31</v>
      </c>
      <c r="I55" t="s">
        <v>127</v>
      </c>
      <c r="J55" t="s">
        <v>1098</v>
      </c>
      <c r="K55" t="s">
        <v>1099</v>
      </c>
      <c r="L55" t="s">
        <v>857</v>
      </c>
      <c r="M55" t="s">
        <v>795</v>
      </c>
      <c r="N55" t="s">
        <v>837</v>
      </c>
      <c r="O55" t="s">
        <v>858</v>
      </c>
      <c r="P55" t="s">
        <v>37</v>
      </c>
      <c r="Q55" t="s">
        <v>38</v>
      </c>
      <c r="R55" t="s">
        <v>1114</v>
      </c>
      <c r="S55" t="s">
        <v>1109</v>
      </c>
      <c r="T55" s="5">
        <v>3</v>
      </c>
      <c r="U55" s="6">
        <v>194.51</v>
      </c>
      <c r="V55" s="6">
        <v>111.57</v>
      </c>
      <c r="W55" s="8">
        <v>0</v>
      </c>
      <c r="X55" s="6">
        <f t="shared" si="0"/>
        <v>583.53</v>
      </c>
      <c r="Y55" s="6">
        <f t="shared" si="1"/>
        <v>334.71</v>
      </c>
      <c r="Z55" s="6">
        <f t="shared" si="2"/>
        <v>248.82</v>
      </c>
      <c r="AA55" t="s">
        <v>679</v>
      </c>
      <c r="AC55" s="5"/>
      <c r="AD55" t="s">
        <v>1105</v>
      </c>
      <c r="AE55" t="str">
        <f t="shared" si="3"/>
        <v>2024-04</v>
      </c>
      <c r="AF55" t="str">
        <f t="shared" si="4"/>
        <v>Q2-2024</v>
      </c>
    </row>
    <row r="56" spans="1:32" x14ac:dyDescent="0.3">
      <c r="A56" t="s">
        <v>1223</v>
      </c>
      <c r="B56" s="5">
        <v>2</v>
      </c>
      <c r="C56" s="4">
        <v>45691</v>
      </c>
      <c r="D56" s="4">
        <v>45703</v>
      </c>
      <c r="E56" t="s">
        <v>332</v>
      </c>
      <c r="F56" t="s">
        <v>333</v>
      </c>
      <c r="G56" t="s">
        <v>84</v>
      </c>
      <c r="H56" t="s">
        <v>23</v>
      </c>
      <c r="I56" t="s">
        <v>93</v>
      </c>
      <c r="J56" t="s">
        <v>1192</v>
      </c>
      <c r="K56" t="s">
        <v>1193</v>
      </c>
      <c r="L56" t="s">
        <v>710</v>
      </c>
      <c r="M56" t="s">
        <v>659</v>
      </c>
      <c r="N56" t="s">
        <v>660</v>
      </c>
      <c r="O56" t="s">
        <v>711</v>
      </c>
      <c r="P56" t="s">
        <v>39</v>
      </c>
      <c r="Q56" t="s">
        <v>40</v>
      </c>
      <c r="R56" t="s">
        <v>1114</v>
      </c>
      <c r="S56" t="s">
        <v>1109</v>
      </c>
      <c r="T56" s="5">
        <v>10</v>
      </c>
      <c r="U56" s="6">
        <v>136.75</v>
      </c>
      <c r="V56" s="6">
        <v>99.94</v>
      </c>
      <c r="W56" s="8">
        <v>0</v>
      </c>
      <c r="X56" s="6">
        <f t="shared" si="0"/>
        <v>1367.5</v>
      </c>
      <c r="Y56" s="6">
        <f t="shared" si="1"/>
        <v>999.4</v>
      </c>
      <c r="Z56" s="6">
        <f t="shared" si="2"/>
        <v>368.1</v>
      </c>
      <c r="AA56" t="s">
        <v>679</v>
      </c>
      <c r="AC56" s="5">
        <v>1</v>
      </c>
      <c r="AD56" t="s">
        <v>1140</v>
      </c>
      <c r="AE56" t="str">
        <f t="shared" si="3"/>
        <v>2025-02</v>
      </c>
      <c r="AF56" t="str">
        <f t="shared" si="4"/>
        <v>Q1-2025</v>
      </c>
    </row>
    <row r="57" spans="1:32" x14ac:dyDescent="0.3">
      <c r="A57" t="s">
        <v>1224</v>
      </c>
      <c r="B57" s="5">
        <v>3</v>
      </c>
      <c r="C57" s="4">
        <v>45350</v>
      </c>
      <c r="D57" s="4">
        <v>45363</v>
      </c>
      <c r="E57" t="s">
        <v>198</v>
      </c>
      <c r="F57" t="s">
        <v>101</v>
      </c>
      <c r="G57" t="s">
        <v>104</v>
      </c>
      <c r="H57" t="s">
        <v>20</v>
      </c>
      <c r="I57" t="s">
        <v>71</v>
      </c>
      <c r="J57" t="s">
        <v>1112</v>
      </c>
      <c r="K57" t="s">
        <v>1178</v>
      </c>
      <c r="L57" t="s">
        <v>667</v>
      </c>
      <c r="M57" t="s">
        <v>659</v>
      </c>
      <c r="N57" t="s">
        <v>660</v>
      </c>
      <c r="O57" t="s">
        <v>668</v>
      </c>
      <c r="P57" t="s">
        <v>24</v>
      </c>
      <c r="Q57" t="s">
        <v>25</v>
      </c>
      <c r="R57" t="s">
        <v>1114</v>
      </c>
      <c r="S57" t="s">
        <v>1156</v>
      </c>
      <c r="T57" s="5">
        <v>10</v>
      </c>
      <c r="U57" s="6">
        <v>6.92</v>
      </c>
      <c r="V57" s="6">
        <v>5</v>
      </c>
      <c r="W57" s="8">
        <v>0</v>
      </c>
      <c r="X57" s="6">
        <f t="shared" si="0"/>
        <v>69.2</v>
      </c>
      <c r="Y57" s="6">
        <f t="shared" si="1"/>
        <v>50</v>
      </c>
      <c r="Z57" s="6">
        <f t="shared" si="2"/>
        <v>19.200000000000003</v>
      </c>
      <c r="AA57" t="s">
        <v>679</v>
      </c>
      <c r="AC57" s="5">
        <v>2</v>
      </c>
      <c r="AD57" t="s">
        <v>1225</v>
      </c>
      <c r="AE57" t="str">
        <f t="shared" si="3"/>
        <v>2024-02</v>
      </c>
      <c r="AF57" t="str">
        <f t="shared" si="4"/>
        <v>Q1-2024</v>
      </c>
    </row>
    <row r="58" spans="1:32" x14ac:dyDescent="0.3">
      <c r="A58" t="s">
        <v>1226</v>
      </c>
      <c r="B58" s="5">
        <v>1</v>
      </c>
      <c r="C58" s="4">
        <v>45358</v>
      </c>
      <c r="D58" s="4">
        <v>45363</v>
      </c>
      <c r="E58" t="s">
        <v>606</v>
      </c>
      <c r="F58" t="s">
        <v>607</v>
      </c>
      <c r="G58" t="s">
        <v>65</v>
      </c>
      <c r="H58" t="s">
        <v>23</v>
      </c>
      <c r="I58" t="s">
        <v>93</v>
      </c>
      <c r="J58" t="s">
        <v>1192</v>
      </c>
      <c r="K58" t="s">
        <v>1227</v>
      </c>
      <c r="L58" t="s">
        <v>828</v>
      </c>
      <c r="M58" t="s">
        <v>795</v>
      </c>
      <c r="N58" t="s">
        <v>796</v>
      </c>
      <c r="O58" t="s">
        <v>829</v>
      </c>
      <c r="P58" t="s">
        <v>39</v>
      </c>
      <c r="Q58" t="s">
        <v>40</v>
      </c>
      <c r="R58" t="s">
        <v>1114</v>
      </c>
      <c r="S58" t="s">
        <v>1089</v>
      </c>
      <c r="T58" s="5">
        <v>31</v>
      </c>
      <c r="U58" s="6">
        <v>180.9</v>
      </c>
      <c r="V58" s="6">
        <v>151.4</v>
      </c>
      <c r="W58" s="8">
        <v>0</v>
      </c>
      <c r="X58" s="6">
        <f t="shared" si="0"/>
        <v>5607.9000000000005</v>
      </c>
      <c r="Y58" s="6">
        <f t="shared" si="1"/>
        <v>4693.4000000000005</v>
      </c>
      <c r="Z58" s="6">
        <f t="shared" si="2"/>
        <v>914.5</v>
      </c>
      <c r="AA58" t="s">
        <v>679</v>
      </c>
      <c r="AC58" s="5">
        <v>1</v>
      </c>
      <c r="AD58" t="s">
        <v>1090</v>
      </c>
      <c r="AE58" t="str">
        <f t="shared" si="3"/>
        <v>2024-03</v>
      </c>
      <c r="AF58" t="str">
        <f t="shared" si="4"/>
        <v>Q1-2024</v>
      </c>
    </row>
    <row r="59" spans="1:32" x14ac:dyDescent="0.3">
      <c r="A59" t="s">
        <v>1228</v>
      </c>
      <c r="B59" s="5">
        <v>5</v>
      </c>
      <c r="C59" s="4">
        <v>46010</v>
      </c>
      <c r="D59" s="4">
        <v>46017</v>
      </c>
      <c r="E59" t="s">
        <v>271</v>
      </c>
      <c r="F59" t="s">
        <v>272</v>
      </c>
      <c r="G59" t="s">
        <v>65</v>
      </c>
      <c r="H59" t="s">
        <v>31</v>
      </c>
      <c r="I59" t="s">
        <v>127</v>
      </c>
      <c r="J59" t="s">
        <v>1098</v>
      </c>
      <c r="K59" t="s">
        <v>1099</v>
      </c>
      <c r="L59" t="s">
        <v>977</v>
      </c>
      <c r="M59" t="s">
        <v>929</v>
      </c>
      <c r="N59" t="s">
        <v>971</v>
      </c>
      <c r="O59" t="s">
        <v>978</v>
      </c>
      <c r="P59" t="s">
        <v>53</v>
      </c>
      <c r="Q59" t="s">
        <v>54</v>
      </c>
      <c r="R59" t="s">
        <v>1114</v>
      </c>
      <c r="S59" t="s">
        <v>1109</v>
      </c>
      <c r="T59" s="5">
        <v>15</v>
      </c>
      <c r="U59" s="6">
        <v>118.22</v>
      </c>
      <c r="V59" s="6">
        <v>86.07</v>
      </c>
      <c r="W59" s="8">
        <v>0.27610000000000001</v>
      </c>
      <c r="X59" s="6">
        <f t="shared" si="0"/>
        <v>1283.6918699999999</v>
      </c>
      <c r="Y59" s="6">
        <f t="shared" si="1"/>
        <v>1291.05</v>
      </c>
      <c r="Z59" s="6">
        <f t="shared" si="2"/>
        <v>-7.3581300000000738</v>
      </c>
      <c r="AA59" t="s">
        <v>679</v>
      </c>
      <c r="AC59" s="5">
        <v>5</v>
      </c>
      <c r="AD59" t="s">
        <v>1136</v>
      </c>
      <c r="AE59" t="str">
        <f t="shared" si="3"/>
        <v>2025-12</v>
      </c>
      <c r="AF59" t="str">
        <f t="shared" si="4"/>
        <v>Q4-2025</v>
      </c>
    </row>
    <row r="60" spans="1:32" x14ac:dyDescent="0.3">
      <c r="A60" t="s">
        <v>1229</v>
      </c>
      <c r="B60" s="5">
        <v>1</v>
      </c>
      <c r="C60" s="4">
        <v>45971</v>
      </c>
      <c r="D60" s="4">
        <v>45979</v>
      </c>
      <c r="E60" t="s">
        <v>275</v>
      </c>
      <c r="F60" t="s">
        <v>276</v>
      </c>
      <c r="G60" t="s">
        <v>104</v>
      </c>
      <c r="H60" t="s">
        <v>41</v>
      </c>
      <c r="I60" t="s">
        <v>86</v>
      </c>
      <c r="J60" t="s">
        <v>1107</v>
      </c>
      <c r="K60" t="s">
        <v>1230</v>
      </c>
      <c r="L60" t="s">
        <v>875</v>
      </c>
      <c r="M60" t="s">
        <v>795</v>
      </c>
      <c r="N60" t="s">
        <v>837</v>
      </c>
      <c r="O60" t="s">
        <v>876</v>
      </c>
      <c r="P60" t="s">
        <v>44</v>
      </c>
      <c r="Q60" t="s">
        <v>45</v>
      </c>
      <c r="R60" t="s">
        <v>1088</v>
      </c>
      <c r="S60" t="s">
        <v>1109</v>
      </c>
      <c r="T60" s="5">
        <v>19</v>
      </c>
      <c r="U60" s="6">
        <v>193.63</v>
      </c>
      <c r="V60" s="6">
        <v>149.16999999999999</v>
      </c>
      <c r="W60" s="8">
        <v>0</v>
      </c>
      <c r="X60" s="6">
        <f t="shared" si="0"/>
        <v>3678.97</v>
      </c>
      <c r="Y60" s="6">
        <f t="shared" si="1"/>
        <v>2834.2299999999996</v>
      </c>
      <c r="Z60" s="6">
        <f t="shared" si="2"/>
        <v>844.74000000000024</v>
      </c>
      <c r="AA60" t="s">
        <v>679</v>
      </c>
      <c r="AC60" s="5"/>
      <c r="AD60" t="s">
        <v>1231</v>
      </c>
      <c r="AE60" t="str">
        <f t="shared" si="3"/>
        <v>2025-11</v>
      </c>
      <c r="AF60" t="str">
        <f t="shared" si="4"/>
        <v>Q4-2025</v>
      </c>
    </row>
    <row r="61" spans="1:32" x14ac:dyDescent="0.3">
      <c r="A61" t="s">
        <v>1232</v>
      </c>
      <c r="B61" s="5">
        <v>1</v>
      </c>
      <c r="C61" s="4">
        <v>45776</v>
      </c>
      <c r="D61" s="4">
        <v>45788</v>
      </c>
      <c r="E61" t="s">
        <v>445</v>
      </c>
      <c r="F61" t="s">
        <v>446</v>
      </c>
      <c r="G61" t="s">
        <v>84</v>
      </c>
      <c r="H61" t="s">
        <v>41</v>
      </c>
      <c r="I61" t="s">
        <v>75</v>
      </c>
      <c r="J61" t="s">
        <v>1142</v>
      </c>
      <c r="K61" t="s">
        <v>1143</v>
      </c>
      <c r="L61" t="s">
        <v>802</v>
      </c>
      <c r="M61" t="s">
        <v>795</v>
      </c>
      <c r="N61" t="s">
        <v>796</v>
      </c>
      <c r="O61" t="s">
        <v>803</v>
      </c>
      <c r="P61" t="s">
        <v>39</v>
      </c>
      <c r="Q61" t="s">
        <v>40</v>
      </c>
      <c r="R61" t="s">
        <v>1088</v>
      </c>
      <c r="S61" t="s">
        <v>1109</v>
      </c>
      <c r="T61" s="5">
        <v>8</v>
      </c>
      <c r="U61" s="6">
        <v>285.76</v>
      </c>
      <c r="V61" s="6">
        <v>169.93</v>
      </c>
      <c r="W61" s="8">
        <v>0</v>
      </c>
      <c r="X61" s="6">
        <f t="shared" si="0"/>
        <v>2286.08</v>
      </c>
      <c r="Y61" s="6">
        <f t="shared" si="1"/>
        <v>1359.44</v>
      </c>
      <c r="Z61" s="6">
        <f t="shared" si="2"/>
        <v>926.63999999999987</v>
      </c>
      <c r="AA61" t="s">
        <v>679</v>
      </c>
      <c r="AC61" s="5">
        <v>5</v>
      </c>
      <c r="AD61" t="s">
        <v>1110</v>
      </c>
      <c r="AE61" t="str">
        <f t="shared" si="3"/>
        <v>2025-04</v>
      </c>
      <c r="AF61" t="str">
        <f t="shared" si="4"/>
        <v>Q2-2025</v>
      </c>
    </row>
    <row r="62" spans="1:32" x14ac:dyDescent="0.3">
      <c r="A62" t="s">
        <v>1233</v>
      </c>
      <c r="B62" s="5">
        <v>1</v>
      </c>
      <c r="C62" s="4">
        <v>45950</v>
      </c>
      <c r="D62" s="4">
        <v>45959</v>
      </c>
      <c r="E62" t="s">
        <v>536</v>
      </c>
      <c r="F62" t="s">
        <v>537</v>
      </c>
      <c r="G62" t="s">
        <v>65</v>
      </c>
      <c r="H62" t="s">
        <v>41</v>
      </c>
      <c r="I62" t="s">
        <v>86</v>
      </c>
      <c r="J62" t="s">
        <v>1086</v>
      </c>
      <c r="K62" t="s">
        <v>1234</v>
      </c>
      <c r="L62" t="s">
        <v>950</v>
      </c>
      <c r="M62" t="s">
        <v>929</v>
      </c>
      <c r="N62" t="s">
        <v>930</v>
      </c>
      <c r="O62" t="s">
        <v>951</v>
      </c>
      <c r="P62" t="s">
        <v>34</v>
      </c>
      <c r="Q62" t="s">
        <v>35</v>
      </c>
      <c r="R62" t="s">
        <v>1094</v>
      </c>
      <c r="S62" t="s">
        <v>1156</v>
      </c>
      <c r="T62" s="5">
        <v>15</v>
      </c>
      <c r="U62" s="6">
        <v>342.7</v>
      </c>
      <c r="V62" s="6">
        <v>181.98</v>
      </c>
      <c r="W62" s="8">
        <v>0</v>
      </c>
      <c r="X62" s="6">
        <f t="shared" si="0"/>
        <v>5140.5</v>
      </c>
      <c r="Y62" s="6">
        <f t="shared" si="1"/>
        <v>2729.7</v>
      </c>
      <c r="Z62" s="6">
        <f t="shared" si="2"/>
        <v>2410.8000000000002</v>
      </c>
      <c r="AA62" t="s">
        <v>679</v>
      </c>
      <c r="AC62" s="5"/>
      <c r="AD62" t="s">
        <v>1105</v>
      </c>
      <c r="AE62" t="str">
        <f t="shared" si="3"/>
        <v>2025-10</v>
      </c>
      <c r="AF62" t="str">
        <f t="shared" si="4"/>
        <v>Q4-2025</v>
      </c>
    </row>
    <row r="63" spans="1:32" x14ac:dyDescent="0.3">
      <c r="A63" t="s">
        <v>1235</v>
      </c>
      <c r="B63" s="5">
        <v>2</v>
      </c>
      <c r="C63" s="4">
        <v>45873</v>
      </c>
      <c r="D63" s="4">
        <v>45881</v>
      </c>
      <c r="E63" t="s">
        <v>618</v>
      </c>
      <c r="F63" t="s">
        <v>122</v>
      </c>
      <c r="G63" t="s">
        <v>74</v>
      </c>
      <c r="H63" t="s">
        <v>31</v>
      </c>
      <c r="I63" t="s">
        <v>127</v>
      </c>
      <c r="J63" t="s">
        <v>1098</v>
      </c>
      <c r="K63" t="s">
        <v>1099</v>
      </c>
      <c r="L63" t="s">
        <v>869</v>
      </c>
      <c r="M63" t="s">
        <v>795</v>
      </c>
      <c r="N63" t="s">
        <v>837</v>
      </c>
      <c r="O63" t="s">
        <v>870</v>
      </c>
      <c r="P63" t="s">
        <v>17</v>
      </c>
      <c r="Q63" t="s">
        <v>18</v>
      </c>
      <c r="R63" t="s">
        <v>1114</v>
      </c>
      <c r="S63" t="s">
        <v>1100</v>
      </c>
      <c r="T63" s="5">
        <v>17</v>
      </c>
      <c r="U63" s="6">
        <v>162.57</v>
      </c>
      <c r="V63" s="6">
        <v>107.53</v>
      </c>
      <c r="W63" s="8">
        <v>0</v>
      </c>
      <c r="X63" s="6">
        <f t="shared" si="0"/>
        <v>2763.69</v>
      </c>
      <c r="Y63" s="6">
        <f t="shared" si="1"/>
        <v>1828.01</v>
      </c>
      <c r="Z63" s="6">
        <f t="shared" si="2"/>
        <v>935.68000000000006</v>
      </c>
      <c r="AA63" t="s">
        <v>679</v>
      </c>
      <c r="AC63" s="5"/>
      <c r="AD63" t="s">
        <v>1140</v>
      </c>
      <c r="AE63" t="str">
        <f t="shared" si="3"/>
        <v>2025-08</v>
      </c>
      <c r="AF63" t="str">
        <f t="shared" si="4"/>
        <v>Q3-2025</v>
      </c>
    </row>
    <row r="64" spans="1:32" x14ac:dyDescent="0.3">
      <c r="A64" t="s">
        <v>1236</v>
      </c>
      <c r="B64" s="5">
        <v>5</v>
      </c>
      <c r="C64" s="4">
        <v>45882</v>
      </c>
      <c r="D64" s="4">
        <v>45884</v>
      </c>
      <c r="E64" t="s">
        <v>538</v>
      </c>
      <c r="F64" t="s">
        <v>1237</v>
      </c>
      <c r="G64" t="s">
        <v>74</v>
      </c>
      <c r="H64" t="s">
        <v>31</v>
      </c>
      <c r="I64" t="s">
        <v>67</v>
      </c>
      <c r="J64" t="s">
        <v>1128</v>
      </c>
      <c r="K64" t="s">
        <v>1129</v>
      </c>
      <c r="L64" t="s">
        <v>853</v>
      </c>
      <c r="M64" t="s">
        <v>795</v>
      </c>
      <c r="N64" t="s">
        <v>837</v>
      </c>
      <c r="O64" t="s">
        <v>854</v>
      </c>
      <c r="P64" t="s">
        <v>53</v>
      </c>
      <c r="Q64" t="s">
        <v>54</v>
      </c>
      <c r="R64" t="s">
        <v>1094</v>
      </c>
      <c r="S64" t="s">
        <v>1109</v>
      </c>
      <c r="T64" s="5">
        <v>11</v>
      </c>
      <c r="U64" s="6">
        <v>179.53</v>
      </c>
      <c r="V64" s="6">
        <v>119.67</v>
      </c>
      <c r="W64" s="8">
        <v>0.25879999999999997</v>
      </c>
      <c r="X64" s="6">
        <f t="shared" si="0"/>
        <v>1463.7439960000002</v>
      </c>
      <c r="Y64" s="6">
        <f t="shared" si="1"/>
        <v>1316.3700000000001</v>
      </c>
      <c r="Z64" s="6">
        <f t="shared" si="2"/>
        <v>147.37399600000003</v>
      </c>
      <c r="AA64" t="s">
        <v>679</v>
      </c>
      <c r="AC64" s="5"/>
      <c r="AD64" t="s">
        <v>1096</v>
      </c>
      <c r="AE64" t="str">
        <f t="shared" si="3"/>
        <v>2025-08</v>
      </c>
      <c r="AF64" t="str">
        <f t="shared" si="4"/>
        <v>Q3-2025</v>
      </c>
    </row>
    <row r="65" spans="1:32" x14ac:dyDescent="0.3">
      <c r="A65" t="s">
        <v>1238</v>
      </c>
      <c r="B65" s="5">
        <v>3</v>
      </c>
      <c r="C65" s="4">
        <v>45335</v>
      </c>
      <c r="D65" s="4">
        <v>45346</v>
      </c>
      <c r="E65" t="s">
        <v>465</v>
      </c>
      <c r="F65" t="s">
        <v>466</v>
      </c>
      <c r="G65" t="s">
        <v>65</v>
      </c>
      <c r="H65" t="s">
        <v>23</v>
      </c>
      <c r="I65" t="s">
        <v>93</v>
      </c>
      <c r="J65" t="s">
        <v>1103</v>
      </c>
      <c r="K65" t="s">
        <v>1239</v>
      </c>
      <c r="L65" t="s">
        <v>889</v>
      </c>
      <c r="M65" t="s">
        <v>795</v>
      </c>
      <c r="N65" t="s">
        <v>837</v>
      </c>
      <c r="O65" t="s">
        <v>890</v>
      </c>
      <c r="P65" t="s">
        <v>34</v>
      </c>
      <c r="Q65" t="s">
        <v>35</v>
      </c>
      <c r="R65" t="s">
        <v>126</v>
      </c>
      <c r="S65" t="s">
        <v>1109</v>
      </c>
      <c r="T65" s="5">
        <v>28</v>
      </c>
      <c r="U65" s="6">
        <v>276.95999999999998</v>
      </c>
      <c r="V65" s="6">
        <v>145.66</v>
      </c>
      <c r="W65" s="8">
        <v>0</v>
      </c>
      <c r="X65" s="6">
        <f t="shared" si="0"/>
        <v>7754.8799999999992</v>
      </c>
      <c r="Y65" s="6">
        <f t="shared" si="1"/>
        <v>4078.48</v>
      </c>
      <c r="Z65" s="6">
        <f t="shared" si="2"/>
        <v>3676.3999999999992</v>
      </c>
      <c r="AA65" t="s">
        <v>662</v>
      </c>
      <c r="AB65" t="s">
        <v>1240</v>
      </c>
      <c r="AC65" s="5">
        <v>5</v>
      </c>
      <c r="AD65" t="s">
        <v>1110</v>
      </c>
      <c r="AE65" t="str">
        <f t="shared" si="3"/>
        <v>2024-02</v>
      </c>
      <c r="AF65" t="str">
        <f t="shared" si="4"/>
        <v>Q1-2024</v>
      </c>
    </row>
    <row r="66" spans="1:32" x14ac:dyDescent="0.3">
      <c r="A66" t="s">
        <v>1241</v>
      </c>
      <c r="B66" s="5">
        <v>2</v>
      </c>
      <c r="C66" s="4">
        <v>45348</v>
      </c>
      <c r="D66" s="4">
        <v>45358</v>
      </c>
      <c r="E66" t="s">
        <v>477</v>
      </c>
      <c r="F66" t="s">
        <v>478</v>
      </c>
      <c r="G66" t="s">
        <v>74</v>
      </c>
      <c r="H66" t="s">
        <v>41</v>
      </c>
      <c r="I66" t="s">
        <v>86</v>
      </c>
      <c r="J66" t="s">
        <v>1086</v>
      </c>
      <c r="K66" t="s">
        <v>1087</v>
      </c>
      <c r="L66" t="s">
        <v>814</v>
      </c>
      <c r="M66" t="s">
        <v>795</v>
      </c>
      <c r="N66" t="s">
        <v>796</v>
      </c>
      <c r="O66" t="s">
        <v>815</v>
      </c>
      <c r="P66" t="s">
        <v>48</v>
      </c>
      <c r="Q66" t="s">
        <v>49</v>
      </c>
      <c r="R66" t="s">
        <v>1088</v>
      </c>
      <c r="S66" t="s">
        <v>1109</v>
      </c>
      <c r="T66" s="5">
        <v>3</v>
      </c>
      <c r="U66" s="6">
        <v>151.97999999999999</v>
      </c>
      <c r="V66" s="6">
        <v>124.03</v>
      </c>
      <c r="W66" s="8">
        <v>0</v>
      </c>
      <c r="X66" s="6">
        <f t="shared" ref="X66:X129" si="5">T66*U66*(1-IF(ISBLANK(W66),0,W66))</f>
        <v>455.93999999999994</v>
      </c>
      <c r="Y66" s="6">
        <f t="shared" ref="Y66:Y129" si="6">T66*V66</f>
        <v>372.09000000000003</v>
      </c>
      <c r="Z66" s="6">
        <f t="shared" ref="Z66:Z129" si="7">X66-Y66</f>
        <v>83.849999999999909</v>
      </c>
      <c r="AA66" t="s">
        <v>679</v>
      </c>
      <c r="AC66" s="5"/>
      <c r="AD66" t="s">
        <v>1110</v>
      </c>
      <c r="AE66" t="str">
        <f t="shared" ref="AE66:AE129" si="8">TEXT(C66,"yyyy-mm")</f>
        <v>2024-02</v>
      </c>
      <c r="AF66" t="str">
        <f t="shared" ref="AF66:AF129" si="9">"Q"&amp;ROUNDUP(MONTH(C66)/3,0)&amp;"-"&amp;YEAR(C66)</f>
        <v>Q1-2024</v>
      </c>
    </row>
    <row r="67" spans="1:32" x14ac:dyDescent="0.3">
      <c r="A67" t="s">
        <v>1242</v>
      </c>
      <c r="B67" s="5">
        <v>2</v>
      </c>
      <c r="C67" s="4">
        <v>45796</v>
      </c>
      <c r="D67" s="4">
        <v>45802</v>
      </c>
      <c r="E67" t="s">
        <v>281</v>
      </c>
      <c r="F67" t="s">
        <v>282</v>
      </c>
      <c r="G67" t="s">
        <v>80</v>
      </c>
      <c r="H67" t="s">
        <v>20</v>
      </c>
      <c r="I67" t="s">
        <v>90</v>
      </c>
      <c r="J67" t="s">
        <v>1171</v>
      </c>
      <c r="K67" t="s">
        <v>1183</v>
      </c>
      <c r="L67" t="s">
        <v>887</v>
      </c>
      <c r="M67" t="s">
        <v>795</v>
      </c>
      <c r="N67" t="s">
        <v>837</v>
      </c>
      <c r="O67" t="s">
        <v>888</v>
      </c>
      <c r="P67" t="s">
        <v>32</v>
      </c>
      <c r="Q67" t="s">
        <v>33</v>
      </c>
      <c r="R67" t="s">
        <v>1114</v>
      </c>
      <c r="S67" t="s">
        <v>1156</v>
      </c>
      <c r="T67" s="5">
        <v>4</v>
      </c>
      <c r="U67" s="6">
        <v>153.72999999999999</v>
      </c>
      <c r="V67" s="6">
        <v>111.35</v>
      </c>
      <c r="W67" s="8">
        <v>0</v>
      </c>
      <c r="X67" s="6">
        <f t="shared" si="5"/>
        <v>614.91999999999996</v>
      </c>
      <c r="Y67" s="6">
        <f t="shared" si="6"/>
        <v>445.4</v>
      </c>
      <c r="Z67" s="6">
        <f t="shared" si="7"/>
        <v>169.51999999999998</v>
      </c>
      <c r="AA67" t="s">
        <v>679</v>
      </c>
      <c r="AC67" s="5"/>
      <c r="AD67" t="s">
        <v>1090</v>
      </c>
      <c r="AE67" t="str">
        <f t="shared" si="8"/>
        <v>2025-05</v>
      </c>
      <c r="AF67" t="str">
        <f t="shared" si="9"/>
        <v>Q2-2025</v>
      </c>
    </row>
    <row r="68" spans="1:32" x14ac:dyDescent="0.3">
      <c r="A68" t="s">
        <v>1243</v>
      </c>
      <c r="B68" s="5">
        <v>2</v>
      </c>
      <c r="C68" s="4">
        <v>45501</v>
      </c>
      <c r="D68" s="4">
        <v>45511</v>
      </c>
      <c r="E68" t="s">
        <v>171</v>
      </c>
      <c r="F68" t="s">
        <v>172</v>
      </c>
      <c r="G68" t="s">
        <v>104</v>
      </c>
      <c r="H68" t="s">
        <v>23</v>
      </c>
      <c r="I68" t="s">
        <v>81</v>
      </c>
      <c r="J68" t="s">
        <v>1119</v>
      </c>
      <c r="K68" t="s">
        <v>1120</v>
      </c>
      <c r="L68" t="s">
        <v>987</v>
      </c>
      <c r="M68" t="s">
        <v>929</v>
      </c>
      <c r="N68" t="s">
        <v>971</v>
      </c>
      <c r="O68" t="s">
        <v>988</v>
      </c>
      <c r="P68" t="s">
        <v>53</v>
      </c>
      <c r="Q68" t="s">
        <v>54</v>
      </c>
      <c r="R68" t="s">
        <v>1088</v>
      </c>
      <c r="S68" t="s">
        <v>1089</v>
      </c>
      <c r="T68" s="5">
        <v>8</v>
      </c>
      <c r="U68" s="6">
        <v>262.11</v>
      </c>
      <c r="V68" s="6">
        <v>181.22</v>
      </c>
      <c r="W68" s="8">
        <v>0.1207</v>
      </c>
      <c r="X68" s="6">
        <f t="shared" si="5"/>
        <v>1843.7865839999999</v>
      </c>
      <c r="Y68" s="6">
        <f t="shared" si="6"/>
        <v>1449.76</v>
      </c>
      <c r="Z68" s="6">
        <f t="shared" si="7"/>
        <v>394.02658399999996</v>
      </c>
      <c r="AA68" t="s">
        <v>679</v>
      </c>
      <c r="AC68" s="5">
        <v>5</v>
      </c>
      <c r="AD68" t="s">
        <v>1244</v>
      </c>
      <c r="AE68" t="str">
        <f t="shared" si="8"/>
        <v>2024-07</v>
      </c>
      <c r="AF68" t="str">
        <f t="shared" si="9"/>
        <v>Q3-2024</v>
      </c>
    </row>
    <row r="69" spans="1:32" x14ac:dyDescent="0.3">
      <c r="A69" t="s">
        <v>1245</v>
      </c>
      <c r="B69" s="5">
        <v>5</v>
      </c>
      <c r="C69" s="4">
        <v>45791</v>
      </c>
      <c r="D69" s="4">
        <v>45800</v>
      </c>
      <c r="E69" t="s">
        <v>227</v>
      </c>
      <c r="F69" t="s">
        <v>228</v>
      </c>
      <c r="G69" t="s">
        <v>80</v>
      </c>
      <c r="H69" t="s">
        <v>23</v>
      </c>
      <c r="I69" t="s">
        <v>109</v>
      </c>
      <c r="J69" t="s">
        <v>1145</v>
      </c>
      <c r="K69" t="s">
        <v>1246</v>
      </c>
      <c r="L69" t="s">
        <v>938</v>
      </c>
      <c r="M69" t="s">
        <v>929</v>
      </c>
      <c r="N69" t="s">
        <v>930</v>
      </c>
      <c r="O69" t="s">
        <v>939</v>
      </c>
      <c r="P69" t="s">
        <v>17</v>
      </c>
      <c r="Q69" t="s">
        <v>18</v>
      </c>
      <c r="R69" t="s">
        <v>1088</v>
      </c>
      <c r="S69" t="s">
        <v>1109</v>
      </c>
      <c r="T69" s="5">
        <v>6</v>
      </c>
      <c r="U69" s="6">
        <v>231.18</v>
      </c>
      <c r="V69" s="6">
        <v>175.97</v>
      </c>
      <c r="W69" s="8">
        <v>0</v>
      </c>
      <c r="X69" s="6">
        <f t="shared" si="5"/>
        <v>1387.08</v>
      </c>
      <c r="Y69" s="6">
        <f t="shared" si="6"/>
        <v>1055.82</v>
      </c>
      <c r="Z69" s="6">
        <f t="shared" si="7"/>
        <v>331.26</v>
      </c>
      <c r="AA69" t="s">
        <v>679</v>
      </c>
      <c r="AC69" s="5">
        <v>3</v>
      </c>
      <c r="AD69" t="s">
        <v>1123</v>
      </c>
      <c r="AE69" t="str">
        <f t="shared" si="8"/>
        <v>2025-05</v>
      </c>
      <c r="AF69" t="str">
        <f t="shared" si="9"/>
        <v>Q2-2025</v>
      </c>
    </row>
    <row r="70" spans="1:32" x14ac:dyDescent="0.3">
      <c r="A70" t="s">
        <v>1247</v>
      </c>
      <c r="B70" s="5">
        <v>4</v>
      </c>
      <c r="C70" s="4">
        <v>45817</v>
      </c>
      <c r="D70" s="4">
        <v>45828</v>
      </c>
      <c r="E70" t="s">
        <v>401</v>
      </c>
      <c r="F70" t="s">
        <v>402</v>
      </c>
      <c r="G70" t="s">
        <v>74</v>
      </c>
      <c r="H70" t="s">
        <v>41</v>
      </c>
      <c r="I70" t="s">
        <v>86</v>
      </c>
      <c r="J70" t="s">
        <v>1086</v>
      </c>
      <c r="K70" t="s">
        <v>1234</v>
      </c>
      <c r="L70" t="s">
        <v>924</v>
      </c>
      <c r="M70" t="s">
        <v>795</v>
      </c>
      <c r="N70" t="s">
        <v>898</v>
      </c>
      <c r="O70" t="s">
        <v>925</v>
      </c>
      <c r="P70" t="s">
        <v>37</v>
      </c>
      <c r="Q70" t="s">
        <v>38</v>
      </c>
      <c r="R70" t="s">
        <v>1094</v>
      </c>
      <c r="S70" t="s">
        <v>1156</v>
      </c>
      <c r="T70" s="5">
        <v>2</v>
      </c>
      <c r="U70" s="6">
        <v>156.78</v>
      </c>
      <c r="V70" s="6">
        <v>97.84</v>
      </c>
      <c r="W70" s="8"/>
      <c r="X70" s="6">
        <f t="shared" si="5"/>
        <v>313.56</v>
      </c>
      <c r="Y70" s="6">
        <f t="shared" si="6"/>
        <v>195.68</v>
      </c>
      <c r="Z70" s="6">
        <f t="shared" si="7"/>
        <v>117.88</v>
      </c>
      <c r="AA70" t="s">
        <v>679</v>
      </c>
      <c r="AC70" s="5">
        <v>3</v>
      </c>
      <c r="AD70" t="s">
        <v>1154</v>
      </c>
      <c r="AE70" t="str">
        <f t="shared" si="8"/>
        <v>2025-06</v>
      </c>
      <c r="AF70" t="str">
        <f t="shared" si="9"/>
        <v>Q2-2025</v>
      </c>
    </row>
    <row r="71" spans="1:32" x14ac:dyDescent="0.3">
      <c r="A71" t="s">
        <v>1248</v>
      </c>
      <c r="B71" s="5">
        <v>1</v>
      </c>
      <c r="C71" s="4">
        <v>45937</v>
      </c>
      <c r="D71" s="4">
        <v>45941</v>
      </c>
      <c r="E71" t="s">
        <v>110</v>
      </c>
      <c r="F71" t="s">
        <v>111</v>
      </c>
      <c r="G71" t="s">
        <v>74</v>
      </c>
      <c r="H71" t="s">
        <v>31</v>
      </c>
      <c r="I71" t="s">
        <v>67</v>
      </c>
      <c r="J71" t="s">
        <v>1128</v>
      </c>
      <c r="K71" t="s">
        <v>1129</v>
      </c>
      <c r="L71" t="s">
        <v>867</v>
      </c>
      <c r="M71" t="s">
        <v>795</v>
      </c>
      <c r="N71" t="s">
        <v>837</v>
      </c>
      <c r="O71" t="s">
        <v>868</v>
      </c>
      <c r="P71" t="s">
        <v>44</v>
      </c>
      <c r="Q71" t="s">
        <v>45</v>
      </c>
      <c r="R71" t="s">
        <v>1088</v>
      </c>
      <c r="S71" t="s">
        <v>1156</v>
      </c>
      <c r="T71" s="5">
        <v>14</v>
      </c>
      <c r="U71" s="6">
        <v>160.87</v>
      </c>
      <c r="V71" s="6">
        <v>90.21</v>
      </c>
      <c r="W71" s="8">
        <v>0.20910000000000001</v>
      </c>
      <c r="X71" s="6">
        <f t="shared" si="5"/>
        <v>1781.2491620000001</v>
      </c>
      <c r="Y71" s="6">
        <f t="shared" si="6"/>
        <v>1262.9399999999998</v>
      </c>
      <c r="Z71" s="6">
        <f t="shared" si="7"/>
        <v>518.30916200000024</v>
      </c>
      <c r="AA71" t="s">
        <v>679</v>
      </c>
      <c r="AC71" s="5">
        <v>3</v>
      </c>
      <c r="AD71" t="s">
        <v>1090</v>
      </c>
      <c r="AE71" t="str">
        <f t="shared" si="8"/>
        <v>2025-10</v>
      </c>
      <c r="AF71" t="str">
        <f t="shared" si="9"/>
        <v>Q4-2025</v>
      </c>
    </row>
    <row r="72" spans="1:32" x14ac:dyDescent="0.3">
      <c r="A72" t="s">
        <v>1249</v>
      </c>
      <c r="B72" s="5">
        <v>2</v>
      </c>
      <c r="C72" s="4">
        <v>45891</v>
      </c>
      <c r="D72" s="4">
        <v>45899</v>
      </c>
      <c r="E72" t="s">
        <v>287</v>
      </c>
      <c r="F72" t="s">
        <v>288</v>
      </c>
      <c r="G72" t="s">
        <v>104</v>
      </c>
      <c r="H72" t="s">
        <v>20</v>
      </c>
      <c r="I72" t="s">
        <v>112</v>
      </c>
      <c r="J72" t="s">
        <v>1201</v>
      </c>
      <c r="K72" t="s">
        <v>1250</v>
      </c>
      <c r="L72" t="s">
        <v>737</v>
      </c>
      <c r="M72" t="s">
        <v>659</v>
      </c>
      <c r="N72" t="s">
        <v>713</v>
      </c>
      <c r="O72" t="s">
        <v>738</v>
      </c>
      <c r="P72" t="s">
        <v>44</v>
      </c>
      <c r="Q72" t="s">
        <v>45</v>
      </c>
      <c r="R72" t="s">
        <v>126</v>
      </c>
      <c r="S72" t="s">
        <v>1100</v>
      </c>
      <c r="T72" s="5">
        <v>8</v>
      </c>
      <c r="U72" s="6">
        <v>72.33</v>
      </c>
      <c r="V72" s="6">
        <v>57.7</v>
      </c>
      <c r="W72" s="8">
        <v>0</v>
      </c>
      <c r="X72" s="6">
        <f t="shared" si="5"/>
        <v>578.64</v>
      </c>
      <c r="Y72" s="6">
        <f t="shared" si="6"/>
        <v>461.6</v>
      </c>
      <c r="Z72" s="6">
        <f t="shared" si="7"/>
        <v>117.03999999999996</v>
      </c>
      <c r="AA72" t="s">
        <v>679</v>
      </c>
      <c r="AC72" s="5">
        <v>1</v>
      </c>
      <c r="AD72" t="s">
        <v>1136</v>
      </c>
      <c r="AE72" t="str">
        <f t="shared" si="8"/>
        <v>2025-08</v>
      </c>
      <c r="AF72" t="str">
        <f t="shared" si="9"/>
        <v>Q3-2025</v>
      </c>
    </row>
    <row r="73" spans="1:32" x14ac:dyDescent="0.3">
      <c r="A73" t="s">
        <v>1251</v>
      </c>
      <c r="B73" s="5">
        <v>4</v>
      </c>
      <c r="C73" s="4">
        <v>45607</v>
      </c>
      <c r="D73" s="4">
        <v>45614</v>
      </c>
      <c r="E73" t="s">
        <v>360</v>
      </c>
      <c r="F73" t="s">
        <v>361</v>
      </c>
      <c r="G73" t="s">
        <v>65</v>
      </c>
      <c r="H73" t="s">
        <v>20</v>
      </c>
      <c r="I73" t="s">
        <v>90</v>
      </c>
      <c r="J73" t="s">
        <v>1171</v>
      </c>
      <c r="K73" t="s">
        <v>1172</v>
      </c>
      <c r="L73" t="s">
        <v>758</v>
      </c>
      <c r="M73" t="s">
        <v>659</v>
      </c>
      <c r="N73" t="s">
        <v>754</v>
      </c>
      <c r="O73" t="s">
        <v>759</v>
      </c>
      <c r="P73" t="s">
        <v>17</v>
      </c>
      <c r="Q73" t="s">
        <v>18</v>
      </c>
      <c r="R73" t="s">
        <v>1114</v>
      </c>
      <c r="S73" t="s">
        <v>1156</v>
      </c>
      <c r="T73" s="5">
        <v>7</v>
      </c>
      <c r="U73" s="6">
        <v>144.08000000000001</v>
      </c>
      <c r="V73" s="6">
        <v>113.63</v>
      </c>
      <c r="W73" s="8">
        <v>0.1386</v>
      </c>
      <c r="X73" s="6">
        <f t="shared" si="5"/>
        <v>868.77358400000003</v>
      </c>
      <c r="Y73" s="6">
        <f t="shared" si="6"/>
        <v>795.41</v>
      </c>
      <c r="Z73" s="6">
        <f t="shared" si="7"/>
        <v>73.36358400000006</v>
      </c>
      <c r="AA73" t="s">
        <v>679</v>
      </c>
      <c r="AC73" s="5">
        <v>4</v>
      </c>
      <c r="AD73" t="s">
        <v>1252</v>
      </c>
      <c r="AE73" t="str">
        <f t="shared" si="8"/>
        <v>2024-11</v>
      </c>
      <c r="AF73" t="str">
        <f t="shared" si="9"/>
        <v>Q4-2024</v>
      </c>
    </row>
    <row r="74" spans="1:32" x14ac:dyDescent="0.3">
      <c r="A74" t="s">
        <v>1253</v>
      </c>
      <c r="B74" s="5">
        <v>2</v>
      </c>
      <c r="C74" s="4">
        <v>45464</v>
      </c>
      <c r="D74" s="4">
        <v>45467</v>
      </c>
      <c r="E74" t="s">
        <v>492</v>
      </c>
      <c r="F74" t="s">
        <v>1254</v>
      </c>
      <c r="G74" t="s">
        <v>74</v>
      </c>
      <c r="H74" t="s">
        <v>23</v>
      </c>
      <c r="I74" t="s">
        <v>109</v>
      </c>
      <c r="J74" t="s">
        <v>1138</v>
      </c>
      <c r="K74" t="s">
        <v>1255</v>
      </c>
      <c r="L74" t="s">
        <v>1054</v>
      </c>
      <c r="M74" t="s">
        <v>1002</v>
      </c>
      <c r="N74" t="s">
        <v>1034</v>
      </c>
      <c r="O74" t="s">
        <v>1055</v>
      </c>
      <c r="P74" t="s">
        <v>44</v>
      </c>
      <c r="Q74" t="s">
        <v>45</v>
      </c>
      <c r="R74" t="s">
        <v>126</v>
      </c>
      <c r="S74" t="s">
        <v>1089</v>
      </c>
      <c r="T74" s="5">
        <v>3</v>
      </c>
      <c r="U74" s="6">
        <v>301.48</v>
      </c>
      <c r="V74" s="6">
        <v>167.38</v>
      </c>
      <c r="W74" s="8">
        <v>0.30620000000000003</v>
      </c>
      <c r="X74" s="6">
        <f t="shared" si="5"/>
        <v>627.50047200000006</v>
      </c>
      <c r="Y74" s="6">
        <f t="shared" si="6"/>
        <v>502.14</v>
      </c>
      <c r="Z74" s="6">
        <f t="shared" si="7"/>
        <v>125.36047200000007</v>
      </c>
      <c r="AA74" t="s">
        <v>679</v>
      </c>
      <c r="AC74" s="5">
        <v>2</v>
      </c>
      <c r="AD74" t="s">
        <v>1105</v>
      </c>
      <c r="AE74" t="str">
        <f t="shared" si="8"/>
        <v>2024-06</v>
      </c>
      <c r="AF74" t="str">
        <f t="shared" si="9"/>
        <v>Q2-2024</v>
      </c>
    </row>
    <row r="75" spans="1:32" x14ac:dyDescent="0.3">
      <c r="A75" t="s">
        <v>1256</v>
      </c>
      <c r="B75" s="5">
        <v>4</v>
      </c>
      <c r="C75" s="4">
        <v>45617</v>
      </c>
      <c r="D75" s="4">
        <v>45623</v>
      </c>
      <c r="E75" t="s">
        <v>636</v>
      </c>
      <c r="F75" t="s">
        <v>236</v>
      </c>
      <c r="G75" t="s">
        <v>74</v>
      </c>
      <c r="H75" t="s">
        <v>23</v>
      </c>
      <c r="I75" t="s">
        <v>81</v>
      </c>
      <c r="J75" t="s">
        <v>1119</v>
      </c>
      <c r="K75" t="s">
        <v>1189</v>
      </c>
      <c r="L75" t="s">
        <v>900</v>
      </c>
      <c r="M75" t="s">
        <v>795</v>
      </c>
      <c r="N75" t="s">
        <v>898</v>
      </c>
      <c r="O75" t="s">
        <v>901</v>
      </c>
      <c r="P75" t="s">
        <v>50</v>
      </c>
      <c r="Q75" t="s">
        <v>51</v>
      </c>
      <c r="R75" t="s">
        <v>1114</v>
      </c>
      <c r="S75" t="s">
        <v>1089</v>
      </c>
      <c r="T75" s="5">
        <v>7</v>
      </c>
      <c r="U75" s="6">
        <v>203.4</v>
      </c>
      <c r="V75" s="6">
        <v>103.83</v>
      </c>
      <c r="W75" s="8">
        <v>0</v>
      </c>
      <c r="X75" s="6">
        <f t="shared" si="5"/>
        <v>1423.8</v>
      </c>
      <c r="Y75" s="6">
        <f t="shared" si="6"/>
        <v>726.81</v>
      </c>
      <c r="Z75" s="6">
        <f t="shared" si="7"/>
        <v>696.99</v>
      </c>
      <c r="AA75" t="s">
        <v>679</v>
      </c>
      <c r="AC75" s="5">
        <v>3</v>
      </c>
      <c r="AD75" t="s">
        <v>1140</v>
      </c>
      <c r="AE75" t="str">
        <f t="shared" si="8"/>
        <v>2024-11</v>
      </c>
      <c r="AF75" t="str">
        <f t="shared" si="9"/>
        <v>Q4-2024</v>
      </c>
    </row>
    <row r="76" spans="1:32" x14ac:dyDescent="0.3">
      <c r="A76" t="s">
        <v>1257</v>
      </c>
      <c r="B76" s="5">
        <v>5</v>
      </c>
      <c r="C76" s="4">
        <v>45352</v>
      </c>
      <c r="D76" s="4">
        <v>45363</v>
      </c>
      <c r="E76" t="s">
        <v>227</v>
      </c>
      <c r="F76" t="s">
        <v>228</v>
      </c>
      <c r="G76" t="s">
        <v>80</v>
      </c>
      <c r="H76" t="s">
        <v>41</v>
      </c>
      <c r="I76" t="s">
        <v>75</v>
      </c>
      <c r="J76" t="s">
        <v>1142</v>
      </c>
      <c r="K76" t="s">
        <v>1143</v>
      </c>
      <c r="L76" t="s">
        <v>924</v>
      </c>
      <c r="M76" t="s">
        <v>795</v>
      </c>
      <c r="N76" t="s">
        <v>898</v>
      </c>
      <c r="O76" t="s">
        <v>925</v>
      </c>
      <c r="P76" t="s">
        <v>21</v>
      </c>
      <c r="Q76" t="s">
        <v>22</v>
      </c>
      <c r="R76" t="s">
        <v>1088</v>
      </c>
      <c r="S76" t="s">
        <v>1156</v>
      </c>
      <c r="T76" s="5">
        <v>10</v>
      </c>
      <c r="U76" s="6">
        <v>153.36000000000001</v>
      </c>
      <c r="V76" s="6">
        <v>97.84</v>
      </c>
      <c r="W76" s="8">
        <v>0</v>
      </c>
      <c r="X76" s="6">
        <f t="shared" si="5"/>
        <v>1533.6000000000001</v>
      </c>
      <c r="Y76" s="6">
        <f t="shared" si="6"/>
        <v>978.40000000000009</v>
      </c>
      <c r="Z76" s="6">
        <f t="shared" si="7"/>
        <v>555.20000000000005</v>
      </c>
      <c r="AA76" t="s">
        <v>679</v>
      </c>
      <c r="AC76" s="5">
        <v>3</v>
      </c>
      <c r="AD76" t="s">
        <v>1110</v>
      </c>
      <c r="AE76" t="str">
        <f t="shared" si="8"/>
        <v>2024-03</v>
      </c>
      <c r="AF76" t="str">
        <f t="shared" si="9"/>
        <v>Q1-2024</v>
      </c>
    </row>
    <row r="77" spans="1:32" x14ac:dyDescent="0.3">
      <c r="A77" t="s">
        <v>1258</v>
      </c>
      <c r="B77" s="5">
        <v>1</v>
      </c>
      <c r="C77" s="4">
        <v>46020</v>
      </c>
      <c r="D77" s="4">
        <v>46027</v>
      </c>
      <c r="E77" t="s">
        <v>171</v>
      </c>
      <c r="F77" t="s">
        <v>1259</v>
      </c>
      <c r="G77" t="s">
        <v>104</v>
      </c>
      <c r="H77" t="s">
        <v>41</v>
      </c>
      <c r="I77" t="s">
        <v>86</v>
      </c>
      <c r="J77" t="s">
        <v>1107</v>
      </c>
      <c r="K77" t="s">
        <v>1108</v>
      </c>
      <c r="L77" t="s">
        <v>861</v>
      </c>
      <c r="M77" t="s">
        <v>795</v>
      </c>
      <c r="N77" t="s">
        <v>837</v>
      </c>
      <c r="O77" t="s">
        <v>862</v>
      </c>
      <c r="P77" t="s">
        <v>17</v>
      </c>
      <c r="Q77" t="s">
        <v>18</v>
      </c>
      <c r="R77" t="s">
        <v>1114</v>
      </c>
      <c r="S77" t="s">
        <v>1089</v>
      </c>
      <c r="T77" s="5">
        <v>16</v>
      </c>
      <c r="U77" s="6">
        <v>324.76</v>
      </c>
      <c r="V77" s="6">
        <v>195.61</v>
      </c>
      <c r="W77" s="8">
        <v>0.255</v>
      </c>
      <c r="X77" s="6">
        <f t="shared" si="5"/>
        <v>3871.1392000000001</v>
      </c>
      <c r="Y77" s="6">
        <f t="shared" si="6"/>
        <v>3129.76</v>
      </c>
      <c r="Z77" s="6">
        <f t="shared" si="7"/>
        <v>741.37919999999986</v>
      </c>
      <c r="AA77" t="s">
        <v>679</v>
      </c>
      <c r="AC77" s="5">
        <v>4</v>
      </c>
      <c r="AD77" t="s">
        <v>1140</v>
      </c>
      <c r="AE77" t="str">
        <f t="shared" si="8"/>
        <v>2025-12</v>
      </c>
      <c r="AF77" t="str">
        <f t="shared" si="9"/>
        <v>Q4-2025</v>
      </c>
    </row>
    <row r="78" spans="1:32" x14ac:dyDescent="0.3">
      <c r="A78" t="s">
        <v>1260</v>
      </c>
      <c r="B78" s="5">
        <v>2</v>
      </c>
      <c r="C78" s="4">
        <v>45300</v>
      </c>
      <c r="D78" s="4">
        <v>45309</v>
      </c>
      <c r="E78" t="s">
        <v>87</v>
      </c>
      <c r="F78" t="s">
        <v>88</v>
      </c>
      <c r="G78" t="s">
        <v>80</v>
      </c>
      <c r="H78" t="s">
        <v>41</v>
      </c>
      <c r="I78" t="s">
        <v>75</v>
      </c>
      <c r="J78" t="s">
        <v>1142</v>
      </c>
      <c r="K78" t="s">
        <v>1143</v>
      </c>
      <c r="L78" t="s">
        <v>663</v>
      </c>
      <c r="M78" t="s">
        <v>659</v>
      </c>
      <c r="N78" t="s">
        <v>660</v>
      </c>
      <c r="O78" t="s">
        <v>664</v>
      </c>
      <c r="P78" t="s">
        <v>42</v>
      </c>
      <c r="Q78" t="s">
        <v>43</v>
      </c>
      <c r="R78" t="s">
        <v>1114</v>
      </c>
      <c r="S78" t="s">
        <v>1109</v>
      </c>
      <c r="T78" s="5">
        <v>17</v>
      </c>
      <c r="U78" s="6">
        <v>126.79</v>
      </c>
      <c r="V78" s="6">
        <v>92.23</v>
      </c>
      <c r="W78" s="8">
        <v>0</v>
      </c>
      <c r="X78" s="6">
        <f t="shared" si="5"/>
        <v>2155.4300000000003</v>
      </c>
      <c r="Y78" s="6">
        <f t="shared" si="6"/>
        <v>1567.91</v>
      </c>
      <c r="Z78" s="6">
        <f t="shared" si="7"/>
        <v>587.52000000000021</v>
      </c>
      <c r="AA78" t="s">
        <v>679</v>
      </c>
      <c r="AC78" s="5">
        <v>5</v>
      </c>
      <c r="AD78" t="s">
        <v>1101</v>
      </c>
      <c r="AE78" t="str">
        <f t="shared" si="8"/>
        <v>2024-01</v>
      </c>
      <c r="AF78" t="str">
        <f t="shared" si="9"/>
        <v>Q1-2024</v>
      </c>
    </row>
    <row r="79" spans="1:32" x14ac:dyDescent="0.3">
      <c r="A79" t="s">
        <v>1261</v>
      </c>
      <c r="B79" s="5">
        <v>2</v>
      </c>
      <c r="C79" s="4">
        <v>45448</v>
      </c>
      <c r="D79" s="4">
        <v>45448</v>
      </c>
      <c r="E79" t="s">
        <v>117</v>
      </c>
      <c r="F79" t="s">
        <v>118</v>
      </c>
      <c r="G79" t="s">
        <v>74</v>
      </c>
      <c r="H79" t="s">
        <v>20</v>
      </c>
      <c r="I79" t="s">
        <v>90</v>
      </c>
      <c r="J79" t="s">
        <v>1262</v>
      </c>
      <c r="K79" t="s">
        <v>1263</v>
      </c>
      <c r="L79" t="s">
        <v>706</v>
      </c>
      <c r="M79" t="s">
        <v>659</v>
      </c>
      <c r="N79" t="s">
        <v>660</v>
      </c>
      <c r="O79" t="s">
        <v>707</v>
      </c>
      <c r="P79" t="s">
        <v>17</v>
      </c>
      <c r="Q79" t="s">
        <v>18</v>
      </c>
      <c r="R79" t="s">
        <v>1088</v>
      </c>
      <c r="S79" t="s">
        <v>1100</v>
      </c>
      <c r="T79" s="5">
        <v>5</v>
      </c>
      <c r="U79" s="6">
        <v>67.209999999999994</v>
      </c>
      <c r="V79" s="6">
        <v>51.44</v>
      </c>
      <c r="W79" s="8">
        <v>0.20549999999999999</v>
      </c>
      <c r="X79" s="6">
        <f t="shared" si="5"/>
        <v>266.99172499999997</v>
      </c>
      <c r="Y79" s="6">
        <f t="shared" si="6"/>
        <v>257.2</v>
      </c>
      <c r="Z79" s="6">
        <f t="shared" si="7"/>
        <v>9.7917249999999854</v>
      </c>
      <c r="AA79" t="s">
        <v>679</v>
      </c>
      <c r="AC79" s="5">
        <v>1</v>
      </c>
      <c r="AD79" t="s">
        <v>1123</v>
      </c>
      <c r="AE79" t="str">
        <f t="shared" si="8"/>
        <v>2024-06</v>
      </c>
      <c r="AF79" t="str">
        <f t="shared" si="9"/>
        <v>Q2-2024</v>
      </c>
    </row>
    <row r="80" spans="1:32" x14ac:dyDescent="0.3">
      <c r="A80" t="s">
        <v>1264</v>
      </c>
      <c r="B80" s="5">
        <v>4</v>
      </c>
      <c r="C80" s="4">
        <v>45366</v>
      </c>
      <c r="D80" s="4">
        <v>45378</v>
      </c>
      <c r="E80" t="s">
        <v>618</v>
      </c>
      <c r="F80" t="s">
        <v>122</v>
      </c>
      <c r="G80" t="s">
        <v>74</v>
      </c>
      <c r="H80" t="s">
        <v>23</v>
      </c>
      <c r="I80" t="s">
        <v>109</v>
      </c>
      <c r="J80" t="s">
        <v>1138</v>
      </c>
      <c r="K80" t="s">
        <v>1255</v>
      </c>
      <c r="L80" t="s">
        <v>725</v>
      </c>
      <c r="M80" t="s">
        <v>659</v>
      </c>
      <c r="N80" t="s">
        <v>713</v>
      </c>
      <c r="O80" t="s">
        <v>726</v>
      </c>
      <c r="P80" t="s">
        <v>46</v>
      </c>
      <c r="Q80" t="s">
        <v>47</v>
      </c>
      <c r="R80" t="s">
        <v>1114</v>
      </c>
      <c r="S80" t="s">
        <v>1109</v>
      </c>
      <c r="T80" s="5">
        <v>11</v>
      </c>
      <c r="U80" s="6">
        <v>118.37</v>
      </c>
      <c r="V80" s="6">
        <v>94.07</v>
      </c>
      <c r="W80" s="8">
        <v>0</v>
      </c>
      <c r="X80" s="6">
        <f t="shared" si="5"/>
        <v>1302.0700000000002</v>
      </c>
      <c r="Y80" s="6">
        <f t="shared" si="6"/>
        <v>1034.77</v>
      </c>
      <c r="Z80" s="6">
        <f t="shared" si="7"/>
        <v>267.30000000000018</v>
      </c>
      <c r="AA80" t="s">
        <v>679</v>
      </c>
      <c r="AC80" s="5"/>
      <c r="AD80" t="s">
        <v>1140</v>
      </c>
      <c r="AE80" t="str">
        <f t="shared" si="8"/>
        <v>2024-03</v>
      </c>
      <c r="AF80" t="str">
        <f t="shared" si="9"/>
        <v>Q1-2024</v>
      </c>
    </row>
    <row r="81" spans="1:32" x14ac:dyDescent="0.3">
      <c r="A81" t="s">
        <v>1265</v>
      </c>
      <c r="B81" s="5">
        <v>3</v>
      </c>
      <c r="C81" s="4">
        <v>45835</v>
      </c>
      <c r="D81" s="4">
        <v>45844</v>
      </c>
      <c r="E81" t="s">
        <v>440</v>
      </c>
      <c r="F81" t="s">
        <v>220</v>
      </c>
      <c r="G81" t="s">
        <v>65</v>
      </c>
      <c r="H81" t="s">
        <v>20</v>
      </c>
      <c r="I81" t="s">
        <v>71</v>
      </c>
      <c r="J81" t="s">
        <v>1112</v>
      </c>
      <c r="K81" t="s">
        <v>1266</v>
      </c>
      <c r="L81" t="s">
        <v>1046</v>
      </c>
      <c r="M81" t="s">
        <v>1002</v>
      </c>
      <c r="N81" t="s">
        <v>1034</v>
      </c>
      <c r="O81" t="s">
        <v>1047</v>
      </c>
      <c r="P81" t="s">
        <v>44</v>
      </c>
      <c r="Q81" t="s">
        <v>45</v>
      </c>
      <c r="R81" t="s">
        <v>1094</v>
      </c>
      <c r="S81" t="s">
        <v>1089</v>
      </c>
      <c r="T81" s="5">
        <v>8</v>
      </c>
      <c r="U81" s="6">
        <v>231.16</v>
      </c>
      <c r="V81" s="6">
        <v>153.29</v>
      </c>
      <c r="W81" s="8">
        <v>0</v>
      </c>
      <c r="X81" s="6">
        <f t="shared" si="5"/>
        <v>1849.28</v>
      </c>
      <c r="Y81" s="6">
        <f t="shared" si="6"/>
        <v>1226.32</v>
      </c>
      <c r="Z81" s="6">
        <f t="shared" si="7"/>
        <v>622.96</v>
      </c>
      <c r="AA81" t="s">
        <v>679</v>
      </c>
      <c r="AC81" s="5">
        <v>4</v>
      </c>
      <c r="AE81" t="str">
        <f t="shared" si="8"/>
        <v>2025-06</v>
      </c>
      <c r="AF81" t="str">
        <f t="shared" si="9"/>
        <v>Q2-2025</v>
      </c>
    </row>
    <row r="82" spans="1:32" x14ac:dyDescent="0.3">
      <c r="A82" t="s">
        <v>1267</v>
      </c>
      <c r="B82" s="5">
        <v>5</v>
      </c>
      <c r="C82" s="4">
        <v>45949</v>
      </c>
      <c r="D82" s="4">
        <v>45952</v>
      </c>
      <c r="E82" t="s">
        <v>287</v>
      </c>
      <c r="F82" t="s">
        <v>288</v>
      </c>
      <c r="G82" t="s">
        <v>104</v>
      </c>
      <c r="H82" t="s">
        <v>31</v>
      </c>
      <c r="I82" t="s">
        <v>127</v>
      </c>
      <c r="J82" t="s">
        <v>1116</v>
      </c>
      <c r="K82" t="s">
        <v>1117</v>
      </c>
      <c r="L82" t="s">
        <v>818</v>
      </c>
      <c r="M82" t="s">
        <v>795</v>
      </c>
      <c r="N82" t="s">
        <v>796</v>
      </c>
      <c r="O82" t="s">
        <v>819</v>
      </c>
      <c r="P82" t="s">
        <v>39</v>
      </c>
      <c r="Q82" t="s">
        <v>40</v>
      </c>
      <c r="R82" t="s">
        <v>1094</v>
      </c>
      <c r="S82" t="s">
        <v>1089</v>
      </c>
      <c r="T82" s="5">
        <v>4</v>
      </c>
      <c r="U82" s="6">
        <v>295.54000000000002</v>
      </c>
      <c r="V82" s="6">
        <v>197.79</v>
      </c>
      <c r="W82" s="8">
        <v>0</v>
      </c>
      <c r="X82" s="6">
        <f t="shared" si="5"/>
        <v>1182.1600000000001</v>
      </c>
      <c r="Y82" s="6">
        <f t="shared" si="6"/>
        <v>791.16</v>
      </c>
      <c r="Z82" s="6">
        <f t="shared" si="7"/>
        <v>391.00000000000011</v>
      </c>
      <c r="AA82" t="s">
        <v>679</v>
      </c>
      <c r="AC82" s="5"/>
      <c r="AD82" t="s">
        <v>1136</v>
      </c>
      <c r="AE82" t="str">
        <f t="shared" si="8"/>
        <v>2025-10</v>
      </c>
      <c r="AF82" t="str">
        <f t="shared" si="9"/>
        <v>Q4-2025</v>
      </c>
    </row>
    <row r="83" spans="1:32" x14ac:dyDescent="0.3">
      <c r="A83" t="s">
        <v>1268</v>
      </c>
      <c r="B83" s="5">
        <v>4</v>
      </c>
      <c r="C83" s="4">
        <v>45333</v>
      </c>
      <c r="D83" s="4">
        <v>45343</v>
      </c>
      <c r="E83" t="s">
        <v>241</v>
      </c>
      <c r="F83" t="s">
        <v>242</v>
      </c>
      <c r="G83" t="s">
        <v>84</v>
      </c>
      <c r="H83" t="s">
        <v>41</v>
      </c>
      <c r="I83" t="s">
        <v>75</v>
      </c>
      <c r="J83" t="s">
        <v>1142</v>
      </c>
      <c r="K83" t="s">
        <v>1198</v>
      </c>
      <c r="L83" t="s">
        <v>1054</v>
      </c>
      <c r="M83" t="s">
        <v>1002</v>
      </c>
      <c r="N83" t="s">
        <v>1034</v>
      </c>
      <c r="O83" t="s">
        <v>1055</v>
      </c>
      <c r="P83" t="s">
        <v>17</v>
      </c>
      <c r="Q83" t="s">
        <v>18</v>
      </c>
      <c r="R83" t="s">
        <v>1114</v>
      </c>
      <c r="S83" t="s">
        <v>1109</v>
      </c>
      <c r="T83" s="5">
        <v>24</v>
      </c>
      <c r="U83" s="6">
        <v>277.36</v>
      </c>
      <c r="V83" s="6">
        <v>167.38</v>
      </c>
      <c r="W83" s="8">
        <v>0</v>
      </c>
      <c r="X83" s="6">
        <f t="shared" si="5"/>
        <v>6656.64</v>
      </c>
      <c r="Y83" s="6">
        <f t="shared" si="6"/>
        <v>4017.12</v>
      </c>
      <c r="Z83" s="6">
        <f t="shared" si="7"/>
        <v>2639.5200000000004</v>
      </c>
      <c r="AA83" t="s">
        <v>679</v>
      </c>
      <c r="AC83" s="5"/>
      <c r="AE83" t="str">
        <f t="shared" si="8"/>
        <v>2024-02</v>
      </c>
      <c r="AF83" t="str">
        <f t="shared" si="9"/>
        <v>Q1-2024</v>
      </c>
    </row>
    <row r="84" spans="1:32" x14ac:dyDescent="0.3">
      <c r="A84" t="s">
        <v>1269</v>
      </c>
      <c r="B84" s="5">
        <v>4</v>
      </c>
      <c r="C84" s="4">
        <v>45938</v>
      </c>
      <c r="D84" s="4">
        <v>45946</v>
      </c>
      <c r="E84" t="s">
        <v>636</v>
      </c>
      <c r="F84" t="s">
        <v>236</v>
      </c>
      <c r="G84" t="s">
        <v>74</v>
      </c>
      <c r="H84" t="s">
        <v>41</v>
      </c>
      <c r="I84" t="s">
        <v>86</v>
      </c>
      <c r="J84" t="s">
        <v>1086</v>
      </c>
      <c r="K84" t="s">
        <v>1087</v>
      </c>
      <c r="L84" t="s">
        <v>1033</v>
      </c>
      <c r="M84" t="s">
        <v>1002</v>
      </c>
      <c r="N84" t="s">
        <v>1034</v>
      </c>
      <c r="O84" t="s">
        <v>1035</v>
      </c>
      <c r="P84" t="s">
        <v>50</v>
      </c>
      <c r="Q84" t="s">
        <v>51</v>
      </c>
      <c r="R84" t="s">
        <v>1088</v>
      </c>
      <c r="S84" t="s">
        <v>1109</v>
      </c>
      <c r="T84" s="5">
        <v>11</v>
      </c>
      <c r="U84" s="6">
        <v>208</v>
      </c>
      <c r="V84" s="6">
        <v>113.68</v>
      </c>
      <c r="W84" s="8">
        <v>0</v>
      </c>
      <c r="X84" s="6">
        <f t="shared" si="5"/>
        <v>2288</v>
      </c>
      <c r="Y84" s="6">
        <f t="shared" si="6"/>
        <v>1250.48</v>
      </c>
      <c r="Z84" s="6">
        <f t="shared" si="7"/>
        <v>1037.52</v>
      </c>
      <c r="AA84" t="s">
        <v>679</v>
      </c>
      <c r="AC84" s="5">
        <v>1</v>
      </c>
      <c r="AD84" t="s">
        <v>1136</v>
      </c>
      <c r="AE84" t="str">
        <f t="shared" si="8"/>
        <v>2025-10</v>
      </c>
      <c r="AF84" t="str">
        <f t="shared" si="9"/>
        <v>Q4-2025</v>
      </c>
    </row>
    <row r="85" spans="1:32" x14ac:dyDescent="0.3">
      <c r="A85" t="s">
        <v>1270</v>
      </c>
      <c r="B85" s="5">
        <v>1</v>
      </c>
      <c r="C85" s="4">
        <v>45751</v>
      </c>
      <c r="D85" s="4">
        <v>45759</v>
      </c>
      <c r="E85" t="s">
        <v>560</v>
      </c>
      <c r="F85" t="s">
        <v>200</v>
      </c>
      <c r="G85" t="s">
        <v>65</v>
      </c>
      <c r="H85" t="s">
        <v>20</v>
      </c>
      <c r="I85" t="s">
        <v>90</v>
      </c>
      <c r="J85" t="s">
        <v>1262</v>
      </c>
      <c r="K85" t="s">
        <v>1263</v>
      </c>
      <c r="L85" t="s">
        <v>1048</v>
      </c>
      <c r="M85" t="s">
        <v>1002</v>
      </c>
      <c r="N85" t="s">
        <v>1034</v>
      </c>
      <c r="O85" t="s">
        <v>1049</v>
      </c>
      <c r="P85" t="s">
        <v>50</v>
      </c>
      <c r="Q85" t="s">
        <v>51</v>
      </c>
      <c r="R85" t="s">
        <v>1094</v>
      </c>
      <c r="S85" t="s">
        <v>1089</v>
      </c>
      <c r="T85" s="5">
        <v>4</v>
      </c>
      <c r="U85" s="6">
        <v>353.14</v>
      </c>
      <c r="V85" s="6">
        <v>208.54</v>
      </c>
      <c r="W85" s="8">
        <v>0</v>
      </c>
      <c r="X85" s="6">
        <f t="shared" si="5"/>
        <v>1412.56</v>
      </c>
      <c r="Y85" s="6">
        <f t="shared" si="6"/>
        <v>834.16</v>
      </c>
      <c r="Z85" s="6">
        <f t="shared" si="7"/>
        <v>578.4</v>
      </c>
      <c r="AA85" t="s">
        <v>679</v>
      </c>
      <c r="AC85" s="5">
        <v>5</v>
      </c>
      <c r="AD85" t="s">
        <v>1123</v>
      </c>
      <c r="AE85" t="str">
        <f t="shared" si="8"/>
        <v>2025-04</v>
      </c>
      <c r="AF85" t="str">
        <f t="shared" si="9"/>
        <v>Q2-2025</v>
      </c>
    </row>
    <row r="86" spans="1:32" x14ac:dyDescent="0.3">
      <c r="A86" t="s">
        <v>1271</v>
      </c>
      <c r="B86" s="5">
        <v>5</v>
      </c>
      <c r="C86" s="4">
        <v>45386</v>
      </c>
      <c r="D86" s="4">
        <v>45391</v>
      </c>
      <c r="E86" t="s">
        <v>130</v>
      </c>
      <c r="F86" t="s">
        <v>131</v>
      </c>
      <c r="G86" t="s">
        <v>65</v>
      </c>
      <c r="H86" t="s">
        <v>23</v>
      </c>
      <c r="I86" t="s">
        <v>81</v>
      </c>
      <c r="J86" t="s">
        <v>1163</v>
      </c>
      <c r="K86" t="s">
        <v>1219</v>
      </c>
      <c r="L86" t="s">
        <v>964</v>
      </c>
      <c r="M86" t="s">
        <v>929</v>
      </c>
      <c r="N86" t="s">
        <v>930</v>
      </c>
      <c r="O86" t="s">
        <v>965</v>
      </c>
      <c r="P86" t="s">
        <v>48</v>
      </c>
      <c r="Q86" t="s">
        <v>49</v>
      </c>
      <c r="R86" t="s">
        <v>1088</v>
      </c>
      <c r="S86" t="s">
        <v>1089</v>
      </c>
      <c r="T86" s="5">
        <v>9</v>
      </c>
      <c r="U86" s="6">
        <v>172.5</v>
      </c>
      <c r="V86" s="6">
        <v>101.47</v>
      </c>
      <c r="W86" s="8">
        <v>0.12529999999999999</v>
      </c>
      <c r="X86" s="6">
        <f t="shared" si="5"/>
        <v>1357.9717500000002</v>
      </c>
      <c r="Y86" s="6">
        <f t="shared" si="6"/>
        <v>913.23</v>
      </c>
      <c r="Z86" s="6">
        <f t="shared" si="7"/>
        <v>444.74175000000014</v>
      </c>
      <c r="AA86" t="s">
        <v>679</v>
      </c>
      <c r="AC86" s="5">
        <v>2</v>
      </c>
      <c r="AD86" t="s">
        <v>1154</v>
      </c>
      <c r="AE86" t="str">
        <f t="shared" si="8"/>
        <v>2024-04</v>
      </c>
      <c r="AF86" t="str">
        <f t="shared" si="9"/>
        <v>Q2-2024</v>
      </c>
    </row>
    <row r="87" spans="1:32" x14ac:dyDescent="0.3">
      <c r="A87" t="s">
        <v>1272</v>
      </c>
      <c r="B87" s="5">
        <v>1</v>
      </c>
      <c r="C87" s="4">
        <v>45508</v>
      </c>
      <c r="D87" s="4">
        <v>45516</v>
      </c>
      <c r="E87" t="s">
        <v>405</v>
      </c>
      <c r="F87" t="s">
        <v>406</v>
      </c>
      <c r="G87" t="s">
        <v>74</v>
      </c>
      <c r="H87" t="s">
        <v>31</v>
      </c>
      <c r="I87" t="s">
        <v>67</v>
      </c>
      <c r="J87" t="s">
        <v>1207</v>
      </c>
      <c r="K87" t="s">
        <v>1208</v>
      </c>
      <c r="L87" t="s">
        <v>962</v>
      </c>
      <c r="M87" t="s">
        <v>929</v>
      </c>
      <c r="N87" t="s">
        <v>930</v>
      </c>
      <c r="O87" t="s">
        <v>963</v>
      </c>
      <c r="P87" t="s">
        <v>27</v>
      </c>
      <c r="Q87" t="s">
        <v>28</v>
      </c>
      <c r="R87" t="s">
        <v>1088</v>
      </c>
      <c r="S87" t="s">
        <v>1109</v>
      </c>
      <c r="T87" s="5">
        <v>10</v>
      </c>
      <c r="U87" s="6">
        <v>162.82</v>
      </c>
      <c r="V87" s="6">
        <v>108.41</v>
      </c>
      <c r="W87" s="8">
        <v>0.22770000000000001</v>
      </c>
      <c r="X87" s="6">
        <f t="shared" si="5"/>
        <v>1257.4588599999997</v>
      </c>
      <c r="Y87" s="6">
        <f t="shared" si="6"/>
        <v>1084.0999999999999</v>
      </c>
      <c r="Z87" s="6">
        <f t="shared" si="7"/>
        <v>173.35885999999982</v>
      </c>
      <c r="AA87" t="s">
        <v>679</v>
      </c>
      <c r="AC87" s="5"/>
      <c r="AD87" t="s">
        <v>1148</v>
      </c>
      <c r="AE87" t="str">
        <f t="shared" si="8"/>
        <v>2024-08</v>
      </c>
      <c r="AF87" t="str">
        <f t="shared" si="9"/>
        <v>Q3-2024</v>
      </c>
    </row>
    <row r="88" spans="1:32" x14ac:dyDescent="0.3">
      <c r="A88" t="s">
        <v>1273</v>
      </c>
      <c r="B88" s="5">
        <v>5</v>
      </c>
      <c r="C88" s="4">
        <v>45377</v>
      </c>
      <c r="D88" s="4">
        <v>45391</v>
      </c>
      <c r="E88" t="s">
        <v>544</v>
      </c>
      <c r="F88" t="s">
        <v>545</v>
      </c>
      <c r="G88" t="s">
        <v>65</v>
      </c>
      <c r="H88" t="s">
        <v>20</v>
      </c>
      <c r="I88" t="s">
        <v>90</v>
      </c>
      <c r="J88" t="s">
        <v>1262</v>
      </c>
      <c r="K88" t="s">
        <v>1274</v>
      </c>
      <c r="L88" t="s">
        <v>900</v>
      </c>
      <c r="M88" t="s">
        <v>795</v>
      </c>
      <c r="N88" t="s">
        <v>898</v>
      </c>
      <c r="O88" t="s">
        <v>901</v>
      </c>
      <c r="P88" t="s">
        <v>29</v>
      </c>
      <c r="Q88" t="s">
        <v>30</v>
      </c>
      <c r="R88" t="s">
        <v>1114</v>
      </c>
      <c r="S88" t="s">
        <v>1156</v>
      </c>
      <c r="T88" s="5">
        <v>12</v>
      </c>
      <c r="U88" s="6">
        <v>158.34</v>
      </c>
      <c r="V88" s="6">
        <v>103.83</v>
      </c>
      <c r="W88" s="8">
        <v>0</v>
      </c>
      <c r="X88" s="6">
        <f t="shared" si="5"/>
        <v>1900.08</v>
      </c>
      <c r="Y88" s="6">
        <f t="shared" si="6"/>
        <v>1245.96</v>
      </c>
      <c r="Z88" s="6">
        <f t="shared" si="7"/>
        <v>654.11999999999989</v>
      </c>
      <c r="AA88" t="s">
        <v>679</v>
      </c>
      <c r="AC88" s="5"/>
      <c r="AD88" t="s">
        <v>1136</v>
      </c>
      <c r="AE88" t="str">
        <f t="shared" si="8"/>
        <v>2024-03</v>
      </c>
      <c r="AF88" t="str">
        <f t="shared" si="9"/>
        <v>Q1-2024</v>
      </c>
    </row>
    <row r="89" spans="1:32" x14ac:dyDescent="0.3">
      <c r="A89" t="s">
        <v>1275</v>
      </c>
      <c r="B89" s="5">
        <v>4</v>
      </c>
      <c r="C89" s="4">
        <v>45796</v>
      </c>
      <c r="D89" s="4">
        <v>45796</v>
      </c>
      <c r="E89" t="s">
        <v>198</v>
      </c>
      <c r="F89" t="s">
        <v>101</v>
      </c>
      <c r="G89" t="s">
        <v>104</v>
      </c>
      <c r="H89" t="s">
        <v>31</v>
      </c>
      <c r="I89" t="s">
        <v>127</v>
      </c>
      <c r="J89" t="s">
        <v>1098</v>
      </c>
      <c r="K89" t="s">
        <v>1161</v>
      </c>
      <c r="L89" t="s">
        <v>810</v>
      </c>
      <c r="M89" t="s">
        <v>795</v>
      </c>
      <c r="N89" t="s">
        <v>796</v>
      </c>
      <c r="O89" t="s">
        <v>811</v>
      </c>
      <c r="P89" t="s">
        <v>48</v>
      </c>
      <c r="Q89" t="s">
        <v>49</v>
      </c>
      <c r="R89" t="s">
        <v>1088</v>
      </c>
      <c r="S89" t="s">
        <v>1156</v>
      </c>
      <c r="T89" s="5">
        <v>14</v>
      </c>
      <c r="U89" s="6">
        <v>248.86</v>
      </c>
      <c r="V89" s="6">
        <v>141.55000000000001</v>
      </c>
      <c r="W89" s="8">
        <v>0</v>
      </c>
      <c r="X89" s="6">
        <f t="shared" si="5"/>
        <v>3484.04</v>
      </c>
      <c r="Y89" s="6">
        <f t="shared" si="6"/>
        <v>1981.7000000000003</v>
      </c>
      <c r="Z89" s="6">
        <f t="shared" si="7"/>
        <v>1502.3399999999997</v>
      </c>
      <c r="AA89" t="s">
        <v>679</v>
      </c>
      <c r="AC89" s="5">
        <v>4</v>
      </c>
      <c r="AD89" t="s">
        <v>1148</v>
      </c>
      <c r="AE89" t="str">
        <f t="shared" si="8"/>
        <v>2025-05</v>
      </c>
      <c r="AF89" t="str">
        <f t="shared" si="9"/>
        <v>Q2-2025</v>
      </c>
    </row>
    <row r="90" spans="1:32" x14ac:dyDescent="0.3">
      <c r="A90" t="s">
        <v>1276</v>
      </c>
      <c r="B90" s="5">
        <v>4</v>
      </c>
      <c r="C90" s="4">
        <v>45690</v>
      </c>
      <c r="D90" s="4">
        <v>45691</v>
      </c>
      <c r="E90" t="s">
        <v>511</v>
      </c>
      <c r="F90" t="s">
        <v>77</v>
      </c>
      <c r="G90" t="s">
        <v>65</v>
      </c>
      <c r="H90" t="s">
        <v>41</v>
      </c>
      <c r="I90" t="s">
        <v>75</v>
      </c>
      <c r="J90" t="s">
        <v>1142</v>
      </c>
      <c r="K90" t="s">
        <v>1205</v>
      </c>
      <c r="L90" t="s">
        <v>1011</v>
      </c>
      <c r="M90" t="s">
        <v>1002</v>
      </c>
      <c r="N90" t="s">
        <v>1003</v>
      </c>
      <c r="O90" t="s">
        <v>1012</v>
      </c>
      <c r="P90" t="s">
        <v>44</v>
      </c>
      <c r="Q90" t="s">
        <v>45</v>
      </c>
      <c r="R90" t="s">
        <v>1088</v>
      </c>
      <c r="S90" t="s">
        <v>1100</v>
      </c>
      <c r="T90" s="5">
        <v>16</v>
      </c>
      <c r="U90" s="6">
        <v>6.97</v>
      </c>
      <c r="V90" s="6">
        <v>5</v>
      </c>
      <c r="W90" s="8">
        <v>0</v>
      </c>
      <c r="X90" s="6">
        <f t="shared" si="5"/>
        <v>111.52</v>
      </c>
      <c r="Y90" s="6">
        <f t="shared" si="6"/>
        <v>80</v>
      </c>
      <c r="Z90" s="6">
        <f t="shared" si="7"/>
        <v>31.519999999999996</v>
      </c>
      <c r="AA90" t="s">
        <v>679</v>
      </c>
      <c r="AC90" s="5">
        <v>4</v>
      </c>
      <c r="AD90" t="s">
        <v>1123</v>
      </c>
      <c r="AE90" t="str">
        <f t="shared" si="8"/>
        <v>2025-02</v>
      </c>
      <c r="AF90" t="str">
        <f t="shared" si="9"/>
        <v>Q1-2025</v>
      </c>
    </row>
    <row r="91" spans="1:32" x14ac:dyDescent="0.3">
      <c r="A91" t="s">
        <v>1277</v>
      </c>
      <c r="B91" s="5">
        <v>5</v>
      </c>
      <c r="C91" s="4">
        <v>45685</v>
      </c>
      <c r="D91" s="4">
        <v>45690</v>
      </c>
      <c r="E91" t="s">
        <v>146</v>
      </c>
      <c r="F91" t="s">
        <v>147</v>
      </c>
      <c r="G91" t="s">
        <v>74</v>
      </c>
      <c r="H91" t="s">
        <v>23</v>
      </c>
      <c r="I91" t="s">
        <v>93</v>
      </c>
      <c r="J91" t="s">
        <v>1278</v>
      </c>
      <c r="K91" t="s">
        <v>1279</v>
      </c>
      <c r="L91" t="s">
        <v>1060</v>
      </c>
      <c r="M91" t="s">
        <v>1002</v>
      </c>
      <c r="N91" t="s">
        <v>1034</v>
      </c>
      <c r="O91" t="s">
        <v>1061</v>
      </c>
      <c r="P91" t="s">
        <v>44</v>
      </c>
      <c r="Q91" t="s">
        <v>45</v>
      </c>
      <c r="R91" t="s">
        <v>1114</v>
      </c>
      <c r="S91" t="s">
        <v>1089</v>
      </c>
      <c r="T91" s="5">
        <v>20</v>
      </c>
      <c r="U91" s="6">
        <v>224.23</v>
      </c>
      <c r="V91" s="6">
        <v>144.19999999999999</v>
      </c>
      <c r="W91" s="8">
        <v>0</v>
      </c>
      <c r="X91" s="6">
        <f t="shared" si="5"/>
        <v>4484.5999999999995</v>
      </c>
      <c r="Y91" s="6">
        <f t="shared" si="6"/>
        <v>2884</v>
      </c>
      <c r="Z91" s="6">
        <f t="shared" si="7"/>
        <v>1600.5999999999995</v>
      </c>
      <c r="AA91" t="s">
        <v>679</v>
      </c>
      <c r="AC91" s="5"/>
      <c r="AD91" t="s">
        <v>1140</v>
      </c>
      <c r="AE91" t="str">
        <f t="shared" si="8"/>
        <v>2025-01</v>
      </c>
      <c r="AF91" t="str">
        <f t="shared" si="9"/>
        <v>Q1-2025</v>
      </c>
    </row>
    <row r="92" spans="1:32" x14ac:dyDescent="0.3">
      <c r="A92" t="s">
        <v>1280</v>
      </c>
      <c r="B92" s="5">
        <v>3</v>
      </c>
      <c r="C92" s="4">
        <v>45388</v>
      </c>
      <c r="D92" s="4">
        <v>45383</v>
      </c>
      <c r="E92" t="s">
        <v>487</v>
      </c>
      <c r="F92" t="s">
        <v>108</v>
      </c>
      <c r="G92" t="s">
        <v>74</v>
      </c>
      <c r="H92" t="s">
        <v>20</v>
      </c>
      <c r="I92" t="s">
        <v>112</v>
      </c>
      <c r="J92" t="s">
        <v>1201</v>
      </c>
      <c r="K92" t="s">
        <v>1250</v>
      </c>
      <c r="L92" t="s">
        <v>950</v>
      </c>
      <c r="M92" t="s">
        <v>929</v>
      </c>
      <c r="N92" t="s">
        <v>930</v>
      </c>
      <c r="O92" t="s">
        <v>951</v>
      </c>
      <c r="P92" t="s">
        <v>17</v>
      </c>
      <c r="Q92" t="s">
        <v>18</v>
      </c>
      <c r="R92" t="s">
        <v>1088</v>
      </c>
      <c r="S92" t="s">
        <v>1156</v>
      </c>
      <c r="T92" s="5">
        <v>11</v>
      </c>
      <c r="U92" s="6">
        <v>300.72000000000003</v>
      </c>
      <c r="V92" s="6">
        <v>181.98</v>
      </c>
      <c r="W92" s="8">
        <v>0.25490000000000002</v>
      </c>
      <c r="X92" s="6">
        <f t="shared" si="5"/>
        <v>2464.7311920000002</v>
      </c>
      <c r="Y92" s="6">
        <f t="shared" si="6"/>
        <v>2001.78</v>
      </c>
      <c r="Z92" s="6">
        <f t="shared" si="7"/>
        <v>462.95119200000022</v>
      </c>
      <c r="AA92" t="s">
        <v>679</v>
      </c>
      <c r="AC92" s="5"/>
      <c r="AD92" t="s">
        <v>1110</v>
      </c>
      <c r="AE92" t="str">
        <f t="shared" si="8"/>
        <v>2024-04</v>
      </c>
      <c r="AF92" t="str">
        <f t="shared" si="9"/>
        <v>Q2-2024</v>
      </c>
    </row>
    <row r="93" spans="1:32" x14ac:dyDescent="0.3">
      <c r="A93" t="s">
        <v>1281</v>
      </c>
      <c r="B93" s="5">
        <v>4</v>
      </c>
      <c r="C93" s="4">
        <v>45665</v>
      </c>
      <c r="D93" s="4">
        <v>45678</v>
      </c>
      <c r="E93" t="s">
        <v>373</v>
      </c>
      <c r="F93" t="s">
        <v>374</v>
      </c>
      <c r="G93" t="s">
        <v>104</v>
      </c>
      <c r="H93" t="s">
        <v>20</v>
      </c>
      <c r="I93" t="s">
        <v>90</v>
      </c>
      <c r="J93" t="s">
        <v>1171</v>
      </c>
      <c r="K93" t="s">
        <v>1172</v>
      </c>
      <c r="L93" t="s">
        <v>1001</v>
      </c>
      <c r="M93" t="s">
        <v>1002</v>
      </c>
      <c r="N93" t="s">
        <v>1003</v>
      </c>
      <c r="O93" t="s">
        <v>1004</v>
      </c>
      <c r="P93" t="s">
        <v>17</v>
      </c>
      <c r="Q93" t="s">
        <v>18</v>
      </c>
      <c r="R93" t="s">
        <v>1088</v>
      </c>
      <c r="S93" t="s">
        <v>1089</v>
      </c>
      <c r="T93" s="5">
        <v>20</v>
      </c>
      <c r="U93" s="6">
        <v>284.82</v>
      </c>
      <c r="V93" s="6">
        <v>146.71</v>
      </c>
      <c r="W93" s="8">
        <v>0.3039</v>
      </c>
      <c r="X93" s="6">
        <f t="shared" si="5"/>
        <v>3965.2640399999996</v>
      </c>
      <c r="Y93" s="6">
        <f t="shared" si="6"/>
        <v>2934.2000000000003</v>
      </c>
      <c r="Z93" s="6">
        <f t="shared" si="7"/>
        <v>1031.0640399999993</v>
      </c>
      <c r="AA93" t="s">
        <v>679</v>
      </c>
      <c r="AC93" s="5">
        <v>4</v>
      </c>
      <c r="AD93" t="s">
        <v>1101</v>
      </c>
      <c r="AE93" t="str">
        <f t="shared" si="8"/>
        <v>2025-01</v>
      </c>
      <c r="AF93" t="str">
        <f t="shared" si="9"/>
        <v>Q1-2025</v>
      </c>
    </row>
    <row r="94" spans="1:32" x14ac:dyDescent="0.3">
      <c r="A94" t="s">
        <v>1282</v>
      </c>
      <c r="B94" s="5">
        <v>2</v>
      </c>
      <c r="C94" s="4">
        <v>45487</v>
      </c>
      <c r="D94" s="4">
        <v>45493</v>
      </c>
      <c r="E94" t="s">
        <v>641</v>
      </c>
      <c r="F94" t="s">
        <v>1283</v>
      </c>
      <c r="G94" t="s">
        <v>84</v>
      </c>
      <c r="H94" t="s">
        <v>41</v>
      </c>
      <c r="I94" t="s">
        <v>86</v>
      </c>
      <c r="J94" t="s">
        <v>1107</v>
      </c>
      <c r="K94" t="s">
        <v>1230</v>
      </c>
      <c r="L94" t="s">
        <v>948</v>
      </c>
      <c r="M94" t="s">
        <v>929</v>
      </c>
      <c r="N94" t="s">
        <v>930</v>
      </c>
      <c r="O94" t="s">
        <v>949</v>
      </c>
      <c r="P94" t="s">
        <v>42</v>
      </c>
      <c r="Q94" t="s">
        <v>43</v>
      </c>
      <c r="R94" t="s">
        <v>1088</v>
      </c>
      <c r="S94" t="s">
        <v>1100</v>
      </c>
      <c r="T94" s="5">
        <v>16</v>
      </c>
      <c r="U94" s="6">
        <v>69.849999999999994</v>
      </c>
      <c r="V94" s="6">
        <v>44.35</v>
      </c>
      <c r="W94" s="8">
        <v>0</v>
      </c>
      <c r="X94" s="6">
        <f t="shared" si="5"/>
        <v>1117.5999999999999</v>
      </c>
      <c r="Y94" s="6">
        <f t="shared" si="6"/>
        <v>709.6</v>
      </c>
      <c r="Z94" s="6">
        <f t="shared" si="7"/>
        <v>407.99999999999989</v>
      </c>
      <c r="AA94" t="s">
        <v>679</v>
      </c>
      <c r="AC94" s="5"/>
      <c r="AD94" t="s">
        <v>1140</v>
      </c>
      <c r="AE94" t="str">
        <f t="shared" si="8"/>
        <v>2024-07</v>
      </c>
      <c r="AF94" t="str">
        <f t="shared" si="9"/>
        <v>Q3-2024</v>
      </c>
    </row>
    <row r="95" spans="1:32" x14ac:dyDescent="0.3">
      <c r="A95" t="s">
        <v>1284</v>
      </c>
      <c r="B95" s="5">
        <v>1</v>
      </c>
      <c r="C95" s="4">
        <v>45548</v>
      </c>
      <c r="D95" s="4">
        <v>45555</v>
      </c>
      <c r="E95" t="s">
        <v>163</v>
      </c>
      <c r="F95" t="s">
        <v>164</v>
      </c>
      <c r="G95" t="s">
        <v>74</v>
      </c>
      <c r="H95" t="s">
        <v>31</v>
      </c>
      <c r="I95" t="s">
        <v>160</v>
      </c>
      <c r="J95" t="s">
        <v>1125</v>
      </c>
      <c r="K95" t="s">
        <v>1126</v>
      </c>
      <c r="L95" t="s">
        <v>942</v>
      </c>
      <c r="M95" t="s">
        <v>929</v>
      </c>
      <c r="N95" t="s">
        <v>930</v>
      </c>
      <c r="O95" t="s">
        <v>943</v>
      </c>
      <c r="P95" t="s">
        <v>48</v>
      </c>
      <c r="Q95" t="s">
        <v>49</v>
      </c>
      <c r="R95" t="s">
        <v>1088</v>
      </c>
      <c r="S95" t="s">
        <v>1095</v>
      </c>
      <c r="T95" s="5">
        <v>9</v>
      </c>
      <c r="U95" s="6">
        <v>230.03</v>
      </c>
      <c r="V95" s="6">
        <v>173.45</v>
      </c>
      <c r="W95" s="8">
        <v>0</v>
      </c>
      <c r="X95" s="6">
        <f t="shared" si="5"/>
        <v>2070.27</v>
      </c>
      <c r="Y95" s="6">
        <f t="shared" si="6"/>
        <v>1561.05</v>
      </c>
      <c r="Z95" s="6">
        <f t="shared" si="7"/>
        <v>509.22</v>
      </c>
      <c r="AA95" t="s">
        <v>679</v>
      </c>
      <c r="AC95" s="5">
        <v>1</v>
      </c>
      <c r="AD95" t="s">
        <v>1090</v>
      </c>
      <c r="AE95" t="str">
        <f t="shared" si="8"/>
        <v>2024-09</v>
      </c>
      <c r="AF95" t="str">
        <f t="shared" si="9"/>
        <v>Q3-2024</v>
      </c>
    </row>
    <row r="96" spans="1:32" x14ac:dyDescent="0.3">
      <c r="A96" t="s">
        <v>1285</v>
      </c>
      <c r="B96" s="5">
        <v>3</v>
      </c>
      <c r="C96" s="4">
        <v>45936</v>
      </c>
      <c r="D96" s="4">
        <v>45936</v>
      </c>
      <c r="E96" t="s">
        <v>169</v>
      </c>
      <c r="F96" t="s">
        <v>170</v>
      </c>
      <c r="G96" t="s">
        <v>65</v>
      </c>
      <c r="H96" t="s">
        <v>20</v>
      </c>
      <c r="I96" t="s">
        <v>71</v>
      </c>
      <c r="J96" t="s">
        <v>1166</v>
      </c>
      <c r="K96" t="s">
        <v>1196</v>
      </c>
      <c r="L96" t="s">
        <v>792</v>
      </c>
      <c r="M96" t="s">
        <v>659</v>
      </c>
      <c r="N96" t="s">
        <v>754</v>
      </c>
      <c r="O96" t="s">
        <v>793</v>
      </c>
      <c r="P96" t="s">
        <v>24</v>
      </c>
      <c r="Q96" t="s">
        <v>25</v>
      </c>
      <c r="R96" t="s">
        <v>1114</v>
      </c>
      <c r="S96" t="s">
        <v>1109</v>
      </c>
      <c r="T96" s="5">
        <v>7</v>
      </c>
      <c r="U96" s="6">
        <v>94.24</v>
      </c>
      <c r="V96" s="6">
        <v>70.67</v>
      </c>
      <c r="W96" s="8">
        <v>0</v>
      </c>
      <c r="X96" s="6">
        <f t="shared" si="5"/>
        <v>659.68</v>
      </c>
      <c r="Y96" s="6">
        <f t="shared" si="6"/>
        <v>494.69</v>
      </c>
      <c r="Z96" s="6">
        <f t="shared" si="7"/>
        <v>164.98999999999995</v>
      </c>
      <c r="AA96" t="s">
        <v>679</v>
      </c>
      <c r="AC96" s="5">
        <v>2</v>
      </c>
      <c r="AD96" t="s">
        <v>1140</v>
      </c>
      <c r="AE96" t="str">
        <f t="shared" si="8"/>
        <v>2025-10</v>
      </c>
      <c r="AF96" t="str">
        <f t="shared" si="9"/>
        <v>Q4-2025</v>
      </c>
    </row>
    <row r="97" spans="1:32" x14ac:dyDescent="0.3">
      <c r="A97" t="s">
        <v>1286</v>
      </c>
      <c r="B97" s="5">
        <v>2</v>
      </c>
      <c r="C97" s="4">
        <v>45837</v>
      </c>
      <c r="D97" s="4">
        <v>45850</v>
      </c>
      <c r="E97" t="s">
        <v>171</v>
      </c>
      <c r="F97" t="s">
        <v>172</v>
      </c>
      <c r="G97" t="s">
        <v>104</v>
      </c>
      <c r="H97" t="s">
        <v>20</v>
      </c>
      <c r="I97" t="s">
        <v>71</v>
      </c>
      <c r="J97" t="s">
        <v>1166</v>
      </c>
      <c r="K97" t="s">
        <v>1196</v>
      </c>
      <c r="L97" t="s">
        <v>1058</v>
      </c>
      <c r="M97" t="s">
        <v>1002</v>
      </c>
      <c r="N97" t="s">
        <v>1034</v>
      </c>
      <c r="O97" t="s">
        <v>1059</v>
      </c>
      <c r="P97" t="s">
        <v>34</v>
      </c>
      <c r="Q97" t="s">
        <v>35</v>
      </c>
      <c r="R97" t="s">
        <v>1114</v>
      </c>
      <c r="S97" t="s">
        <v>1109</v>
      </c>
      <c r="T97" s="5">
        <v>12</v>
      </c>
      <c r="U97" s="6">
        <v>181.76</v>
      </c>
      <c r="V97" s="6">
        <v>102.47</v>
      </c>
      <c r="W97" s="8">
        <v>0</v>
      </c>
      <c r="X97" s="6">
        <f t="shared" si="5"/>
        <v>2181.12</v>
      </c>
      <c r="Y97" s="6">
        <f t="shared" si="6"/>
        <v>1229.6399999999999</v>
      </c>
      <c r="Z97" s="6">
        <f t="shared" si="7"/>
        <v>951.48</v>
      </c>
      <c r="AA97" t="s">
        <v>679</v>
      </c>
      <c r="AC97" s="5">
        <v>4</v>
      </c>
      <c r="AD97" t="s">
        <v>1140</v>
      </c>
      <c r="AE97" t="str">
        <f t="shared" si="8"/>
        <v>2025-06</v>
      </c>
      <c r="AF97" t="str">
        <f t="shared" si="9"/>
        <v>Q2-2025</v>
      </c>
    </row>
    <row r="98" spans="1:32" x14ac:dyDescent="0.3">
      <c r="A98" t="s">
        <v>1287</v>
      </c>
      <c r="B98" s="5">
        <v>5</v>
      </c>
      <c r="C98" s="4">
        <v>45536</v>
      </c>
      <c r="D98" s="4">
        <v>45542</v>
      </c>
      <c r="E98" t="s">
        <v>473</v>
      </c>
      <c r="F98" t="s">
        <v>474</v>
      </c>
      <c r="G98" t="s">
        <v>80</v>
      </c>
      <c r="H98" t="s">
        <v>41</v>
      </c>
      <c r="I98" t="s">
        <v>75</v>
      </c>
      <c r="J98" t="s">
        <v>1142</v>
      </c>
      <c r="K98" t="s">
        <v>1143</v>
      </c>
      <c r="L98" t="s">
        <v>889</v>
      </c>
      <c r="M98" t="s">
        <v>795</v>
      </c>
      <c r="N98" t="s">
        <v>837</v>
      </c>
      <c r="O98" t="s">
        <v>890</v>
      </c>
      <c r="P98" t="s">
        <v>17</v>
      </c>
      <c r="Q98" t="s">
        <v>18</v>
      </c>
      <c r="R98" t="s">
        <v>1088</v>
      </c>
      <c r="S98" t="s">
        <v>1089</v>
      </c>
      <c r="T98" s="5">
        <v>10</v>
      </c>
      <c r="U98" s="6">
        <v>232.87</v>
      </c>
      <c r="V98" s="6">
        <v>145.66</v>
      </c>
      <c r="W98" s="8">
        <v>0</v>
      </c>
      <c r="X98" s="6">
        <f t="shared" si="5"/>
        <v>2328.6999999999998</v>
      </c>
      <c r="Y98" s="6">
        <f t="shared" si="6"/>
        <v>1456.6</v>
      </c>
      <c r="Z98" s="6">
        <f t="shared" si="7"/>
        <v>872.09999999999991</v>
      </c>
      <c r="AA98" t="s">
        <v>679</v>
      </c>
      <c r="AC98" s="5"/>
      <c r="AD98" t="s">
        <v>1105</v>
      </c>
      <c r="AE98" t="str">
        <f t="shared" si="8"/>
        <v>2024-09</v>
      </c>
      <c r="AF98" t="str">
        <f t="shared" si="9"/>
        <v>Q3-2024</v>
      </c>
    </row>
    <row r="99" spans="1:32" x14ac:dyDescent="0.3">
      <c r="A99" t="s">
        <v>1288</v>
      </c>
      <c r="B99" s="5">
        <v>3</v>
      </c>
      <c r="C99" s="4">
        <v>45640</v>
      </c>
      <c r="D99" s="4">
        <v>45644</v>
      </c>
      <c r="E99" t="s">
        <v>184</v>
      </c>
      <c r="F99" t="s">
        <v>185</v>
      </c>
      <c r="G99" t="s">
        <v>74</v>
      </c>
      <c r="H99" t="s">
        <v>31</v>
      </c>
      <c r="I99" t="s">
        <v>160</v>
      </c>
      <c r="J99" t="s">
        <v>1092</v>
      </c>
      <c r="K99" t="s">
        <v>1093</v>
      </c>
      <c r="L99" t="s">
        <v>1017</v>
      </c>
      <c r="M99" t="s">
        <v>1002</v>
      </c>
      <c r="N99" t="s">
        <v>1003</v>
      </c>
      <c r="O99" t="s">
        <v>1018</v>
      </c>
      <c r="P99" t="s">
        <v>46</v>
      </c>
      <c r="Q99" t="s">
        <v>47</v>
      </c>
      <c r="R99" t="s">
        <v>1088</v>
      </c>
      <c r="S99" t="s">
        <v>1156</v>
      </c>
      <c r="T99" s="5">
        <v>28</v>
      </c>
      <c r="U99" s="6">
        <v>227.24</v>
      </c>
      <c r="V99" s="6">
        <v>159.03</v>
      </c>
      <c r="W99" s="8">
        <v>0</v>
      </c>
      <c r="X99" s="6">
        <f t="shared" si="5"/>
        <v>6362.72</v>
      </c>
      <c r="Y99" s="6">
        <f t="shared" si="6"/>
        <v>4452.84</v>
      </c>
      <c r="Z99" s="6">
        <f t="shared" si="7"/>
        <v>1909.88</v>
      </c>
      <c r="AA99" t="s">
        <v>662</v>
      </c>
      <c r="AB99" t="s">
        <v>1289</v>
      </c>
      <c r="AC99" s="5">
        <v>5</v>
      </c>
      <c r="AD99" t="s">
        <v>1123</v>
      </c>
      <c r="AE99" t="str">
        <f t="shared" si="8"/>
        <v>2024-12</v>
      </c>
      <c r="AF99" t="str">
        <f t="shared" si="9"/>
        <v>Q4-2024</v>
      </c>
    </row>
    <row r="100" spans="1:32" x14ac:dyDescent="0.3">
      <c r="A100" t="s">
        <v>1290</v>
      </c>
      <c r="B100" s="5">
        <v>3</v>
      </c>
      <c r="C100" s="4">
        <v>45554</v>
      </c>
      <c r="D100" s="4">
        <v>45557</v>
      </c>
      <c r="E100" t="s">
        <v>178</v>
      </c>
      <c r="F100" t="s">
        <v>179</v>
      </c>
      <c r="G100" t="s">
        <v>74</v>
      </c>
      <c r="H100" t="s">
        <v>23</v>
      </c>
      <c r="I100" t="s">
        <v>81</v>
      </c>
      <c r="J100" t="s">
        <v>1119</v>
      </c>
      <c r="K100" t="s">
        <v>1291</v>
      </c>
      <c r="L100" t="s">
        <v>997</v>
      </c>
      <c r="M100" t="s">
        <v>929</v>
      </c>
      <c r="N100" t="s">
        <v>971</v>
      </c>
      <c r="O100" t="s">
        <v>998</v>
      </c>
      <c r="P100" t="s">
        <v>21</v>
      </c>
      <c r="Q100" t="s">
        <v>22</v>
      </c>
      <c r="R100" t="s">
        <v>1114</v>
      </c>
      <c r="S100" t="s">
        <v>1109</v>
      </c>
      <c r="T100" s="5">
        <v>20</v>
      </c>
      <c r="U100" s="6">
        <v>111.47</v>
      </c>
      <c r="V100" s="6">
        <v>86.65</v>
      </c>
      <c r="W100" s="8">
        <v>0</v>
      </c>
      <c r="X100" s="6">
        <f t="shared" si="5"/>
        <v>2229.4</v>
      </c>
      <c r="Y100" s="6">
        <f t="shared" si="6"/>
        <v>1733</v>
      </c>
      <c r="Z100" s="6">
        <f t="shared" si="7"/>
        <v>496.40000000000009</v>
      </c>
      <c r="AA100" t="s">
        <v>679</v>
      </c>
      <c r="AC100" s="5">
        <v>4</v>
      </c>
      <c r="AD100" t="s">
        <v>1123</v>
      </c>
      <c r="AE100" t="str">
        <f t="shared" si="8"/>
        <v>2024-09</v>
      </c>
      <c r="AF100" t="str">
        <f t="shared" si="9"/>
        <v>Q3-2024</v>
      </c>
    </row>
    <row r="101" spans="1:32" x14ac:dyDescent="0.3">
      <c r="A101" t="s">
        <v>1292</v>
      </c>
      <c r="B101" s="5">
        <v>3</v>
      </c>
      <c r="C101" s="4">
        <v>45734</v>
      </c>
      <c r="D101" s="4">
        <v>45745</v>
      </c>
      <c r="E101" t="s">
        <v>408</v>
      </c>
      <c r="F101" t="s">
        <v>409</v>
      </c>
      <c r="G101" t="s">
        <v>84</v>
      </c>
      <c r="H101" t="s">
        <v>31</v>
      </c>
      <c r="I101" t="s">
        <v>67</v>
      </c>
      <c r="J101" t="s">
        <v>1128</v>
      </c>
      <c r="K101" t="s">
        <v>1129</v>
      </c>
      <c r="L101" t="s">
        <v>692</v>
      </c>
      <c r="M101" t="s">
        <v>659</v>
      </c>
      <c r="N101" t="s">
        <v>660</v>
      </c>
      <c r="O101" t="s">
        <v>693</v>
      </c>
      <c r="P101" t="s">
        <v>34</v>
      </c>
      <c r="Q101" t="s">
        <v>35</v>
      </c>
      <c r="R101" t="s">
        <v>1088</v>
      </c>
      <c r="S101" t="s">
        <v>1100</v>
      </c>
      <c r="T101" s="5">
        <v>7</v>
      </c>
      <c r="U101" s="6">
        <v>10.52</v>
      </c>
      <c r="V101" s="6">
        <v>5</v>
      </c>
      <c r="W101" s="8">
        <v>8.6199999999999999E-2</v>
      </c>
      <c r="X101" s="6">
        <f t="shared" si="5"/>
        <v>67.292231999999998</v>
      </c>
      <c r="Y101" s="6">
        <f t="shared" si="6"/>
        <v>35</v>
      </c>
      <c r="Z101" s="6">
        <f t="shared" si="7"/>
        <v>32.292231999999998</v>
      </c>
      <c r="AA101" t="s">
        <v>679</v>
      </c>
      <c r="AC101" s="5">
        <v>2</v>
      </c>
      <c r="AD101" t="s">
        <v>1101</v>
      </c>
      <c r="AE101" t="str">
        <f t="shared" si="8"/>
        <v>2025-03</v>
      </c>
      <c r="AF101" t="str">
        <f t="shared" si="9"/>
        <v>Q1-2025</v>
      </c>
    </row>
    <row r="102" spans="1:32" x14ac:dyDescent="0.3">
      <c r="A102" t="s">
        <v>1293</v>
      </c>
      <c r="B102" s="5">
        <v>1</v>
      </c>
      <c r="C102" s="4">
        <v>45749</v>
      </c>
      <c r="D102" s="4">
        <v>45760</v>
      </c>
      <c r="E102" t="s">
        <v>115</v>
      </c>
      <c r="F102" t="s">
        <v>116</v>
      </c>
      <c r="G102" t="s">
        <v>74</v>
      </c>
      <c r="H102" t="s">
        <v>23</v>
      </c>
      <c r="I102" t="s">
        <v>93</v>
      </c>
      <c r="J102" t="s">
        <v>1294</v>
      </c>
      <c r="K102" t="s">
        <v>1295</v>
      </c>
      <c r="L102" t="s">
        <v>792</v>
      </c>
      <c r="M102" t="s">
        <v>659</v>
      </c>
      <c r="N102" t="s">
        <v>754</v>
      </c>
      <c r="O102" t="s">
        <v>793</v>
      </c>
      <c r="P102" t="s">
        <v>48</v>
      </c>
      <c r="Q102" t="s">
        <v>49</v>
      </c>
      <c r="R102" t="s">
        <v>1094</v>
      </c>
      <c r="S102" t="s">
        <v>1089</v>
      </c>
      <c r="T102" s="5">
        <v>5</v>
      </c>
      <c r="U102" s="6">
        <v>98.53</v>
      </c>
      <c r="V102" s="6">
        <v>70.67</v>
      </c>
      <c r="W102" s="8">
        <v>0</v>
      </c>
      <c r="X102" s="6">
        <f t="shared" si="5"/>
        <v>492.65</v>
      </c>
      <c r="Y102" s="6">
        <f t="shared" si="6"/>
        <v>353.35</v>
      </c>
      <c r="Z102" s="6">
        <f t="shared" si="7"/>
        <v>139.29999999999995</v>
      </c>
      <c r="AA102" t="s">
        <v>679</v>
      </c>
      <c r="AC102" s="5">
        <v>4</v>
      </c>
      <c r="AD102" t="s">
        <v>1096</v>
      </c>
      <c r="AE102" t="str">
        <f t="shared" si="8"/>
        <v>2025-04</v>
      </c>
      <c r="AF102" t="str">
        <f t="shared" si="9"/>
        <v>Q2-2025</v>
      </c>
    </row>
    <row r="103" spans="1:32" x14ac:dyDescent="0.3">
      <c r="A103" t="s">
        <v>1296</v>
      </c>
      <c r="B103" s="5">
        <v>4</v>
      </c>
      <c r="C103" s="4">
        <v>45786</v>
      </c>
      <c r="D103" s="4">
        <v>45792</v>
      </c>
      <c r="E103" t="s">
        <v>154</v>
      </c>
      <c r="F103" t="s">
        <v>155</v>
      </c>
      <c r="G103" t="s">
        <v>65</v>
      </c>
      <c r="H103" t="s">
        <v>20</v>
      </c>
      <c r="I103" t="s">
        <v>90</v>
      </c>
      <c r="J103" t="s">
        <v>1262</v>
      </c>
      <c r="K103" t="s">
        <v>1297</v>
      </c>
      <c r="L103" t="s">
        <v>914</v>
      </c>
      <c r="M103" t="s">
        <v>795</v>
      </c>
      <c r="N103" t="s">
        <v>898</v>
      </c>
      <c r="O103" t="s">
        <v>915</v>
      </c>
      <c r="P103" t="s">
        <v>21</v>
      </c>
      <c r="Q103" t="s">
        <v>22</v>
      </c>
      <c r="R103" t="s">
        <v>1094</v>
      </c>
      <c r="S103" t="s">
        <v>1100</v>
      </c>
      <c r="T103" s="5">
        <v>10</v>
      </c>
      <c r="U103" s="6">
        <v>162.83000000000001</v>
      </c>
      <c r="V103" s="6">
        <v>105.78</v>
      </c>
      <c r="W103" s="8">
        <v>0</v>
      </c>
      <c r="X103" s="6">
        <f t="shared" si="5"/>
        <v>1628.3000000000002</v>
      </c>
      <c r="Y103" s="6">
        <f t="shared" si="6"/>
        <v>1057.8</v>
      </c>
      <c r="Z103" s="6">
        <f t="shared" si="7"/>
        <v>570.50000000000023</v>
      </c>
      <c r="AA103" t="s">
        <v>679</v>
      </c>
      <c r="AC103" s="5"/>
      <c r="AD103" t="s">
        <v>1140</v>
      </c>
      <c r="AE103" t="str">
        <f t="shared" si="8"/>
        <v>2025-05</v>
      </c>
      <c r="AF103" t="str">
        <f t="shared" si="9"/>
        <v>Q2-2025</v>
      </c>
    </row>
    <row r="104" spans="1:32" x14ac:dyDescent="0.3">
      <c r="A104" t="s">
        <v>1298</v>
      </c>
      <c r="B104" s="5">
        <v>1</v>
      </c>
      <c r="C104" s="4">
        <v>45690</v>
      </c>
      <c r="D104" s="4">
        <v>45700</v>
      </c>
      <c r="E104" t="s">
        <v>473</v>
      </c>
      <c r="F104" t="s">
        <v>474</v>
      </c>
      <c r="G104" t="s">
        <v>80</v>
      </c>
      <c r="H104" t="s">
        <v>23</v>
      </c>
      <c r="I104" t="s">
        <v>81</v>
      </c>
      <c r="J104" t="s">
        <v>1163</v>
      </c>
      <c r="K104" t="s">
        <v>1164</v>
      </c>
      <c r="L104" t="s">
        <v>704</v>
      </c>
      <c r="M104" t="s">
        <v>659</v>
      </c>
      <c r="N104" t="s">
        <v>660</v>
      </c>
      <c r="O104" t="s">
        <v>705</v>
      </c>
      <c r="P104" t="s">
        <v>53</v>
      </c>
      <c r="Q104" t="s">
        <v>54</v>
      </c>
      <c r="R104" t="s">
        <v>1114</v>
      </c>
      <c r="S104" t="s">
        <v>1156</v>
      </c>
      <c r="T104" s="5">
        <v>4</v>
      </c>
      <c r="U104" s="6">
        <v>137.16</v>
      </c>
      <c r="V104" s="6">
        <v>88.5</v>
      </c>
      <c r="W104" s="8">
        <v>0.2157</v>
      </c>
      <c r="X104" s="6">
        <f t="shared" si="5"/>
        <v>430.29835199999997</v>
      </c>
      <c r="Y104" s="6">
        <f t="shared" si="6"/>
        <v>354</v>
      </c>
      <c r="Z104" s="6">
        <f t="shared" si="7"/>
        <v>76.298351999999966</v>
      </c>
      <c r="AA104" t="s">
        <v>679</v>
      </c>
      <c r="AC104" s="5"/>
      <c r="AD104" t="s">
        <v>1140</v>
      </c>
      <c r="AE104" t="str">
        <f t="shared" si="8"/>
        <v>2025-02</v>
      </c>
      <c r="AF104" t="str">
        <f t="shared" si="9"/>
        <v>Q1-2025</v>
      </c>
    </row>
    <row r="105" spans="1:32" x14ac:dyDescent="0.3">
      <c r="A105" t="s">
        <v>1299</v>
      </c>
      <c r="B105" s="5">
        <v>4</v>
      </c>
      <c r="C105" s="4">
        <v>45313</v>
      </c>
      <c r="D105" s="4">
        <v>45313</v>
      </c>
      <c r="E105" t="s">
        <v>422</v>
      </c>
      <c r="F105" t="s">
        <v>423</v>
      </c>
      <c r="G105" t="s">
        <v>74</v>
      </c>
      <c r="H105" t="s">
        <v>23</v>
      </c>
      <c r="I105" t="s">
        <v>109</v>
      </c>
      <c r="J105" t="s">
        <v>1300</v>
      </c>
      <c r="K105" t="s">
        <v>1301</v>
      </c>
      <c r="L105" t="s">
        <v>1007</v>
      </c>
      <c r="M105" t="s">
        <v>1002</v>
      </c>
      <c r="N105" t="s">
        <v>1003</v>
      </c>
      <c r="O105" t="s">
        <v>1008</v>
      </c>
      <c r="P105" t="s">
        <v>44</v>
      </c>
      <c r="Q105" t="s">
        <v>45</v>
      </c>
      <c r="R105" t="s">
        <v>1094</v>
      </c>
      <c r="S105" t="s">
        <v>1100</v>
      </c>
      <c r="T105" s="5">
        <v>25</v>
      </c>
      <c r="U105" s="6">
        <v>102.94</v>
      </c>
      <c r="V105" s="6">
        <v>77.540000000000006</v>
      </c>
      <c r="W105" s="8">
        <v>0</v>
      </c>
      <c r="X105" s="6">
        <f t="shared" si="5"/>
        <v>2573.5</v>
      </c>
      <c r="Y105" s="6">
        <f t="shared" si="6"/>
        <v>1938.5000000000002</v>
      </c>
      <c r="Z105" s="6">
        <f t="shared" si="7"/>
        <v>634.99999999999977</v>
      </c>
      <c r="AA105" t="s">
        <v>679</v>
      </c>
      <c r="AC105" s="5">
        <v>1</v>
      </c>
      <c r="AD105" t="s">
        <v>1110</v>
      </c>
      <c r="AE105" t="str">
        <f t="shared" si="8"/>
        <v>2024-01</v>
      </c>
      <c r="AF105" t="str">
        <f t="shared" si="9"/>
        <v>Q1-2024</v>
      </c>
    </row>
    <row r="106" spans="1:32" x14ac:dyDescent="0.3">
      <c r="A106" t="s">
        <v>1302</v>
      </c>
      <c r="B106" s="5">
        <v>1</v>
      </c>
      <c r="C106" s="4">
        <v>45764</v>
      </c>
      <c r="D106" s="4">
        <v>45773</v>
      </c>
      <c r="E106" t="s">
        <v>148</v>
      </c>
      <c r="F106" t="s">
        <v>149</v>
      </c>
      <c r="G106" t="s">
        <v>65</v>
      </c>
      <c r="H106" t="s">
        <v>23</v>
      </c>
      <c r="I106" t="s">
        <v>93</v>
      </c>
      <c r="J106" t="s">
        <v>1192</v>
      </c>
      <c r="K106" t="s">
        <v>1193</v>
      </c>
      <c r="L106" t="s">
        <v>985</v>
      </c>
      <c r="M106" t="s">
        <v>929</v>
      </c>
      <c r="N106" t="s">
        <v>971</v>
      </c>
      <c r="O106" t="s">
        <v>986</v>
      </c>
      <c r="P106" t="s">
        <v>27</v>
      </c>
      <c r="Q106" t="s">
        <v>28</v>
      </c>
      <c r="R106" t="s">
        <v>1088</v>
      </c>
      <c r="S106" t="s">
        <v>1109</v>
      </c>
      <c r="T106" s="5">
        <v>9</v>
      </c>
      <c r="U106" s="6">
        <v>93.87</v>
      </c>
      <c r="V106" s="6">
        <v>62.43</v>
      </c>
      <c r="W106" s="8">
        <v>0</v>
      </c>
      <c r="X106" s="6">
        <f t="shared" si="5"/>
        <v>844.83</v>
      </c>
      <c r="Y106" s="6">
        <f t="shared" si="6"/>
        <v>561.87</v>
      </c>
      <c r="Z106" s="6">
        <f t="shared" si="7"/>
        <v>282.96000000000004</v>
      </c>
      <c r="AA106" t="s">
        <v>679</v>
      </c>
      <c r="AC106" s="5">
        <v>2</v>
      </c>
      <c r="AD106" t="s">
        <v>1136</v>
      </c>
      <c r="AE106" t="str">
        <f t="shared" si="8"/>
        <v>2025-04</v>
      </c>
      <c r="AF106" t="str">
        <f t="shared" si="9"/>
        <v>Q2-2025</v>
      </c>
    </row>
    <row r="107" spans="1:32" x14ac:dyDescent="0.3">
      <c r="A107" t="s">
        <v>1303</v>
      </c>
      <c r="B107" s="5">
        <v>1</v>
      </c>
      <c r="C107" s="4">
        <v>45904</v>
      </c>
      <c r="D107" s="4">
        <v>45906</v>
      </c>
      <c r="E107" t="s">
        <v>205</v>
      </c>
      <c r="F107" t="s">
        <v>206</v>
      </c>
      <c r="G107" t="s">
        <v>74</v>
      </c>
      <c r="H107" t="s">
        <v>31</v>
      </c>
      <c r="I107" t="s">
        <v>67</v>
      </c>
      <c r="J107" t="s">
        <v>1304</v>
      </c>
      <c r="K107" t="s">
        <v>1305</v>
      </c>
      <c r="L107" t="s">
        <v>1029</v>
      </c>
      <c r="M107" t="s">
        <v>1002</v>
      </c>
      <c r="N107" t="s">
        <v>1003</v>
      </c>
      <c r="O107" t="s">
        <v>1030</v>
      </c>
      <c r="P107" t="s">
        <v>32</v>
      </c>
      <c r="Q107" t="s">
        <v>33</v>
      </c>
      <c r="R107" t="s">
        <v>1094</v>
      </c>
      <c r="S107" t="s">
        <v>1095</v>
      </c>
      <c r="T107" s="5">
        <v>3</v>
      </c>
      <c r="U107" s="6">
        <v>269.70999999999998</v>
      </c>
      <c r="V107" s="6">
        <v>202.2</v>
      </c>
      <c r="W107" s="8"/>
      <c r="X107" s="6">
        <f t="shared" si="5"/>
        <v>809.12999999999988</v>
      </c>
      <c r="Y107" s="6">
        <f t="shared" si="6"/>
        <v>606.59999999999991</v>
      </c>
      <c r="Z107" s="6">
        <f t="shared" si="7"/>
        <v>202.52999999999997</v>
      </c>
      <c r="AA107" t="s">
        <v>679</v>
      </c>
      <c r="AC107" s="5"/>
      <c r="AD107" t="s">
        <v>1096</v>
      </c>
      <c r="AE107" t="str">
        <f t="shared" si="8"/>
        <v>2025-09</v>
      </c>
      <c r="AF107" t="str">
        <f t="shared" si="9"/>
        <v>Q3-2025</v>
      </c>
    </row>
    <row r="108" spans="1:32" x14ac:dyDescent="0.3">
      <c r="A108" t="s">
        <v>1306</v>
      </c>
      <c r="B108" s="5">
        <v>4</v>
      </c>
      <c r="C108" s="4">
        <v>46005</v>
      </c>
      <c r="D108" s="4">
        <v>46007</v>
      </c>
      <c r="E108" t="s">
        <v>356</v>
      </c>
      <c r="F108" t="s">
        <v>357</v>
      </c>
      <c r="G108" t="s">
        <v>65</v>
      </c>
      <c r="H108" t="s">
        <v>41</v>
      </c>
      <c r="I108" t="s">
        <v>75</v>
      </c>
      <c r="J108" t="s">
        <v>1142</v>
      </c>
      <c r="K108" t="s">
        <v>1205</v>
      </c>
      <c r="L108" t="s">
        <v>983</v>
      </c>
      <c r="M108" t="s">
        <v>929</v>
      </c>
      <c r="N108" t="s">
        <v>971</v>
      </c>
      <c r="O108" t="s">
        <v>984</v>
      </c>
      <c r="P108" t="s">
        <v>46</v>
      </c>
      <c r="Q108" t="s">
        <v>47</v>
      </c>
      <c r="R108" t="s">
        <v>1088</v>
      </c>
      <c r="S108" t="s">
        <v>1109</v>
      </c>
      <c r="T108" s="5">
        <v>13</v>
      </c>
      <c r="U108" s="6">
        <v>188.65</v>
      </c>
      <c r="V108" s="6">
        <v>106.87</v>
      </c>
      <c r="W108" s="8">
        <v>0</v>
      </c>
      <c r="X108" s="6">
        <f t="shared" si="5"/>
        <v>2452.4500000000003</v>
      </c>
      <c r="Y108" s="6">
        <f t="shared" si="6"/>
        <v>1389.31</v>
      </c>
      <c r="Z108" s="6">
        <f t="shared" si="7"/>
        <v>1063.1400000000003</v>
      </c>
      <c r="AA108" t="s">
        <v>679</v>
      </c>
      <c r="AC108" s="5">
        <v>2</v>
      </c>
      <c r="AD108" t="s">
        <v>1123</v>
      </c>
      <c r="AE108" t="str">
        <f t="shared" si="8"/>
        <v>2025-12</v>
      </c>
      <c r="AF108" t="str">
        <f t="shared" si="9"/>
        <v>Q4-2025</v>
      </c>
    </row>
    <row r="109" spans="1:32" x14ac:dyDescent="0.3">
      <c r="A109" t="s">
        <v>1307</v>
      </c>
      <c r="B109" s="5">
        <v>5</v>
      </c>
      <c r="C109" s="4">
        <v>45667</v>
      </c>
      <c r="D109" s="4">
        <v>45680</v>
      </c>
      <c r="E109" t="s">
        <v>610</v>
      </c>
      <c r="F109" t="s">
        <v>611</v>
      </c>
      <c r="G109" t="s">
        <v>74</v>
      </c>
      <c r="H109" t="s">
        <v>20</v>
      </c>
      <c r="I109" t="s">
        <v>112</v>
      </c>
      <c r="J109" t="s">
        <v>1201</v>
      </c>
      <c r="K109" t="s">
        <v>1250</v>
      </c>
      <c r="L109" t="s">
        <v>688</v>
      </c>
      <c r="M109" t="s">
        <v>659</v>
      </c>
      <c r="N109" t="s">
        <v>660</v>
      </c>
      <c r="O109" t="s">
        <v>689</v>
      </c>
      <c r="P109" t="s">
        <v>27</v>
      </c>
      <c r="Q109" t="s">
        <v>28</v>
      </c>
      <c r="R109" t="s">
        <v>1088</v>
      </c>
      <c r="S109" t="s">
        <v>1109</v>
      </c>
      <c r="T109" s="5">
        <v>37</v>
      </c>
      <c r="U109" s="6">
        <v>32.880000000000003</v>
      </c>
      <c r="V109" s="6">
        <v>19.25</v>
      </c>
      <c r="W109" s="8">
        <v>0</v>
      </c>
      <c r="X109" s="6">
        <f t="shared" si="5"/>
        <v>1216.5600000000002</v>
      </c>
      <c r="Y109" s="6">
        <f t="shared" si="6"/>
        <v>712.25</v>
      </c>
      <c r="Z109" s="6">
        <f t="shared" si="7"/>
        <v>504.31000000000017</v>
      </c>
      <c r="AA109" t="s">
        <v>679</v>
      </c>
      <c r="AC109" s="5">
        <v>3</v>
      </c>
      <c r="AD109" t="s">
        <v>1096</v>
      </c>
      <c r="AE109" t="str">
        <f t="shared" si="8"/>
        <v>2025-01</v>
      </c>
      <c r="AF109" t="str">
        <f t="shared" si="9"/>
        <v>Q1-2025</v>
      </c>
    </row>
    <row r="110" spans="1:32" x14ac:dyDescent="0.3">
      <c r="A110" t="s">
        <v>1308</v>
      </c>
      <c r="B110" s="5">
        <v>1</v>
      </c>
      <c r="C110" s="4">
        <v>45403</v>
      </c>
      <c r="D110" s="4">
        <v>45414</v>
      </c>
      <c r="E110" t="s">
        <v>608</v>
      </c>
      <c r="F110" t="s">
        <v>609</v>
      </c>
      <c r="G110" t="s">
        <v>104</v>
      </c>
      <c r="H110" t="s">
        <v>20</v>
      </c>
      <c r="I110" t="s">
        <v>90</v>
      </c>
      <c r="J110" t="s">
        <v>1171</v>
      </c>
      <c r="K110" t="s">
        <v>1183</v>
      </c>
      <c r="L110" t="s">
        <v>932</v>
      </c>
      <c r="M110" t="s">
        <v>929</v>
      </c>
      <c r="N110" t="s">
        <v>930</v>
      </c>
      <c r="O110" t="s">
        <v>933</v>
      </c>
      <c r="P110" t="s">
        <v>21</v>
      </c>
      <c r="Q110" t="s">
        <v>22</v>
      </c>
      <c r="R110" t="s">
        <v>1088</v>
      </c>
      <c r="S110" t="s">
        <v>1109</v>
      </c>
      <c r="T110" s="5">
        <v>12</v>
      </c>
      <c r="U110" s="6">
        <v>227.08</v>
      </c>
      <c r="V110" s="6">
        <v>136.69</v>
      </c>
      <c r="W110" s="8">
        <v>0</v>
      </c>
      <c r="X110" s="6">
        <f t="shared" si="5"/>
        <v>2724.96</v>
      </c>
      <c r="Y110" s="6">
        <f t="shared" si="6"/>
        <v>1640.28</v>
      </c>
      <c r="Z110" s="6">
        <f t="shared" si="7"/>
        <v>1084.68</v>
      </c>
      <c r="AA110" t="s">
        <v>679</v>
      </c>
      <c r="AC110" s="5">
        <v>2</v>
      </c>
      <c r="AD110" t="s">
        <v>1309</v>
      </c>
      <c r="AE110" t="str">
        <f t="shared" si="8"/>
        <v>2024-04</v>
      </c>
      <c r="AF110" t="str">
        <f t="shared" si="9"/>
        <v>Q2-2024</v>
      </c>
    </row>
    <row r="111" spans="1:32" x14ac:dyDescent="0.3">
      <c r="A111" t="s">
        <v>1310</v>
      </c>
      <c r="B111" s="5">
        <v>4</v>
      </c>
      <c r="C111" s="4">
        <v>45522</v>
      </c>
      <c r="D111" s="4">
        <v>45523</v>
      </c>
      <c r="E111" t="s">
        <v>561</v>
      </c>
      <c r="F111" t="s">
        <v>562</v>
      </c>
      <c r="G111" t="s">
        <v>74</v>
      </c>
      <c r="H111" t="s">
        <v>23</v>
      </c>
      <c r="I111" t="s">
        <v>109</v>
      </c>
      <c r="J111" t="s">
        <v>1300</v>
      </c>
      <c r="K111" t="s">
        <v>1301</v>
      </c>
      <c r="L111" t="s">
        <v>983</v>
      </c>
      <c r="M111" t="s">
        <v>929</v>
      </c>
      <c r="N111" t="s">
        <v>971</v>
      </c>
      <c r="O111" t="s">
        <v>984</v>
      </c>
      <c r="P111" t="s">
        <v>37</v>
      </c>
      <c r="Q111" t="s">
        <v>38</v>
      </c>
      <c r="R111" t="s">
        <v>1088</v>
      </c>
      <c r="S111" t="s">
        <v>1095</v>
      </c>
      <c r="T111" s="5">
        <v>12</v>
      </c>
      <c r="U111" s="6">
        <v>189.62</v>
      </c>
      <c r="V111" s="6">
        <v>106.87</v>
      </c>
      <c r="W111" s="8">
        <v>0</v>
      </c>
      <c r="X111" s="6">
        <f t="shared" si="5"/>
        <v>2275.44</v>
      </c>
      <c r="Y111" s="6">
        <f t="shared" si="6"/>
        <v>1282.44</v>
      </c>
      <c r="Z111" s="6">
        <f t="shared" si="7"/>
        <v>993</v>
      </c>
      <c r="AA111" t="s">
        <v>679</v>
      </c>
      <c r="AC111" s="5">
        <v>4</v>
      </c>
      <c r="AD111" t="s">
        <v>1090</v>
      </c>
      <c r="AE111" t="str">
        <f t="shared" si="8"/>
        <v>2024-08</v>
      </c>
      <c r="AF111" t="str">
        <f t="shared" si="9"/>
        <v>Q3-2024</v>
      </c>
    </row>
    <row r="112" spans="1:32" x14ac:dyDescent="0.3">
      <c r="A112" t="s">
        <v>1311</v>
      </c>
      <c r="B112" s="5">
        <v>2</v>
      </c>
      <c r="C112" s="4">
        <v>45599</v>
      </c>
      <c r="D112" s="4">
        <v>45608</v>
      </c>
      <c r="E112" t="s">
        <v>255</v>
      </c>
      <c r="F112" t="s">
        <v>256</v>
      </c>
      <c r="G112" t="s">
        <v>74</v>
      </c>
      <c r="H112" t="s">
        <v>20</v>
      </c>
      <c r="I112" t="s">
        <v>90</v>
      </c>
      <c r="J112" t="s">
        <v>1262</v>
      </c>
      <c r="K112" t="s">
        <v>1297</v>
      </c>
      <c r="L112" t="s">
        <v>918</v>
      </c>
      <c r="M112" t="s">
        <v>795</v>
      </c>
      <c r="N112" t="s">
        <v>898</v>
      </c>
      <c r="O112" t="s">
        <v>919</v>
      </c>
      <c r="P112" t="s">
        <v>50</v>
      </c>
      <c r="Q112" t="s">
        <v>51</v>
      </c>
      <c r="R112" t="s">
        <v>126</v>
      </c>
      <c r="S112" t="s">
        <v>1156</v>
      </c>
      <c r="T112" s="5">
        <v>24</v>
      </c>
      <c r="U112" s="6">
        <v>222.25</v>
      </c>
      <c r="V112" s="6">
        <v>157.71</v>
      </c>
      <c r="W112" s="8">
        <v>0</v>
      </c>
      <c r="X112" s="6">
        <f t="shared" si="5"/>
        <v>5334</v>
      </c>
      <c r="Y112" s="6">
        <f t="shared" si="6"/>
        <v>3785.04</v>
      </c>
      <c r="Z112" s="6">
        <f t="shared" si="7"/>
        <v>1548.96</v>
      </c>
      <c r="AA112" t="s">
        <v>679</v>
      </c>
      <c r="AC112" s="5">
        <v>2</v>
      </c>
      <c r="AD112" t="s">
        <v>1096</v>
      </c>
      <c r="AE112" t="str">
        <f t="shared" si="8"/>
        <v>2024-11</v>
      </c>
      <c r="AF112" t="str">
        <f t="shared" si="9"/>
        <v>Q4-2024</v>
      </c>
    </row>
    <row r="113" spans="1:32" x14ac:dyDescent="0.3">
      <c r="A113" t="s">
        <v>1312</v>
      </c>
      <c r="B113" s="5">
        <v>1</v>
      </c>
      <c r="C113" s="4">
        <v>45338</v>
      </c>
      <c r="D113" s="4">
        <v>45345</v>
      </c>
      <c r="E113" t="s">
        <v>579</v>
      </c>
      <c r="F113" t="s">
        <v>580</v>
      </c>
      <c r="G113" t="s">
        <v>84</v>
      </c>
      <c r="H113" t="s">
        <v>23</v>
      </c>
      <c r="I113" t="s">
        <v>109</v>
      </c>
      <c r="J113" t="s">
        <v>1145</v>
      </c>
      <c r="K113" t="s">
        <v>1211</v>
      </c>
      <c r="L113" t="s">
        <v>912</v>
      </c>
      <c r="M113" t="s">
        <v>795</v>
      </c>
      <c r="N113" t="s">
        <v>898</v>
      </c>
      <c r="O113" t="s">
        <v>913</v>
      </c>
      <c r="P113" t="s">
        <v>48</v>
      </c>
      <c r="Q113" t="s">
        <v>49</v>
      </c>
      <c r="R113" t="s">
        <v>1114</v>
      </c>
      <c r="S113" t="s">
        <v>1089</v>
      </c>
      <c r="T113" s="5">
        <v>12</v>
      </c>
      <c r="U113" s="6">
        <v>257.72000000000003</v>
      </c>
      <c r="V113" s="6">
        <v>136.19999999999999</v>
      </c>
      <c r="W113" s="8">
        <v>0</v>
      </c>
      <c r="X113" s="6">
        <f t="shared" si="5"/>
        <v>3092.6400000000003</v>
      </c>
      <c r="Y113" s="6">
        <f t="shared" si="6"/>
        <v>1634.3999999999999</v>
      </c>
      <c r="Z113" s="6">
        <f t="shared" si="7"/>
        <v>1458.2400000000005</v>
      </c>
      <c r="AA113" t="s">
        <v>679</v>
      </c>
      <c r="AC113" s="5">
        <v>1</v>
      </c>
      <c r="AE113" t="str">
        <f t="shared" si="8"/>
        <v>2024-02</v>
      </c>
      <c r="AF113" t="str">
        <f t="shared" si="9"/>
        <v>Q1-2024</v>
      </c>
    </row>
    <row r="114" spans="1:32" x14ac:dyDescent="0.3">
      <c r="A114" t="s">
        <v>1313</v>
      </c>
      <c r="B114" s="5">
        <v>3</v>
      </c>
      <c r="C114" s="4">
        <v>45462</v>
      </c>
      <c r="D114" s="4">
        <v>45473</v>
      </c>
      <c r="E114" t="s">
        <v>636</v>
      </c>
      <c r="F114" t="s">
        <v>236</v>
      </c>
      <c r="G114" t="s">
        <v>74</v>
      </c>
      <c r="H114" t="s">
        <v>23</v>
      </c>
      <c r="I114" t="s">
        <v>109</v>
      </c>
      <c r="J114" t="s">
        <v>1138</v>
      </c>
      <c r="K114" t="s">
        <v>1255</v>
      </c>
      <c r="L114" t="s">
        <v>1033</v>
      </c>
      <c r="M114" t="s">
        <v>1002</v>
      </c>
      <c r="N114" t="s">
        <v>1034</v>
      </c>
      <c r="O114" t="s">
        <v>1035</v>
      </c>
      <c r="P114" t="s">
        <v>34</v>
      </c>
      <c r="Q114" t="s">
        <v>35</v>
      </c>
      <c r="R114" t="s">
        <v>1088</v>
      </c>
      <c r="S114" t="s">
        <v>1089</v>
      </c>
      <c r="T114" s="5">
        <v>280</v>
      </c>
      <c r="U114" s="6">
        <v>188.01</v>
      </c>
      <c r="V114" s="6">
        <v>113.68</v>
      </c>
      <c r="W114" s="8">
        <v>0</v>
      </c>
      <c r="X114" s="6">
        <f t="shared" si="5"/>
        <v>52642.799999999996</v>
      </c>
      <c r="Y114" s="6">
        <f t="shared" si="6"/>
        <v>31830.400000000001</v>
      </c>
      <c r="Z114" s="6">
        <f t="shared" si="7"/>
        <v>20812.399999999994</v>
      </c>
      <c r="AA114" t="s">
        <v>679</v>
      </c>
      <c r="AC114" s="5"/>
      <c r="AD114" t="s">
        <v>1140</v>
      </c>
      <c r="AE114" t="str">
        <f t="shared" si="8"/>
        <v>2024-06</v>
      </c>
      <c r="AF114" t="str">
        <f t="shared" si="9"/>
        <v>Q2-2024</v>
      </c>
    </row>
    <row r="115" spans="1:32" x14ac:dyDescent="0.3">
      <c r="A115" t="s">
        <v>1314</v>
      </c>
      <c r="B115" s="5">
        <v>5</v>
      </c>
      <c r="C115" s="4">
        <v>45509</v>
      </c>
      <c r="D115" s="4">
        <v>45521</v>
      </c>
      <c r="E115" t="s">
        <v>420</v>
      </c>
      <c r="F115" t="s">
        <v>421</v>
      </c>
      <c r="G115" t="s">
        <v>84</v>
      </c>
      <c r="H115" t="s">
        <v>23</v>
      </c>
      <c r="I115" t="s">
        <v>81</v>
      </c>
      <c r="J115" t="s">
        <v>1163</v>
      </c>
      <c r="K115" t="s">
        <v>1219</v>
      </c>
      <c r="L115" t="s">
        <v>719</v>
      </c>
      <c r="M115" t="s">
        <v>659</v>
      </c>
      <c r="N115" t="s">
        <v>713</v>
      </c>
      <c r="O115" t="s">
        <v>720</v>
      </c>
      <c r="P115" t="s">
        <v>34</v>
      </c>
      <c r="Q115" t="s">
        <v>35</v>
      </c>
      <c r="R115" t="s">
        <v>1088</v>
      </c>
      <c r="S115" t="s">
        <v>1156</v>
      </c>
      <c r="T115" s="5">
        <v>10</v>
      </c>
      <c r="U115" s="6">
        <v>7.83</v>
      </c>
      <c r="V115" s="6">
        <v>5</v>
      </c>
      <c r="W115" s="8">
        <v>0</v>
      </c>
      <c r="X115" s="6">
        <f t="shared" si="5"/>
        <v>78.3</v>
      </c>
      <c r="Y115" s="6">
        <f t="shared" si="6"/>
        <v>50</v>
      </c>
      <c r="Z115" s="6">
        <f t="shared" si="7"/>
        <v>28.299999999999997</v>
      </c>
      <c r="AA115" t="s">
        <v>679</v>
      </c>
      <c r="AC115" s="5">
        <v>4</v>
      </c>
      <c r="AD115" t="s">
        <v>1096</v>
      </c>
      <c r="AE115" t="str">
        <f t="shared" si="8"/>
        <v>2024-08</v>
      </c>
      <c r="AF115" t="str">
        <f t="shared" si="9"/>
        <v>Q3-2024</v>
      </c>
    </row>
    <row r="116" spans="1:32" x14ac:dyDescent="0.3">
      <c r="A116" t="s">
        <v>1315</v>
      </c>
      <c r="B116" s="5">
        <v>2</v>
      </c>
      <c r="C116" s="4">
        <v>45625</v>
      </c>
      <c r="D116" s="4">
        <v>45630</v>
      </c>
      <c r="E116" t="s">
        <v>577</v>
      </c>
      <c r="F116" t="s">
        <v>1316</v>
      </c>
      <c r="G116" t="s">
        <v>74</v>
      </c>
      <c r="H116" t="s">
        <v>41</v>
      </c>
      <c r="I116" t="s">
        <v>75</v>
      </c>
      <c r="J116" t="s">
        <v>1142</v>
      </c>
      <c r="K116" t="s">
        <v>1205</v>
      </c>
      <c r="L116" t="s">
        <v>857</v>
      </c>
      <c r="M116" t="s">
        <v>795</v>
      </c>
      <c r="N116" t="s">
        <v>837</v>
      </c>
      <c r="O116" t="s">
        <v>858</v>
      </c>
      <c r="P116" t="s">
        <v>32</v>
      </c>
      <c r="Q116" t="s">
        <v>33</v>
      </c>
      <c r="R116" t="s">
        <v>1094</v>
      </c>
      <c r="S116" t="s">
        <v>1156</v>
      </c>
      <c r="T116" s="5">
        <v>34</v>
      </c>
      <c r="U116" s="6">
        <v>206.21</v>
      </c>
      <c r="V116" s="6">
        <v>111.57</v>
      </c>
      <c r="W116" s="8">
        <v>0</v>
      </c>
      <c r="X116" s="6">
        <f t="shared" si="5"/>
        <v>7011.14</v>
      </c>
      <c r="Y116" s="6">
        <f t="shared" si="6"/>
        <v>3793.3799999999997</v>
      </c>
      <c r="Z116" s="6">
        <f t="shared" si="7"/>
        <v>3217.7600000000007</v>
      </c>
      <c r="AA116" t="s">
        <v>679</v>
      </c>
      <c r="AC116" s="5"/>
      <c r="AD116" t="s">
        <v>1309</v>
      </c>
      <c r="AE116" t="str">
        <f t="shared" si="8"/>
        <v>2024-11</v>
      </c>
      <c r="AF116" t="str">
        <f t="shared" si="9"/>
        <v>Q4-2024</v>
      </c>
    </row>
    <row r="117" spans="1:32" x14ac:dyDescent="0.3">
      <c r="A117" t="s">
        <v>1317</v>
      </c>
      <c r="B117" s="5">
        <v>2</v>
      </c>
      <c r="C117" s="4">
        <v>45592</v>
      </c>
      <c r="D117" s="4">
        <v>45593</v>
      </c>
      <c r="E117" t="s">
        <v>362</v>
      </c>
      <c r="F117" t="s">
        <v>363</v>
      </c>
      <c r="G117" t="s">
        <v>80</v>
      </c>
      <c r="H117" t="s">
        <v>23</v>
      </c>
      <c r="I117" t="s">
        <v>81</v>
      </c>
      <c r="J117" t="s">
        <v>1119</v>
      </c>
      <c r="K117" t="s">
        <v>1189</v>
      </c>
      <c r="L117" t="s">
        <v>739</v>
      </c>
      <c r="M117" t="s">
        <v>659</v>
      </c>
      <c r="N117" t="s">
        <v>713</v>
      </c>
      <c r="O117" t="s">
        <v>740</v>
      </c>
      <c r="P117" t="s">
        <v>50</v>
      </c>
      <c r="Q117" t="s">
        <v>51</v>
      </c>
      <c r="R117" t="s">
        <v>1088</v>
      </c>
      <c r="S117" t="s">
        <v>1100</v>
      </c>
      <c r="T117" s="5">
        <v>1</v>
      </c>
      <c r="U117" s="6">
        <v>221.23</v>
      </c>
      <c r="V117" s="6">
        <v>158.27000000000001</v>
      </c>
      <c r="W117" s="8">
        <v>0</v>
      </c>
      <c r="X117" s="6">
        <f t="shared" si="5"/>
        <v>221.23</v>
      </c>
      <c r="Y117" s="6">
        <f t="shared" si="6"/>
        <v>158.27000000000001</v>
      </c>
      <c r="Z117" s="6">
        <f t="shared" si="7"/>
        <v>62.95999999999998</v>
      </c>
      <c r="AA117" t="s">
        <v>679</v>
      </c>
      <c r="AC117" s="5"/>
      <c r="AD117" t="s">
        <v>1148</v>
      </c>
      <c r="AE117" t="str">
        <f t="shared" si="8"/>
        <v>2024-10</v>
      </c>
      <c r="AF117" t="str">
        <f t="shared" si="9"/>
        <v>Q4-2024</v>
      </c>
    </row>
    <row r="118" spans="1:32" x14ac:dyDescent="0.3">
      <c r="A118" t="s">
        <v>1318</v>
      </c>
      <c r="B118" s="5">
        <v>3</v>
      </c>
      <c r="C118" s="4">
        <v>45718</v>
      </c>
      <c r="D118" s="4">
        <v>45727</v>
      </c>
      <c r="E118" t="s">
        <v>412</v>
      </c>
      <c r="F118" t="s">
        <v>413</v>
      </c>
      <c r="G118" t="s">
        <v>74</v>
      </c>
      <c r="H118" t="s">
        <v>41</v>
      </c>
      <c r="I118" t="s">
        <v>75</v>
      </c>
      <c r="J118" t="s">
        <v>1142</v>
      </c>
      <c r="K118" t="s">
        <v>1198</v>
      </c>
      <c r="L118" t="s">
        <v>960</v>
      </c>
      <c r="M118" t="s">
        <v>929</v>
      </c>
      <c r="N118" t="s">
        <v>930</v>
      </c>
      <c r="O118" t="s">
        <v>961</v>
      </c>
      <c r="P118" t="s">
        <v>24</v>
      </c>
      <c r="Q118" t="s">
        <v>25</v>
      </c>
      <c r="R118" t="s">
        <v>1114</v>
      </c>
      <c r="S118" t="s">
        <v>1109</v>
      </c>
      <c r="T118" s="5">
        <v>10</v>
      </c>
      <c r="U118" s="6">
        <v>200.48</v>
      </c>
      <c r="V118" s="6">
        <v>139.97</v>
      </c>
      <c r="W118" s="8">
        <v>0</v>
      </c>
      <c r="X118" s="6">
        <f t="shared" si="5"/>
        <v>2004.8</v>
      </c>
      <c r="Y118" s="6">
        <f t="shared" si="6"/>
        <v>1399.7</v>
      </c>
      <c r="Z118" s="6">
        <f t="shared" si="7"/>
        <v>605.09999999999991</v>
      </c>
      <c r="AA118" t="s">
        <v>679</v>
      </c>
      <c r="AC118" s="5">
        <v>2</v>
      </c>
      <c r="AD118" t="s">
        <v>1101</v>
      </c>
      <c r="AE118" t="str">
        <f t="shared" si="8"/>
        <v>2025-03</v>
      </c>
      <c r="AF118" t="str">
        <f t="shared" si="9"/>
        <v>Q1-2025</v>
      </c>
    </row>
    <row r="119" spans="1:32" x14ac:dyDescent="0.3">
      <c r="A119" t="s">
        <v>1319</v>
      </c>
      <c r="B119" s="5">
        <v>2</v>
      </c>
      <c r="C119" s="4">
        <v>45462</v>
      </c>
      <c r="D119" s="4">
        <v>45465</v>
      </c>
      <c r="E119" t="s">
        <v>403</v>
      </c>
      <c r="F119" t="s">
        <v>404</v>
      </c>
      <c r="G119" t="s">
        <v>84</v>
      </c>
      <c r="H119" t="s">
        <v>20</v>
      </c>
      <c r="I119" t="s">
        <v>112</v>
      </c>
      <c r="J119" t="s">
        <v>1158</v>
      </c>
      <c r="K119" t="s">
        <v>1320</v>
      </c>
      <c r="L119" t="s">
        <v>758</v>
      </c>
      <c r="M119" t="s">
        <v>659</v>
      </c>
      <c r="N119" t="s">
        <v>754</v>
      </c>
      <c r="O119" t="s">
        <v>759</v>
      </c>
      <c r="P119" t="s">
        <v>27</v>
      </c>
      <c r="Q119" t="s">
        <v>28</v>
      </c>
      <c r="R119" t="s">
        <v>1094</v>
      </c>
      <c r="S119" t="s">
        <v>1109</v>
      </c>
      <c r="T119" s="5">
        <v>8</v>
      </c>
      <c r="U119" s="6">
        <v>135.58000000000001</v>
      </c>
      <c r="V119" s="6">
        <v>113.63</v>
      </c>
      <c r="W119" s="8">
        <v>0</v>
      </c>
      <c r="X119" s="6">
        <f t="shared" si="5"/>
        <v>1084.6400000000001</v>
      </c>
      <c r="Y119" s="6">
        <f t="shared" si="6"/>
        <v>909.04</v>
      </c>
      <c r="Z119" s="6">
        <f t="shared" si="7"/>
        <v>175.60000000000014</v>
      </c>
      <c r="AA119" t="s">
        <v>679</v>
      </c>
      <c r="AC119" s="5">
        <v>2</v>
      </c>
      <c r="AD119" t="s">
        <v>1090</v>
      </c>
      <c r="AE119" t="str">
        <f t="shared" si="8"/>
        <v>2024-06</v>
      </c>
      <c r="AF119" t="str">
        <f t="shared" si="9"/>
        <v>Q2-2024</v>
      </c>
    </row>
    <row r="120" spans="1:32" x14ac:dyDescent="0.3">
      <c r="A120" t="s">
        <v>1321</v>
      </c>
      <c r="B120" s="5">
        <v>5</v>
      </c>
      <c r="C120" s="4">
        <v>45816</v>
      </c>
      <c r="D120" s="4">
        <v>45821</v>
      </c>
      <c r="E120" t="s">
        <v>381</v>
      </c>
      <c r="F120" t="s">
        <v>382</v>
      </c>
      <c r="G120" t="s">
        <v>65</v>
      </c>
      <c r="H120" t="s">
        <v>41</v>
      </c>
      <c r="I120" t="s">
        <v>75</v>
      </c>
      <c r="J120" t="s">
        <v>1142</v>
      </c>
      <c r="K120" t="s">
        <v>1143</v>
      </c>
      <c r="L120" t="s">
        <v>1046</v>
      </c>
      <c r="M120" t="s">
        <v>1002</v>
      </c>
      <c r="N120" t="s">
        <v>1034</v>
      </c>
      <c r="O120" t="s">
        <v>1047</v>
      </c>
      <c r="P120" t="s">
        <v>53</v>
      </c>
      <c r="Q120" t="s">
        <v>54</v>
      </c>
      <c r="R120" t="s">
        <v>126</v>
      </c>
      <c r="S120" t="s">
        <v>1095</v>
      </c>
      <c r="T120" s="5">
        <v>4</v>
      </c>
      <c r="U120" s="6">
        <v>265.42</v>
      </c>
      <c r="V120" s="6">
        <v>153.29</v>
      </c>
      <c r="W120" s="8">
        <v>0</v>
      </c>
      <c r="X120" s="6">
        <f t="shared" si="5"/>
        <v>1061.68</v>
      </c>
      <c r="Y120" s="6">
        <f t="shared" si="6"/>
        <v>613.16</v>
      </c>
      <c r="Z120" s="6">
        <f t="shared" si="7"/>
        <v>448.5200000000001</v>
      </c>
      <c r="AA120" t="s">
        <v>679</v>
      </c>
      <c r="AC120" s="5"/>
      <c r="AD120" t="s">
        <v>1148</v>
      </c>
      <c r="AE120" t="str">
        <f t="shared" si="8"/>
        <v>2025-06</v>
      </c>
      <c r="AF120" t="str">
        <f t="shared" si="9"/>
        <v>Q2-2025</v>
      </c>
    </row>
    <row r="121" spans="1:32" x14ac:dyDescent="0.3">
      <c r="A121" t="s">
        <v>1322</v>
      </c>
      <c r="B121" s="5">
        <v>5</v>
      </c>
      <c r="C121" s="4">
        <v>45953</v>
      </c>
      <c r="D121" s="4">
        <v>45956</v>
      </c>
      <c r="E121" t="s">
        <v>307</v>
      </c>
      <c r="F121" t="s">
        <v>1323</v>
      </c>
      <c r="G121" t="s">
        <v>74</v>
      </c>
      <c r="H121" t="s">
        <v>31</v>
      </c>
      <c r="I121" t="s">
        <v>67</v>
      </c>
      <c r="J121" t="s">
        <v>1128</v>
      </c>
      <c r="K121" t="s">
        <v>1181</v>
      </c>
      <c r="L121" t="s">
        <v>944</v>
      </c>
      <c r="M121" t="s">
        <v>929</v>
      </c>
      <c r="N121" t="s">
        <v>930</v>
      </c>
      <c r="O121" t="s">
        <v>945</v>
      </c>
      <c r="P121" t="s">
        <v>50</v>
      </c>
      <c r="Q121" t="s">
        <v>51</v>
      </c>
      <c r="R121" t="s">
        <v>1094</v>
      </c>
      <c r="S121" t="s">
        <v>1156</v>
      </c>
      <c r="T121" s="5">
        <v>3</v>
      </c>
      <c r="U121" s="6">
        <v>275.91000000000003</v>
      </c>
      <c r="V121" s="6">
        <v>210.38</v>
      </c>
      <c r="W121" s="8">
        <v>0</v>
      </c>
      <c r="X121" s="6">
        <f t="shared" si="5"/>
        <v>827.73</v>
      </c>
      <c r="Y121" s="6">
        <f t="shared" si="6"/>
        <v>631.14</v>
      </c>
      <c r="Z121" s="6">
        <f t="shared" si="7"/>
        <v>196.59000000000003</v>
      </c>
      <c r="AA121" t="s">
        <v>679</v>
      </c>
      <c r="AC121" s="5">
        <v>4</v>
      </c>
      <c r="AD121" t="s">
        <v>1136</v>
      </c>
      <c r="AE121" t="str">
        <f t="shared" si="8"/>
        <v>2025-10</v>
      </c>
      <c r="AF121" t="str">
        <f t="shared" si="9"/>
        <v>Q4-2025</v>
      </c>
    </row>
    <row r="122" spans="1:32" x14ac:dyDescent="0.3">
      <c r="A122" t="s">
        <v>1324</v>
      </c>
      <c r="B122" s="5">
        <v>3</v>
      </c>
      <c r="C122" s="4">
        <v>45612</v>
      </c>
      <c r="D122" s="4">
        <v>45619</v>
      </c>
      <c r="E122" t="s">
        <v>173</v>
      </c>
      <c r="F122" t="s">
        <v>1325</v>
      </c>
      <c r="G122" t="s">
        <v>65</v>
      </c>
      <c r="H122" t="s">
        <v>20</v>
      </c>
      <c r="I122" t="s">
        <v>71</v>
      </c>
      <c r="J122" t="s">
        <v>1112</v>
      </c>
      <c r="K122" t="s">
        <v>1266</v>
      </c>
      <c r="L122" t="s">
        <v>879</v>
      </c>
      <c r="M122" t="s">
        <v>795</v>
      </c>
      <c r="N122" t="s">
        <v>837</v>
      </c>
      <c r="O122" t="s">
        <v>880</v>
      </c>
      <c r="P122" t="s">
        <v>48</v>
      </c>
      <c r="Q122" t="s">
        <v>49</v>
      </c>
      <c r="R122" t="s">
        <v>1094</v>
      </c>
      <c r="S122" t="s">
        <v>1109</v>
      </c>
      <c r="T122" s="5">
        <v>24</v>
      </c>
      <c r="U122" s="6">
        <v>203.05</v>
      </c>
      <c r="V122" s="6">
        <v>115.3</v>
      </c>
      <c r="W122" s="8">
        <v>0</v>
      </c>
      <c r="X122" s="6">
        <f t="shared" si="5"/>
        <v>4873.2000000000007</v>
      </c>
      <c r="Y122" s="6">
        <f t="shared" si="6"/>
        <v>2767.2</v>
      </c>
      <c r="Z122" s="6">
        <f t="shared" si="7"/>
        <v>2106.0000000000009</v>
      </c>
      <c r="AA122" t="s">
        <v>679</v>
      </c>
      <c r="AC122" s="5"/>
      <c r="AD122" t="s">
        <v>1101</v>
      </c>
      <c r="AE122" t="str">
        <f t="shared" si="8"/>
        <v>2024-11</v>
      </c>
      <c r="AF122" t="str">
        <f t="shared" si="9"/>
        <v>Q4-2024</v>
      </c>
    </row>
    <row r="123" spans="1:32" x14ac:dyDescent="0.3">
      <c r="A123" t="s">
        <v>1326</v>
      </c>
      <c r="B123" s="5">
        <v>4</v>
      </c>
      <c r="C123" s="4">
        <v>45387</v>
      </c>
      <c r="D123" s="4">
        <v>45387</v>
      </c>
      <c r="E123" t="s">
        <v>358</v>
      </c>
      <c r="F123" t="s">
        <v>359</v>
      </c>
      <c r="G123" t="s">
        <v>104</v>
      </c>
      <c r="H123" t="s">
        <v>41</v>
      </c>
      <c r="I123" t="s">
        <v>86</v>
      </c>
      <c r="J123" t="s">
        <v>1107</v>
      </c>
      <c r="K123" t="s">
        <v>1108</v>
      </c>
      <c r="L123" t="s">
        <v>960</v>
      </c>
      <c r="M123" t="s">
        <v>929</v>
      </c>
      <c r="N123" t="s">
        <v>930</v>
      </c>
      <c r="O123" t="s">
        <v>961</v>
      </c>
      <c r="P123" t="s">
        <v>48</v>
      </c>
      <c r="Q123" t="s">
        <v>49</v>
      </c>
      <c r="R123" t="s">
        <v>126</v>
      </c>
      <c r="S123" t="s">
        <v>1109</v>
      </c>
      <c r="T123" s="5">
        <v>13</v>
      </c>
      <c r="U123" s="6">
        <v>191.61</v>
      </c>
      <c r="V123" s="6">
        <v>139.97</v>
      </c>
      <c r="W123" s="8">
        <v>0</v>
      </c>
      <c r="X123" s="6">
        <f t="shared" si="5"/>
        <v>2490.9300000000003</v>
      </c>
      <c r="Y123" s="6">
        <f t="shared" si="6"/>
        <v>1819.61</v>
      </c>
      <c r="Z123" s="6">
        <f t="shared" si="7"/>
        <v>671.32000000000039</v>
      </c>
      <c r="AA123" t="s">
        <v>662</v>
      </c>
      <c r="AB123" t="s">
        <v>1327</v>
      </c>
      <c r="AC123" s="5">
        <v>3</v>
      </c>
      <c r="AD123" t="s">
        <v>1090</v>
      </c>
      <c r="AE123" t="str">
        <f t="shared" si="8"/>
        <v>2024-04</v>
      </c>
      <c r="AF123" t="str">
        <f t="shared" si="9"/>
        <v>Q2-2024</v>
      </c>
    </row>
    <row r="124" spans="1:32" x14ac:dyDescent="0.3">
      <c r="A124" t="s">
        <v>1328</v>
      </c>
      <c r="B124" s="5">
        <v>4</v>
      </c>
      <c r="C124" s="4">
        <v>45480</v>
      </c>
      <c r="D124" s="4">
        <v>45487</v>
      </c>
      <c r="E124" t="s">
        <v>330</v>
      </c>
      <c r="F124" t="s">
        <v>331</v>
      </c>
      <c r="G124" t="s">
        <v>80</v>
      </c>
      <c r="H124" t="s">
        <v>23</v>
      </c>
      <c r="I124" t="s">
        <v>93</v>
      </c>
      <c r="J124" t="s">
        <v>1103</v>
      </c>
      <c r="K124" t="s">
        <v>1239</v>
      </c>
      <c r="L124" t="s">
        <v>696</v>
      </c>
      <c r="M124" t="s">
        <v>659</v>
      </c>
      <c r="N124" t="s">
        <v>660</v>
      </c>
      <c r="O124" t="s">
        <v>697</v>
      </c>
      <c r="P124" t="s">
        <v>42</v>
      </c>
      <c r="Q124" t="s">
        <v>43</v>
      </c>
      <c r="R124" t="s">
        <v>1114</v>
      </c>
      <c r="S124" t="s">
        <v>1156</v>
      </c>
      <c r="T124" s="5">
        <v>16</v>
      </c>
      <c r="U124" s="6">
        <v>81.05</v>
      </c>
      <c r="V124" s="6">
        <v>66.25</v>
      </c>
      <c r="W124" s="8">
        <v>0</v>
      </c>
      <c r="X124" s="6">
        <f t="shared" si="5"/>
        <v>1296.8</v>
      </c>
      <c r="Y124" s="6">
        <f t="shared" si="6"/>
        <v>1060</v>
      </c>
      <c r="Z124" s="6">
        <f t="shared" si="7"/>
        <v>236.79999999999995</v>
      </c>
      <c r="AA124" t="s">
        <v>679</v>
      </c>
      <c r="AC124" s="5">
        <v>1</v>
      </c>
      <c r="AD124" t="s">
        <v>1140</v>
      </c>
      <c r="AE124" t="str">
        <f t="shared" si="8"/>
        <v>2024-07</v>
      </c>
      <c r="AF124" t="str">
        <f t="shared" si="9"/>
        <v>Q3-2024</v>
      </c>
    </row>
    <row r="125" spans="1:32" x14ac:dyDescent="0.3">
      <c r="A125" t="s">
        <v>1329</v>
      </c>
      <c r="B125" s="5">
        <v>4</v>
      </c>
      <c r="C125" s="4">
        <v>46006</v>
      </c>
      <c r="D125" s="4">
        <v>46008</v>
      </c>
      <c r="E125" t="s">
        <v>138</v>
      </c>
      <c r="F125" t="s">
        <v>139</v>
      </c>
      <c r="G125" t="s">
        <v>104</v>
      </c>
      <c r="H125" t="s">
        <v>31</v>
      </c>
      <c r="I125" t="s">
        <v>127</v>
      </c>
      <c r="J125" t="s">
        <v>1098</v>
      </c>
      <c r="K125" t="s">
        <v>1217</v>
      </c>
      <c r="L125" t="s">
        <v>849</v>
      </c>
      <c r="M125" t="s">
        <v>795</v>
      </c>
      <c r="N125" t="s">
        <v>837</v>
      </c>
      <c r="O125" t="s">
        <v>850</v>
      </c>
      <c r="P125" t="s">
        <v>17</v>
      </c>
      <c r="Q125" t="s">
        <v>18</v>
      </c>
      <c r="R125" t="s">
        <v>1088</v>
      </c>
      <c r="S125" t="s">
        <v>1156</v>
      </c>
      <c r="T125" s="5">
        <v>3</v>
      </c>
      <c r="U125" s="6">
        <v>116.19</v>
      </c>
      <c r="V125" s="6">
        <v>67.12</v>
      </c>
      <c r="W125" s="8">
        <v>0</v>
      </c>
      <c r="X125" s="6">
        <f t="shared" si="5"/>
        <v>348.57</v>
      </c>
      <c r="Y125" s="6">
        <f t="shared" si="6"/>
        <v>201.36</v>
      </c>
      <c r="Z125" s="6">
        <f t="shared" si="7"/>
        <v>147.20999999999998</v>
      </c>
      <c r="AA125" t="s">
        <v>679</v>
      </c>
      <c r="AC125" s="5">
        <v>3</v>
      </c>
      <c r="AD125" t="s">
        <v>1123</v>
      </c>
      <c r="AE125" t="str">
        <f t="shared" si="8"/>
        <v>2025-12</v>
      </c>
      <c r="AF125" t="str">
        <f t="shared" si="9"/>
        <v>Q4-2025</v>
      </c>
    </row>
    <row r="126" spans="1:32" x14ac:dyDescent="0.3">
      <c r="A126" t="s">
        <v>1330</v>
      </c>
      <c r="B126" s="5">
        <v>2</v>
      </c>
      <c r="C126" s="4">
        <v>45310</v>
      </c>
      <c r="D126" s="4">
        <v>45312</v>
      </c>
      <c r="E126" t="s">
        <v>455</v>
      </c>
      <c r="F126" t="s">
        <v>456</v>
      </c>
      <c r="G126" t="s">
        <v>65</v>
      </c>
      <c r="H126" t="s">
        <v>41</v>
      </c>
      <c r="I126" t="s">
        <v>75</v>
      </c>
      <c r="J126" t="s">
        <v>1142</v>
      </c>
      <c r="K126" t="s">
        <v>1205</v>
      </c>
      <c r="L126" t="s">
        <v>715</v>
      </c>
      <c r="M126" t="s">
        <v>659</v>
      </c>
      <c r="N126" t="s">
        <v>713</v>
      </c>
      <c r="O126" t="s">
        <v>716</v>
      </c>
      <c r="P126" t="s">
        <v>27</v>
      </c>
      <c r="Q126" t="s">
        <v>28</v>
      </c>
      <c r="R126" t="s">
        <v>1088</v>
      </c>
      <c r="S126" t="s">
        <v>1109</v>
      </c>
      <c r="T126" s="5">
        <v>6</v>
      </c>
      <c r="U126" s="6">
        <v>22.71</v>
      </c>
      <c r="V126" s="6">
        <v>19.63</v>
      </c>
      <c r="W126" s="8">
        <v>0</v>
      </c>
      <c r="X126" s="6">
        <f t="shared" si="5"/>
        <v>136.26</v>
      </c>
      <c r="Y126" s="6">
        <f t="shared" si="6"/>
        <v>117.78</v>
      </c>
      <c r="Z126" s="6">
        <f t="shared" si="7"/>
        <v>18.47999999999999</v>
      </c>
      <c r="AA126" t="s">
        <v>679</v>
      </c>
      <c r="AC126" s="5">
        <v>1</v>
      </c>
      <c r="AD126" t="s">
        <v>1110</v>
      </c>
      <c r="AE126" t="str">
        <f t="shared" si="8"/>
        <v>2024-01</v>
      </c>
      <c r="AF126" t="str">
        <f t="shared" si="9"/>
        <v>Q1-2024</v>
      </c>
    </row>
    <row r="127" spans="1:32" x14ac:dyDescent="0.3">
      <c r="A127" t="s">
        <v>1331</v>
      </c>
      <c r="B127" s="5">
        <v>3</v>
      </c>
      <c r="C127" s="4">
        <v>46004</v>
      </c>
      <c r="D127" s="4">
        <v>46009</v>
      </c>
      <c r="E127" t="s">
        <v>521</v>
      </c>
      <c r="F127" t="s">
        <v>522</v>
      </c>
      <c r="G127" t="s">
        <v>65</v>
      </c>
      <c r="H127" t="s">
        <v>31</v>
      </c>
      <c r="I127" t="s">
        <v>67</v>
      </c>
      <c r="J127" t="s">
        <v>1207</v>
      </c>
      <c r="K127" t="s">
        <v>1208</v>
      </c>
      <c r="L127" t="s">
        <v>675</v>
      </c>
      <c r="M127" t="s">
        <v>659</v>
      </c>
      <c r="N127" t="s">
        <v>660</v>
      </c>
      <c r="O127" t="s">
        <v>676</v>
      </c>
      <c r="P127" t="s">
        <v>46</v>
      </c>
      <c r="Q127" t="s">
        <v>47</v>
      </c>
      <c r="R127" t="s">
        <v>1114</v>
      </c>
      <c r="S127" t="s">
        <v>1109</v>
      </c>
      <c r="T127" s="5">
        <v>6</v>
      </c>
      <c r="U127" s="6">
        <v>30.58</v>
      </c>
      <c r="V127" s="6">
        <v>15.14</v>
      </c>
      <c r="W127" s="8"/>
      <c r="X127" s="6">
        <f t="shared" si="5"/>
        <v>183.48</v>
      </c>
      <c r="Y127" s="6">
        <f t="shared" si="6"/>
        <v>90.84</v>
      </c>
      <c r="Z127" s="6">
        <f t="shared" si="7"/>
        <v>92.639999999999986</v>
      </c>
      <c r="AA127" t="s">
        <v>679</v>
      </c>
      <c r="AC127" s="5">
        <v>4</v>
      </c>
      <c r="AE127" t="str">
        <f t="shared" si="8"/>
        <v>2025-12</v>
      </c>
      <c r="AF127" t="str">
        <f t="shared" si="9"/>
        <v>Q4-2025</v>
      </c>
    </row>
    <row r="128" spans="1:32" x14ac:dyDescent="0.3">
      <c r="A128" t="s">
        <v>1332</v>
      </c>
      <c r="B128" s="5">
        <v>1</v>
      </c>
      <c r="C128" s="4">
        <v>45972</v>
      </c>
      <c r="D128" s="4">
        <v>45980</v>
      </c>
      <c r="E128" t="s">
        <v>548</v>
      </c>
      <c r="F128" t="s">
        <v>448</v>
      </c>
      <c r="G128" t="s">
        <v>84</v>
      </c>
      <c r="H128" t="s">
        <v>23</v>
      </c>
      <c r="I128" t="s">
        <v>109</v>
      </c>
      <c r="J128" t="s">
        <v>1300</v>
      </c>
      <c r="K128" t="s">
        <v>1301</v>
      </c>
      <c r="L128" t="s">
        <v>820</v>
      </c>
      <c r="M128" t="s">
        <v>795</v>
      </c>
      <c r="N128" t="s">
        <v>796</v>
      </c>
      <c r="O128" t="s">
        <v>821</v>
      </c>
      <c r="P128" t="s">
        <v>44</v>
      </c>
      <c r="Q128" t="s">
        <v>45</v>
      </c>
      <c r="R128" t="s">
        <v>1088</v>
      </c>
      <c r="S128" t="s">
        <v>1109</v>
      </c>
      <c r="T128" s="5">
        <v>4</v>
      </c>
      <c r="U128" s="6">
        <v>108.53</v>
      </c>
      <c r="V128" s="6">
        <v>67.19</v>
      </c>
      <c r="W128" s="8">
        <v>0</v>
      </c>
      <c r="X128" s="6">
        <f t="shared" si="5"/>
        <v>434.12</v>
      </c>
      <c r="Y128" s="6">
        <f t="shared" si="6"/>
        <v>268.76</v>
      </c>
      <c r="Z128" s="6">
        <f t="shared" si="7"/>
        <v>165.36</v>
      </c>
      <c r="AA128" t="s">
        <v>679</v>
      </c>
      <c r="AC128" s="5"/>
      <c r="AD128" t="s">
        <v>1140</v>
      </c>
      <c r="AE128" t="str">
        <f t="shared" si="8"/>
        <v>2025-11</v>
      </c>
      <c r="AF128" t="str">
        <f t="shared" si="9"/>
        <v>Q4-2025</v>
      </c>
    </row>
    <row r="129" spans="1:32" x14ac:dyDescent="0.3">
      <c r="A129" t="s">
        <v>1333</v>
      </c>
      <c r="B129" s="5">
        <v>2</v>
      </c>
      <c r="C129" s="4">
        <v>45809</v>
      </c>
      <c r="D129" s="4">
        <v>45821</v>
      </c>
      <c r="E129" t="s">
        <v>326</v>
      </c>
      <c r="F129" t="s">
        <v>327</v>
      </c>
      <c r="G129" t="s">
        <v>65</v>
      </c>
      <c r="H129" t="s">
        <v>23</v>
      </c>
      <c r="I129" t="s">
        <v>93</v>
      </c>
      <c r="J129" t="s">
        <v>1294</v>
      </c>
      <c r="K129" t="s">
        <v>1334</v>
      </c>
      <c r="L129" t="s">
        <v>940</v>
      </c>
      <c r="M129" t="s">
        <v>929</v>
      </c>
      <c r="N129" t="s">
        <v>930</v>
      </c>
      <c r="O129" t="s">
        <v>941</v>
      </c>
      <c r="P129" t="s">
        <v>27</v>
      </c>
      <c r="Q129" t="s">
        <v>28</v>
      </c>
      <c r="R129" t="s">
        <v>1114</v>
      </c>
      <c r="S129" t="s">
        <v>1100</v>
      </c>
      <c r="T129" s="5">
        <v>305</v>
      </c>
      <c r="U129" s="6">
        <v>208.26</v>
      </c>
      <c r="V129" s="6">
        <v>157.07</v>
      </c>
      <c r="W129" s="8">
        <v>0.18640000000000001</v>
      </c>
      <c r="X129" s="6">
        <f t="shared" si="5"/>
        <v>51679.302479999998</v>
      </c>
      <c r="Y129" s="6">
        <f t="shared" si="6"/>
        <v>47906.35</v>
      </c>
      <c r="Z129" s="6">
        <f t="shared" si="7"/>
        <v>3772.9524799999999</v>
      </c>
      <c r="AA129" t="s">
        <v>679</v>
      </c>
      <c r="AC129" s="5">
        <v>4</v>
      </c>
      <c r="AD129" t="s">
        <v>1335</v>
      </c>
      <c r="AE129" t="str">
        <f t="shared" si="8"/>
        <v>2025-06</v>
      </c>
      <c r="AF129" t="str">
        <f t="shared" si="9"/>
        <v>Q2-2025</v>
      </c>
    </row>
    <row r="130" spans="1:32" x14ac:dyDescent="0.3">
      <c r="A130" t="s">
        <v>1336</v>
      </c>
      <c r="B130" s="5">
        <v>4</v>
      </c>
      <c r="C130" s="4">
        <v>45516</v>
      </c>
      <c r="D130" s="4">
        <v>45524</v>
      </c>
      <c r="E130" t="s">
        <v>198</v>
      </c>
      <c r="F130" t="s">
        <v>101</v>
      </c>
      <c r="G130" t="s">
        <v>104</v>
      </c>
      <c r="H130" t="s">
        <v>31</v>
      </c>
      <c r="I130" t="s">
        <v>67</v>
      </c>
      <c r="J130" t="s">
        <v>1304</v>
      </c>
      <c r="K130" t="s">
        <v>1305</v>
      </c>
      <c r="L130" t="s">
        <v>936</v>
      </c>
      <c r="M130" t="s">
        <v>929</v>
      </c>
      <c r="N130" t="s">
        <v>930</v>
      </c>
      <c r="O130" t="s">
        <v>937</v>
      </c>
      <c r="P130" t="s">
        <v>24</v>
      </c>
      <c r="Q130" t="s">
        <v>25</v>
      </c>
      <c r="R130" t="s">
        <v>1094</v>
      </c>
      <c r="S130" t="s">
        <v>1095</v>
      </c>
      <c r="T130" s="5">
        <v>8</v>
      </c>
      <c r="U130" s="6">
        <v>217.85</v>
      </c>
      <c r="V130" s="6">
        <v>133.72</v>
      </c>
      <c r="W130" s="8">
        <v>0.18290000000000001</v>
      </c>
      <c r="X130" s="6">
        <f t="shared" ref="X130:X193" si="10">T130*U130*(1-IF(ISBLANK(W130),0,W130))</f>
        <v>1424.0418799999998</v>
      </c>
      <c r="Y130" s="6">
        <f t="shared" ref="Y130:Y193" si="11">T130*V130</f>
        <v>1069.76</v>
      </c>
      <c r="Z130" s="6">
        <f t="shared" ref="Z130:Z193" si="12">X130-Y130</f>
        <v>354.28187999999977</v>
      </c>
      <c r="AA130" t="s">
        <v>679</v>
      </c>
      <c r="AC130" s="5">
        <v>3</v>
      </c>
      <c r="AD130" t="s">
        <v>1337</v>
      </c>
      <c r="AE130" t="str">
        <f t="shared" ref="AE130:AE193" si="13">TEXT(C130,"yyyy-mm")</f>
        <v>2024-08</v>
      </c>
      <c r="AF130" t="str">
        <f t="shared" ref="AF130:AF193" si="14">"Q"&amp;ROUNDUP(MONTH(C130)/3,0)&amp;"-"&amp;YEAR(C130)</f>
        <v>Q3-2024</v>
      </c>
    </row>
    <row r="131" spans="1:32" x14ac:dyDescent="0.3">
      <c r="A131" t="s">
        <v>1338</v>
      </c>
      <c r="B131" s="5">
        <v>4</v>
      </c>
      <c r="C131" s="4">
        <v>45490</v>
      </c>
      <c r="D131" s="4">
        <v>45503</v>
      </c>
      <c r="E131" t="s">
        <v>553</v>
      </c>
      <c r="F131" t="s">
        <v>495</v>
      </c>
      <c r="G131" t="s">
        <v>74</v>
      </c>
      <c r="H131" t="s">
        <v>31</v>
      </c>
      <c r="I131" t="s">
        <v>67</v>
      </c>
      <c r="J131" t="s">
        <v>1128</v>
      </c>
      <c r="K131" t="s">
        <v>1339</v>
      </c>
      <c r="L131" t="s">
        <v>918</v>
      </c>
      <c r="M131" t="s">
        <v>795</v>
      </c>
      <c r="N131" t="s">
        <v>898</v>
      </c>
      <c r="O131" t="s">
        <v>919</v>
      </c>
      <c r="P131" t="s">
        <v>44</v>
      </c>
      <c r="Q131" t="s">
        <v>45</v>
      </c>
      <c r="R131" t="s">
        <v>1088</v>
      </c>
      <c r="S131" t="s">
        <v>1095</v>
      </c>
      <c r="T131" s="5">
        <v>20</v>
      </c>
      <c r="U131" s="6">
        <v>189.37</v>
      </c>
      <c r="V131" s="6">
        <v>157.71</v>
      </c>
      <c r="W131" s="8">
        <v>0</v>
      </c>
      <c r="X131" s="6">
        <f t="shared" si="10"/>
        <v>3787.4</v>
      </c>
      <c r="Y131" s="6">
        <f t="shared" si="11"/>
        <v>3154.2000000000003</v>
      </c>
      <c r="Z131" s="6">
        <f t="shared" si="12"/>
        <v>633.19999999999982</v>
      </c>
      <c r="AA131" t="s">
        <v>679</v>
      </c>
      <c r="AC131" s="5">
        <v>3</v>
      </c>
      <c r="AD131" t="s">
        <v>1148</v>
      </c>
      <c r="AE131" t="str">
        <f t="shared" si="13"/>
        <v>2024-07</v>
      </c>
      <c r="AF131" t="str">
        <f t="shared" si="14"/>
        <v>Q3-2024</v>
      </c>
    </row>
    <row r="132" spans="1:32" x14ac:dyDescent="0.3">
      <c r="A132" t="s">
        <v>1340</v>
      </c>
      <c r="B132" s="5">
        <v>1</v>
      </c>
      <c r="C132" s="4">
        <v>45535</v>
      </c>
      <c r="D132" s="4">
        <v>45548</v>
      </c>
      <c r="E132" t="s">
        <v>574</v>
      </c>
      <c r="F132" t="s">
        <v>400</v>
      </c>
      <c r="G132" t="s">
        <v>65</v>
      </c>
      <c r="H132" t="s">
        <v>31</v>
      </c>
      <c r="I132" t="s">
        <v>160</v>
      </c>
      <c r="J132" t="s">
        <v>1092</v>
      </c>
      <c r="K132" t="s">
        <v>1150</v>
      </c>
      <c r="L132" t="s">
        <v>871</v>
      </c>
      <c r="M132" t="s">
        <v>795</v>
      </c>
      <c r="N132" t="s">
        <v>837</v>
      </c>
      <c r="O132" t="s">
        <v>872</v>
      </c>
      <c r="P132" t="s">
        <v>32</v>
      </c>
      <c r="Q132" t="s">
        <v>33</v>
      </c>
      <c r="R132" t="s">
        <v>1094</v>
      </c>
      <c r="S132" t="s">
        <v>1156</v>
      </c>
      <c r="T132" s="5">
        <v>11</v>
      </c>
      <c r="U132" s="6">
        <v>145.12</v>
      </c>
      <c r="V132" s="6">
        <v>98.29</v>
      </c>
      <c r="W132" s="8">
        <v>0</v>
      </c>
      <c r="X132" s="6">
        <f t="shared" si="10"/>
        <v>1596.3200000000002</v>
      </c>
      <c r="Y132" s="6">
        <f t="shared" si="11"/>
        <v>1081.19</v>
      </c>
      <c r="Z132" s="6">
        <f t="shared" si="12"/>
        <v>515.13000000000011</v>
      </c>
      <c r="AA132" t="s">
        <v>679</v>
      </c>
      <c r="AC132" s="5">
        <v>2</v>
      </c>
      <c r="AD132" t="s">
        <v>1110</v>
      </c>
      <c r="AE132" t="str">
        <f t="shared" si="13"/>
        <v>2024-08</v>
      </c>
      <c r="AF132" t="str">
        <f t="shared" si="14"/>
        <v>Q3-2024</v>
      </c>
    </row>
    <row r="133" spans="1:32" x14ac:dyDescent="0.3">
      <c r="A133" t="s">
        <v>1341</v>
      </c>
      <c r="B133" s="5">
        <v>4</v>
      </c>
      <c r="C133" s="4">
        <v>45991</v>
      </c>
      <c r="D133" s="4">
        <v>45991</v>
      </c>
      <c r="E133" t="s">
        <v>465</v>
      </c>
      <c r="F133" t="s">
        <v>466</v>
      </c>
      <c r="G133" t="s">
        <v>65</v>
      </c>
      <c r="H133" t="s">
        <v>31</v>
      </c>
      <c r="I133" t="s">
        <v>67</v>
      </c>
      <c r="J133" t="s">
        <v>1304</v>
      </c>
      <c r="K133" t="s">
        <v>1342</v>
      </c>
      <c r="L133" t="s">
        <v>989</v>
      </c>
      <c r="M133" t="s">
        <v>929</v>
      </c>
      <c r="N133" t="s">
        <v>971</v>
      </c>
      <c r="O133" t="s">
        <v>990</v>
      </c>
      <c r="P133" t="s">
        <v>21</v>
      </c>
      <c r="Q133" t="s">
        <v>22</v>
      </c>
      <c r="R133" t="s">
        <v>1114</v>
      </c>
      <c r="S133" t="s">
        <v>1156</v>
      </c>
      <c r="T133" s="5">
        <v>14</v>
      </c>
      <c r="U133" s="6">
        <v>317.51</v>
      </c>
      <c r="V133" s="6">
        <v>177.7</v>
      </c>
      <c r="W133" s="8">
        <v>0</v>
      </c>
      <c r="X133" s="6">
        <f t="shared" si="10"/>
        <v>4445.1399999999994</v>
      </c>
      <c r="Y133" s="6">
        <f t="shared" si="11"/>
        <v>2487.7999999999997</v>
      </c>
      <c r="Z133" s="6">
        <f t="shared" si="12"/>
        <v>1957.3399999999997</v>
      </c>
      <c r="AA133" t="s">
        <v>679</v>
      </c>
      <c r="AC133" s="5">
        <v>1</v>
      </c>
      <c r="AE133" t="str">
        <f t="shared" si="13"/>
        <v>2025-11</v>
      </c>
      <c r="AF133" t="str">
        <f t="shared" si="14"/>
        <v>Q4-2025</v>
      </c>
    </row>
    <row r="134" spans="1:32" x14ac:dyDescent="0.3">
      <c r="A134" t="s">
        <v>1343</v>
      </c>
      <c r="B134" s="5">
        <v>1</v>
      </c>
      <c r="C134" s="4">
        <v>45689</v>
      </c>
      <c r="D134" s="4">
        <v>45696</v>
      </c>
      <c r="E134" t="s">
        <v>459</v>
      </c>
      <c r="F134" t="s">
        <v>460</v>
      </c>
      <c r="G134" t="s">
        <v>74</v>
      </c>
      <c r="H134" t="s">
        <v>41</v>
      </c>
      <c r="I134" t="s">
        <v>75</v>
      </c>
      <c r="J134" t="s">
        <v>1142</v>
      </c>
      <c r="K134" t="s">
        <v>1205</v>
      </c>
      <c r="L134" t="s">
        <v>753</v>
      </c>
      <c r="M134" t="s">
        <v>659</v>
      </c>
      <c r="N134" t="s">
        <v>754</v>
      </c>
      <c r="O134" t="s">
        <v>755</v>
      </c>
      <c r="P134" t="s">
        <v>39</v>
      </c>
      <c r="Q134" t="s">
        <v>40</v>
      </c>
      <c r="R134" t="s">
        <v>1114</v>
      </c>
      <c r="S134" t="s">
        <v>1089</v>
      </c>
      <c r="T134" s="5">
        <v>11</v>
      </c>
      <c r="U134" s="6">
        <v>8.16</v>
      </c>
      <c r="V134" s="6">
        <v>5</v>
      </c>
      <c r="W134" s="8">
        <v>0.27210000000000001</v>
      </c>
      <c r="X134" s="6">
        <f t="shared" si="10"/>
        <v>65.336303999999998</v>
      </c>
      <c r="Y134" s="6">
        <f t="shared" si="11"/>
        <v>55</v>
      </c>
      <c r="Z134" s="6">
        <f t="shared" si="12"/>
        <v>10.336303999999998</v>
      </c>
      <c r="AA134" t="s">
        <v>679</v>
      </c>
      <c r="AC134" s="5">
        <v>5</v>
      </c>
      <c r="AD134" t="s">
        <v>1090</v>
      </c>
      <c r="AE134" t="str">
        <f t="shared" si="13"/>
        <v>2025-02</v>
      </c>
      <c r="AF134" t="str">
        <f t="shared" si="14"/>
        <v>Q1-2025</v>
      </c>
    </row>
    <row r="135" spans="1:32" x14ac:dyDescent="0.3">
      <c r="A135" t="s">
        <v>1344</v>
      </c>
      <c r="B135" s="5">
        <v>5</v>
      </c>
      <c r="C135" s="4">
        <v>45354</v>
      </c>
      <c r="D135" s="4">
        <v>45360</v>
      </c>
      <c r="E135" t="s">
        <v>461</v>
      </c>
      <c r="F135" t="s">
        <v>462</v>
      </c>
      <c r="G135" t="s">
        <v>65</v>
      </c>
      <c r="H135" t="s">
        <v>31</v>
      </c>
      <c r="I135" t="s">
        <v>127</v>
      </c>
      <c r="J135" t="s">
        <v>1098</v>
      </c>
      <c r="K135" t="s">
        <v>1161</v>
      </c>
      <c r="L135" t="s">
        <v>675</v>
      </c>
      <c r="M135" t="s">
        <v>659</v>
      </c>
      <c r="N135" t="s">
        <v>660</v>
      </c>
      <c r="O135" t="s">
        <v>676</v>
      </c>
      <c r="P135" t="s">
        <v>42</v>
      </c>
      <c r="Q135" t="s">
        <v>43</v>
      </c>
      <c r="R135" t="s">
        <v>1088</v>
      </c>
      <c r="S135" t="s">
        <v>1089</v>
      </c>
      <c r="T135" s="5">
        <v>9</v>
      </c>
      <c r="U135" s="6">
        <v>29.17</v>
      </c>
      <c r="V135" s="6">
        <v>15.14</v>
      </c>
      <c r="W135" s="8">
        <v>0</v>
      </c>
      <c r="X135" s="6">
        <f t="shared" si="10"/>
        <v>262.53000000000003</v>
      </c>
      <c r="Y135" s="6">
        <f t="shared" si="11"/>
        <v>136.26</v>
      </c>
      <c r="Z135" s="6">
        <f t="shared" si="12"/>
        <v>126.27000000000004</v>
      </c>
      <c r="AA135" t="s">
        <v>679</v>
      </c>
      <c r="AC135" s="5">
        <v>1</v>
      </c>
      <c r="AD135" t="s">
        <v>1148</v>
      </c>
      <c r="AE135" t="str">
        <f t="shared" si="13"/>
        <v>2024-03</v>
      </c>
      <c r="AF135" t="str">
        <f t="shared" si="14"/>
        <v>Q1-2024</v>
      </c>
    </row>
    <row r="136" spans="1:32" x14ac:dyDescent="0.3">
      <c r="A136" t="s">
        <v>1345</v>
      </c>
      <c r="B136" s="5">
        <v>1</v>
      </c>
      <c r="C136" s="4">
        <v>46001</v>
      </c>
      <c r="D136" s="4">
        <v>46002</v>
      </c>
      <c r="E136" t="s">
        <v>199</v>
      </c>
      <c r="F136" t="s">
        <v>200</v>
      </c>
      <c r="G136" t="s">
        <v>74</v>
      </c>
      <c r="H136" t="s">
        <v>31</v>
      </c>
      <c r="I136" t="s">
        <v>67</v>
      </c>
      <c r="J136" t="s">
        <v>1128</v>
      </c>
      <c r="K136" t="s">
        <v>1339</v>
      </c>
      <c r="L136" t="s">
        <v>832</v>
      </c>
      <c r="M136" t="s">
        <v>795</v>
      </c>
      <c r="N136" t="s">
        <v>796</v>
      </c>
      <c r="O136" t="s">
        <v>833</v>
      </c>
      <c r="P136" t="s">
        <v>17</v>
      </c>
      <c r="Q136" t="s">
        <v>18</v>
      </c>
      <c r="R136" t="s">
        <v>1094</v>
      </c>
      <c r="S136" t="s">
        <v>1089</v>
      </c>
      <c r="T136" s="5">
        <v>16</v>
      </c>
      <c r="U136" s="6">
        <v>198.57</v>
      </c>
      <c r="V136" s="6">
        <v>161.80000000000001</v>
      </c>
      <c r="W136" s="8">
        <v>0</v>
      </c>
      <c r="X136" s="6">
        <f t="shared" si="10"/>
        <v>3177.12</v>
      </c>
      <c r="Y136" s="6">
        <f t="shared" si="11"/>
        <v>2588.8000000000002</v>
      </c>
      <c r="Z136" s="6">
        <f t="shared" si="12"/>
        <v>588.31999999999971</v>
      </c>
      <c r="AA136" t="s">
        <v>679</v>
      </c>
      <c r="AC136" s="5">
        <v>4</v>
      </c>
      <c r="AD136" t="s">
        <v>1136</v>
      </c>
      <c r="AE136" t="str">
        <f t="shared" si="13"/>
        <v>2025-12</v>
      </c>
      <c r="AF136" t="str">
        <f t="shared" si="14"/>
        <v>Q4-2025</v>
      </c>
    </row>
    <row r="137" spans="1:32" x14ac:dyDescent="0.3">
      <c r="A137" t="s">
        <v>1346</v>
      </c>
      <c r="B137" s="5">
        <v>1</v>
      </c>
      <c r="C137" s="4">
        <v>46004</v>
      </c>
      <c r="D137" s="4">
        <v>46014</v>
      </c>
      <c r="E137" t="s">
        <v>572</v>
      </c>
      <c r="F137" t="s">
        <v>573</v>
      </c>
      <c r="G137" t="s">
        <v>80</v>
      </c>
      <c r="H137" t="s">
        <v>31</v>
      </c>
      <c r="I137" t="s">
        <v>67</v>
      </c>
      <c r="J137" t="s">
        <v>1207</v>
      </c>
      <c r="K137" t="s">
        <v>1208</v>
      </c>
      <c r="L137" t="s">
        <v>853</v>
      </c>
      <c r="M137" t="s">
        <v>795</v>
      </c>
      <c r="N137" t="s">
        <v>837</v>
      </c>
      <c r="O137" t="s">
        <v>854</v>
      </c>
      <c r="P137" t="s">
        <v>34</v>
      </c>
      <c r="Q137" t="s">
        <v>35</v>
      </c>
      <c r="R137" t="s">
        <v>1088</v>
      </c>
      <c r="S137" t="s">
        <v>1156</v>
      </c>
      <c r="T137" s="5">
        <v>7</v>
      </c>
      <c r="U137" s="6">
        <v>175.08</v>
      </c>
      <c r="V137" s="6">
        <v>119.67</v>
      </c>
      <c r="W137" s="8">
        <v>0</v>
      </c>
      <c r="X137" s="6">
        <f t="shared" si="10"/>
        <v>1225.5600000000002</v>
      </c>
      <c r="Y137" s="6">
        <f t="shared" si="11"/>
        <v>837.69</v>
      </c>
      <c r="Z137" s="6">
        <f t="shared" si="12"/>
        <v>387.87000000000012</v>
      </c>
      <c r="AA137" t="s">
        <v>679</v>
      </c>
      <c r="AC137" s="5">
        <v>5</v>
      </c>
      <c r="AD137" t="s">
        <v>1101</v>
      </c>
      <c r="AE137" t="str">
        <f t="shared" si="13"/>
        <v>2025-12</v>
      </c>
      <c r="AF137" t="str">
        <f t="shared" si="14"/>
        <v>Q4-2025</v>
      </c>
    </row>
    <row r="138" spans="1:32" x14ac:dyDescent="0.3">
      <c r="A138" t="s">
        <v>1347</v>
      </c>
      <c r="B138" s="5">
        <v>1</v>
      </c>
      <c r="C138" s="4">
        <v>45964</v>
      </c>
      <c r="D138" s="4">
        <v>45977</v>
      </c>
      <c r="E138" t="s">
        <v>385</v>
      </c>
      <c r="F138" t="s">
        <v>386</v>
      </c>
      <c r="G138" t="s">
        <v>74</v>
      </c>
      <c r="H138" t="s">
        <v>41</v>
      </c>
      <c r="I138" t="s">
        <v>75</v>
      </c>
      <c r="J138" t="s">
        <v>1142</v>
      </c>
      <c r="K138" t="s">
        <v>1198</v>
      </c>
      <c r="L138" t="s">
        <v>871</v>
      </c>
      <c r="M138" t="s">
        <v>795</v>
      </c>
      <c r="N138" t="s">
        <v>837</v>
      </c>
      <c r="O138" t="s">
        <v>872</v>
      </c>
      <c r="P138" t="s">
        <v>29</v>
      </c>
      <c r="Q138" t="s">
        <v>30</v>
      </c>
      <c r="R138" t="s">
        <v>1114</v>
      </c>
      <c r="S138" t="s">
        <v>1095</v>
      </c>
      <c r="T138" s="5">
        <v>1</v>
      </c>
      <c r="U138" s="6">
        <v>122.18</v>
      </c>
      <c r="V138" s="6">
        <v>98.29</v>
      </c>
      <c r="W138" s="8">
        <v>0</v>
      </c>
      <c r="X138" s="6">
        <f t="shared" si="10"/>
        <v>122.18</v>
      </c>
      <c r="Y138" s="6">
        <f t="shared" si="11"/>
        <v>98.29</v>
      </c>
      <c r="Z138" s="6">
        <f t="shared" si="12"/>
        <v>23.89</v>
      </c>
      <c r="AA138" t="s">
        <v>679</v>
      </c>
      <c r="AC138" s="5">
        <v>4</v>
      </c>
      <c r="AD138" t="s">
        <v>1140</v>
      </c>
      <c r="AE138" t="str">
        <f t="shared" si="13"/>
        <v>2025-11</v>
      </c>
      <c r="AF138" t="str">
        <f t="shared" si="14"/>
        <v>Q4-2025</v>
      </c>
    </row>
    <row r="139" spans="1:32" x14ac:dyDescent="0.3">
      <c r="A139" t="s">
        <v>1348</v>
      </c>
      <c r="B139" s="5">
        <v>5</v>
      </c>
      <c r="C139" s="4">
        <v>45741</v>
      </c>
      <c r="D139" s="4">
        <v>45755</v>
      </c>
      <c r="E139" t="s">
        <v>144</v>
      </c>
      <c r="F139" t="s">
        <v>145</v>
      </c>
      <c r="G139" t="s">
        <v>74</v>
      </c>
      <c r="H139" t="s">
        <v>20</v>
      </c>
      <c r="I139" t="s">
        <v>112</v>
      </c>
      <c r="J139" t="s">
        <v>1158</v>
      </c>
      <c r="K139" t="s">
        <v>1159</v>
      </c>
      <c r="L139" t="s">
        <v>786</v>
      </c>
      <c r="M139" t="s">
        <v>659</v>
      </c>
      <c r="N139" t="s">
        <v>754</v>
      </c>
      <c r="O139" t="s">
        <v>787</v>
      </c>
      <c r="P139" t="s">
        <v>24</v>
      </c>
      <c r="Q139" t="s">
        <v>25</v>
      </c>
      <c r="R139" t="s">
        <v>1114</v>
      </c>
      <c r="S139" t="s">
        <v>1089</v>
      </c>
      <c r="T139" s="5">
        <v>39</v>
      </c>
      <c r="U139" s="6">
        <v>97.39</v>
      </c>
      <c r="V139" s="6">
        <v>59.83</v>
      </c>
      <c r="W139" s="8">
        <v>0</v>
      </c>
      <c r="X139" s="6">
        <f t="shared" si="10"/>
        <v>3798.21</v>
      </c>
      <c r="Y139" s="6">
        <f t="shared" si="11"/>
        <v>2333.37</v>
      </c>
      <c r="Z139" s="6">
        <f t="shared" si="12"/>
        <v>1464.8400000000001</v>
      </c>
      <c r="AA139" t="s">
        <v>679</v>
      </c>
      <c r="AC139" s="5">
        <v>4</v>
      </c>
      <c r="AD139" t="s">
        <v>1349</v>
      </c>
      <c r="AE139" t="str">
        <f t="shared" si="13"/>
        <v>2025-03</v>
      </c>
      <c r="AF139" t="str">
        <f t="shared" si="14"/>
        <v>Q1-2025</v>
      </c>
    </row>
    <row r="140" spans="1:32" x14ac:dyDescent="0.3">
      <c r="A140" t="s">
        <v>1350</v>
      </c>
      <c r="B140" s="5">
        <v>4</v>
      </c>
      <c r="C140" s="4">
        <v>45794</v>
      </c>
      <c r="D140" s="4">
        <v>45802</v>
      </c>
      <c r="E140" t="s">
        <v>505</v>
      </c>
      <c r="F140" t="s">
        <v>506</v>
      </c>
      <c r="G140" t="s">
        <v>74</v>
      </c>
      <c r="H140" t="s">
        <v>23</v>
      </c>
      <c r="I140" t="s">
        <v>93</v>
      </c>
      <c r="J140" t="s">
        <v>1278</v>
      </c>
      <c r="K140" t="s">
        <v>1351</v>
      </c>
      <c r="L140" t="s">
        <v>731</v>
      </c>
      <c r="M140" t="s">
        <v>659</v>
      </c>
      <c r="N140" t="s">
        <v>713</v>
      </c>
      <c r="O140" t="s">
        <v>732</v>
      </c>
      <c r="P140" t="s">
        <v>17</v>
      </c>
      <c r="Q140" t="s">
        <v>18</v>
      </c>
      <c r="R140" t="s">
        <v>1088</v>
      </c>
      <c r="S140" t="s">
        <v>1089</v>
      </c>
      <c r="T140" s="5">
        <v>20</v>
      </c>
      <c r="U140" s="6">
        <v>43.7</v>
      </c>
      <c r="V140" s="6">
        <v>31.94</v>
      </c>
      <c r="W140" s="8">
        <v>0.33800000000000002</v>
      </c>
      <c r="X140" s="6">
        <f t="shared" si="10"/>
        <v>578.58799999999997</v>
      </c>
      <c r="Y140" s="6">
        <f t="shared" si="11"/>
        <v>638.80000000000007</v>
      </c>
      <c r="Z140" s="6">
        <f t="shared" si="12"/>
        <v>-60.212000000000103</v>
      </c>
      <c r="AA140" t="s">
        <v>679</v>
      </c>
      <c r="AC140" s="5">
        <v>1</v>
      </c>
      <c r="AD140" t="s">
        <v>1136</v>
      </c>
      <c r="AE140" t="str">
        <f t="shared" si="13"/>
        <v>2025-05</v>
      </c>
      <c r="AF140" t="str">
        <f t="shared" si="14"/>
        <v>Q2-2025</v>
      </c>
    </row>
    <row r="141" spans="1:32" x14ac:dyDescent="0.3">
      <c r="A141" t="s">
        <v>1352</v>
      </c>
      <c r="B141" s="5">
        <v>4</v>
      </c>
      <c r="C141" s="4">
        <v>45669</v>
      </c>
      <c r="D141" s="4">
        <v>45679</v>
      </c>
      <c r="E141" t="s">
        <v>176</v>
      </c>
      <c r="F141" t="s">
        <v>177</v>
      </c>
      <c r="G141" t="s">
        <v>84</v>
      </c>
      <c r="H141" t="s">
        <v>41</v>
      </c>
      <c r="I141" t="s">
        <v>86</v>
      </c>
      <c r="J141" t="s">
        <v>1086</v>
      </c>
      <c r="K141" t="s">
        <v>1234</v>
      </c>
      <c r="L141" t="s">
        <v>962</v>
      </c>
      <c r="M141" t="s">
        <v>929</v>
      </c>
      <c r="N141" t="s">
        <v>930</v>
      </c>
      <c r="O141" t="s">
        <v>963</v>
      </c>
      <c r="P141" t="s">
        <v>46</v>
      </c>
      <c r="Q141" t="s">
        <v>47</v>
      </c>
      <c r="R141" t="s">
        <v>1094</v>
      </c>
      <c r="S141" t="s">
        <v>1109</v>
      </c>
      <c r="T141" s="5">
        <v>20</v>
      </c>
      <c r="U141" s="6">
        <v>155.1</v>
      </c>
      <c r="V141" s="6">
        <v>108.41</v>
      </c>
      <c r="W141" s="8">
        <v>0</v>
      </c>
      <c r="X141" s="6">
        <f t="shared" si="10"/>
        <v>3102</v>
      </c>
      <c r="Y141" s="6">
        <f t="shared" si="11"/>
        <v>2168.1999999999998</v>
      </c>
      <c r="Z141" s="6">
        <f t="shared" si="12"/>
        <v>933.80000000000018</v>
      </c>
      <c r="AA141" t="s">
        <v>679</v>
      </c>
      <c r="AC141" s="5"/>
      <c r="AD141" t="s">
        <v>1096</v>
      </c>
      <c r="AE141" t="str">
        <f t="shared" si="13"/>
        <v>2025-01</v>
      </c>
      <c r="AF141" t="str">
        <f t="shared" si="14"/>
        <v>Q1-2025</v>
      </c>
    </row>
    <row r="142" spans="1:32" x14ac:dyDescent="0.3">
      <c r="A142" t="s">
        <v>1353</v>
      </c>
      <c r="B142" s="5">
        <v>2</v>
      </c>
      <c r="C142" s="4">
        <v>45730</v>
      </c>
      <c r="D142" s="4">
        <v>45733</v>
      </c>
      <c r="E142" t="s">
        <v>259</v>
      </c>
      <c r="F142" t="s">
        <v>260</v>
      </c>
      <c r="G142" t="s">
        <v>74</v>
      </c>
      <c r="H142" t="s">
        <v>20</v>
      </c>
      <c r="I142" t="s">
        <v>112</v>
      </c>
      <c r="J142" t="s">
        <v>1158</v>
      </c>
      <c r="K142" t="s">
        <v>1320</v>
      </c>
      <c r="L142" t="s">
        <v>794</v>
      </c>
      <c r="M142" t="s">
        <v>795</v>
      </c>
      <c r="N142" t="s">
        <v>796</v>
      </c>
      <c r="O142" t="s">
        <v>797</v>
      </c>
      <c r="P142" t="s">
        <v>50</v>
      </c>
      <c r="Q142" t="s">
        <v>51</v>
      </c>
      <c r="R142" t="s">
        <v>1094</v>
      </c>
      <c r="S142" t="s">
        <v>1095</v>
      </c>
      <c r="T142" s="5">
        <v>10</v>
      </c>
      <c r="U142" s="6">
        <v>73.36</v>
      </c>
      <c r="V142" s="6">
        <v>51.47</v>
      </c>
      <c r="W142" s="8">
        <v>0</v>
      </c>
      <c r="X142" s="6">
        <f t="shared" si="10"/>
        <v>733.6</v>
      </c>
      <c r="Y142" s="6">
        <f t="shared" si="11"/>
        <v>514.70000000000005</v>
      </c>
      <c r="Z142" s="6">
        <f t="shared" si="12"/>
        <v>218.89999999999998</v>
      </c>
      <c r="AA142" t="s">
        <v>679</v>
      </c>
      <c r="AC142" s="5">
        <v>2</v>
      </c>
      <c r="AD142" t="s">
        <v>1136</v>
      </c>
      <c r="AE142" t="str">
        <f t="shared" si="13"/>
        <v>2025-03</v>
      </c>
      <c r="AF142" t="str">
        <f t="shared" si="14"/>
        <v>Q1-2025</v>
      </c>
    </row>
    <row r="143" spans="1:32" x14ac:dyDescent="0.3">
      <c r="A143" t="s">
        <v>1354</v>
      </c>
      <c r="B143" s="5">
        <v>3</v>
      </c>
      <c r="C143" s="4">
        <v>45318</v>
      </c>
      <c r="D143" s="4">
        <v>45328</v>
      </c>
      <c r="E143" t="s">
        <v>115</v>
      </c>
      <c r="F143" t="s">
        <v>116</v>
      </c>
      <c r="G143" t="s">
        <v>74</v>
      </c>
      <c r="H143" t="s">
        <v>23</v>
      </c>
      <c r="I143" t="s">
        <v>81</v>
      </c>
      <c r="J143" t="s">
        <v>1119</v>
      </c>
      <c r="K143" t="s">
        <v>1189</v>
      </c>
      <c r="L143" t="s">
        <v>952</v>
      </c>
      <c r="M143" t="s">
        <v>929</v>
      </c>
      <c r="N143" t="s">
        <v>930</v>
      </c>
      <c r="O143" t="s">
        <v>953</v>
      </c>
      <c r="P143" t="s">
        <v>34</v>
      </c>
      <c r="Q143" t="s">
        <v>35</v>
      </c>
      <c r="R143" t="s">
        <v>1088</v>
      </c>
      <c r="S143" t="s">
        <v>1100</v>
      </c>
      <c r="T143" s="5">
        <v>10</v>
      </c>
      <c r="U143" s="6">
        <v>227.02</v>
      </c>
      <c r="V143" s="6">
        <v>139.97999999999999</v>
      </c>
      <c r="W143" s="8">
        <v>0.1482</v>
      </c>
      <c r="X143" s="6">
        <f t="shared" si="10"/>
        <v>1933.7563600000003</v>
      </c>
      <c r="Y143" s="6">
        <f t="shared" si="11"/>
        <v>1399.8</v>
      </c>
      <c r="Z143" s="6">
        <f t="shared" si="12"/>
        <v>533.95636000000036</v>
      </c>
      <c r="AA143" t="s">
        <v>679</v>
      </c>
      <c r="AC143" s="5">
        <v>3</v>
      </c>
      <c r="AD143" t="s">
        <v>1123</v>
      </c>
      <c r="AE143" t="str">
        <f t="shared" si="13"/>
        <v>2024-01</v>
      </c>
      <c r="AF143" t="str">
        <f t="shared" si="14"/>
        <v>Q1-2024</v>
      </c>
    </row>
    <row r="144" spans="1:32" x14ac:dyDescent="0.3">
      <c r="A144" t="s">
        <v>1355</v>
      </c>
      <c r="B144" s="5">
        <v>3</v>
      </c>
      <c r="C144" s="4">
        <v>45512</v>
      </c>
      <c r="D144" s="4">
        <v>45525</v>
      </c>
      <c r="E144" t="s">
        <v>518</v>
      </c>
      <c r="F144" t="s">
        <v>300</v>
      </c>
      <c r="G144" t="s">
        <v>74</v>
      </c>
      <c r="H144" t="s">
        <v>31</v>
      </c>
      <c r="I144" t="s">
        <v>160</v>
      </c>
      <c r="J144" t="s">
        <v>1092</v>
      </c>
      <c r="K144" t="s">
        <v>1135</v>
      </c>
      <c r="L144" t="s">
        <v>806</v>
      </c>
      <c r="M144" t="s">
        <v>795</v>
      </c>
      <c r="N144" t="s">
        <v>796</v>
      </c>
      <c r="O144" t="s">
        <v>807</v>
      </c>
      <c r="P144" t="s">
        <v>50</v>
      </c>
      <c r="Q144" t="s">
        <v>51</v>
      </c>
      <c r="R144" t="s">
        <v>1088</v>
      </c>
      <c r="S144" t="s">
        <v>1089</v>
      </c>
      <c r="T144" s="5">
        <v>13</v>
      </c>
      <c r="U144" s="6">
        <v>143.30000000000001</v>
      </c>
      <c r="V144" s="6">
        <v>129.12</v>
      </c>
      <c r="W144" s="8">
        <v>0.1298</v>
      </c>
      <c r="X144" s="6">
        <f t="shared" si="10"/>
        <v>1621.0955799999999</v>
      </c>
      <c r="Y144" s="6">
        <f t="shared" si="11"/>
        <v>1678.56</v>
      </c>
      <c r="Z144" s="6">
        <f t="shared" si="12"/>
        <v>-57.464420000000018</v>
      </c>
      <c r="AA144" t="s">
        <v>679</v>
      </c>
      <c r="AC144" s="5"/>
      <c r="AD144" t="s">
        <v>1110</v>
      </c>
      <c r="AE144" t="str">
        <f t="shared" si="13"/>
        <v>2024-08</v>
      </c>
      <c r="AF144" t="str">
        <f t="shared" si="14"/>
        <v>Q3-2024</v>
      </c>
    </row>
    <row r="145" spans="1:32" x14ac:dyDescent="0.3">
      <c r="A145" t="s">
        <v>1356</v>
      </c>
      <c r="B145" s="5">
        <v>3</v>
      </c>
      <c r="C145" s="4">
        <v>45727</v>
      </c>
      <c r="D145" s="4">
        <v>45736</v>
      </c>
      <c r="E145" t="s">
        <v>617</v>
      </c>
      <c r="F145" t="s">
        <v>351</v>
      </c>
      <c r="G145" t="s">
        <v>74</v>
      </c>
      <c r="H145" t="s">
        <v>31</v>
      </c>
      <c r="I145" t="s">
        <v>127</v>
      </c>
      <c r="J145" t="s">
        <v>1116</v>
      </c>
      <c r="K145" t="s">
        <v>1357</v>
      </c>
      <c r="L145" t="s">
        <v>999</v>
      </c>
      <c r="M145" t="s">
        <v>929</v>
      </c>
      <c r="N145" t="s">
        <v>971</v>
      </c>
      <c r="O145" t="s">
        <v>1000</v>
      </c>
      <c r="P145" t="s">
        <v>44</v>
      </c>
      <c r="Q145" t="s">
        <v>45</v>
      </c>
      <c r="R145" t="s">
        <v>1088</v>
      </c>
      <c r="S145" t="s">
        <v>1095</v>
      </c>
      <c r="T145" s="5">
        <v>6</v>
      </c>
      <c r="U145" s="6">
        <v>125.19</v>
      </c>
      <c r="V145" s="6">
        <v>84.5</v>
      </c>
      <c r="W145" s="8">
        <v>0</v>
      </c>
      <c r="X145" s="6">
        <f t="shared" si="10"/>
        <v>751.14</v>
      </c>
      <c r="Y145" s="6">
        <f t="shared" si="11"/>
        <v>507</v>
      </c>
      <c r="Z145" s="6">
        <f t="shared" si="12"/>
        <v>244.14</v>
      </c>
      <c r="AA145" t="s">
        <v>679</v>
      </c>
      <c r="AC145" s="5"/>
      <c r="AD145" t="s">
        <v>1136</v>
      </c>
      <c r="AE145" t="str">
        <f t="shared" si="13"/>
        <v>2025-03</v>
      </c>
      <c r="AF145" t="str">
        <f t="shared" si="14"/>
        <v>Q1-2025</v>
      </c>
    </row>
    <row r="146" spans="1:32" x14ac:dyDescent="0.3">
      <c r="A146" t="s">
        <v>1358</v>
      </c>
      <c r="B146" s="5">
        <v>2</v>
      </c>
      <c r="C146" s="4">
        <v>45563</v>
      </c>
      <c r="D146" s="4">
        <v>45565</v>
      </c>
      <c r="E146" t="s">
        <v>412</v>
      </c>
      <c r="F146" t="s">
        <v>413</v>
      </c>
      <c r="G146" t="s">
        <v>74</v>
      </c>
      <c r="H146" t="s">
        <v>31</v>
      </c>
      <c r="I146" t="s">
        <v>67</v>
      </c>
      <c r="J146" t="s">
        <v>1128</v>
      </c>
      <c r="K146" t="s">
        <v>1129</v>
      </c>
      <c r="L146" t="s">
        <v>855</v>
      </c>
      <c r="M146" t="s">
        <v>795</v>
      </c>
      <c r="N146" t="s">
        <v>837</v>
      </c>
      <c r="O146" t="s">
        <v>856</v>
      </c>
      <c r="P146" t="s">
        <v>24</v>
      </c>
      <c r="Q146" t="s">
        <v>25</v>
      </c>
      <c r="R146" t="s">
        <v>1088</v>
      </c>
      <c r="S146" t="s">
        <v>1095</v>
      </c>
      <c r="T146" s="5">
        <v>35</v>
      </c>
      <c r="U146" s="6">
        <v>258.62</v>
      </c>
      <c r="V146" s="6">
        <v>134.72</v>
      </c>
      <c r="W146" s="8">
        <v>0</v>
      </c>
      <c r="X146" s="6">
        <f t="shared" si="10"/>
        <v>9051.7000000000007</v>
      </c>
      <c r="Y146" s="6">
        <f t="shared" si="11"/>
        <v>4715.2</v>
      </c>
      <c r="Z146" s="6">
        <f t="shared" si="12"/>
        <v>4336.5000000000009</v>
      </c>
      <c r="AA146" t="s">
        <v>679</v>
      </c>
      <c r="AC146" s="5">
        <v>2</v>
      </c>
      <c r="AD146" t="s">
        <v>1140</v>
      </c>
      <c r="AE146" t="str">
        <f t="shared" si="13"/>
        <v>2024-09</v>
      </c>
      <c r="AF146" t="str">
        <f t="shared" si="14"/>
        <v>Q3-2024</v>
      </c>
    </row>
    <row r="147" spans="1:32" x14ac:dyDescent="0.3">
      <c r="A147" t="s">
        <v>1359</v>
      </c>
      <c r="B147" s="5">
        <v>4</v>
      </c>
      <c r="C147" s="4">
        <v>45929</v>
      </c>
      <c r="D147" s="4">
        <v>45935</v>
      </c>
      <c r="E147" t="s">
        <v>235</v>
      </c>
      <c r="F147" t="s">
        <v>236</v>
      </c>
      <c r="G147" t="s">
        <v>104</v>
      </c>
      <c r="H147" t="s">
        <v>23</v>
      </c>
      <c r="I147" t="s">
        <v>109</v>
      </c>
      <c r="J147" t="s">
        <v>1300</v>
      </c>
      <c r="K147" t="s">
        <v>1360</v>
      </c>
      <c r="L147" t="s">
        <v>723</v>
      </c>
      <c r="M147" t="s">
        <v>659</v>
      </c>
      <c r="N147" t="s">
        <v>713</v>
      </c>
      <c r="O147" t="s">
        <v>724</v>
      </c>
      <c r="P147" t="s">
        <v>17</v>
      </c>
      <c r="Q147" t="s">
        <v>18</v>
      </c>
      <c r="R147" t="s">
        <v>1114</v>
      </c>
      <c r="S147" t="s">
        <v>1095</v>
      </c>
      <c r="T147" s="5">
        <v>21</v>
      </c>
      <c r="U147" s="6">
        <v>58.17</v>
      </c>
      <c r="V147" s="6">
        <v>43.07</v>
      </c>
      <c r="W147" s="8">
        <v>0</v>
      </c>
      <c r="X147" s="6">
        <f t="shared" si="10"/>
        <v>1221.57</v>
      </c>
      <c r="Y147" s="6">
        <f t="shared" si="11"/>
        <v>904.47</v>
      </c>
      <c r="Z147" s="6">
        <f t="shared" si="12"/>
        <v>317.09999999999991</v>
      </c>
      <c r="AA147" t="s">
        <v>679</v>
      </c>
      <c r="AC147" s="5">
        <v>4</v>
      </c>
      <c r="AD147" t="s">
        <v>1148</v>
      </c>
      <c r="AE147" t="str">
        <f t="shared" si="13"/>
        <v>2025-09</v>
      </c>
      <c r="AF147" t="str">
        <f t="shared" si="14"/>
        <v>Q3-2025</v>
      </c>
    </row>
    <row r="148" spans="1:32" x14ac:dyDescent="0.3">
      <c r="A148" t="s">
        <v>1361</v>
      </c>
      <c r="B148" s="5">
        <v>3</v>
      </c>
      <c r="C148" s="4">
        <v>45990</v>
      </c>
      <c r="D148" s="4">
        <v>45993</v>
      </c>
      <c r="E148" t="s">
        <v>492</v>
      </c>
      <c r="F148" t="s">
        <v>493</v>
      </c>
      <c r="G148" t="s">
        <v>74</v>
      </c>
      <c r="H148" t="s">
        <v>20</v>
      </c>
      <c r="I148" t="s">
        <v>90</v>
      </c>
      <c r="J148" t="s">
        <v>1262</v>
      </c>
      <c r="K148" t="s">
        <v>1263</v>
      </c>
      <c r="L148" t="s">
        <v>784</v>
      </c>
      <c r="M148" t="s">
        <v>659</v>
      </c>
      <c r="N148" t="s">
        <v>754</v>
      </c>
      <c r="O148" t="s">
        <v>785</v>
      </c>
      <c r="P148" t="s">
        <v>42</v>
      </c>
      <c r="Q148" t="s">
        <v>43</v>
      </c>
      <c r="R148" t="s">
        <v>1094</v>
      </c>
      <c r="S148" t="s">
        <v>1109</v>
      </c>
      <c r="T148" s="5">
        <v>16</v>
      </c>
      <c r="U148" s="6">
        <v>90.94</v>
      </c>
      <c r="V148" s="6">
        <v>51.78</v>
      </c>
      <c r="W148" s="8">
        <v>0</v>
      </c>
      <c r="X148" s="6">
        <f t="shared" si="10"/>
        <v>1455.04</v>
      </c>
      <c r="Y148" s="6">
        <f t="shared" si="11"/>
        <v>828.48</v>
      </c>
      <c r="Z148" s="6">
        <f t="shared" si="12"/>
        <v>626.55999999999995</v>
      </c>
      <c r="AA148" t="s">
        <v>679</v>
      </c>
      <c r="AC148" s="5">
        <v>2</v>
      </c>
      <c r="AD148" t="s">
        <v>1105</v>
      </c>
      <c r="AE148" t="str">
        <f t="shared" si="13"/>
        <v>2025-11</v>
      </c>
      <c r="AF148" t="str">
        <f t="shared" si="14"/>
        <v>Q4-2025</v>
      </c>
    </row>
    <row r="149" spans="1:32" x14ac:dyDescent="0.3">
      <c r="A149" t="s">
        <v>1362</v>
      </c>
      <c r="B149" s="5">
        <v>3</v>
      </c>
      <c r="C149" s="4">
        <v>45371</v>
      </c>
      <c r="D149" s="4">
        <v>45372</v>
      </c>
      <c r="E149" t="s">
        <v>136</v>
      </c>
      <c r="F149" t="s">
        <v>137</v>
      </c>
      <c r="G149" t="s">
        <v>65</v>
      </c>
      <c r="H149" t="s">
        <v>31</v>
      </c>
      <c r="I149" t="s">
        <v>67</v>
      </c>
      <c r="J149" t="s">
        <v>1304</v>
      </c>
      <c r="K149" t="s">
        <v>1363</v>
      </c>
      <c r="L149" t="s">
        <v>981</v>
      </c>
      <c r="M149" t="s">
        <v>929</v>
      </c>
      <c r="N149" t="s">
        <v>971</v>
      </c>
      <c r="O149" t="s">
        <v>982</v>
      </c>
      <c r="P149" t="s">
        <v>44</v>
      </c>
      <c r="Q149" t="s">
        <v>45</v>
      </c>
      <c r="R149" t="s">
        <v>126</v>
      </c>
      <c r="S149" t="s">
        <v>1156</v>
      </c>
      <c r="T149" s="5">
        <v>7</v>
      </c>
      <c r="U149" s="6">
        <v>94.9</v>
      </c>
      <c r="V149" s="6">
        <v>77.88</v>
      </c>
      <c r="W149" s="8">
        <v>0</v>
      </c>
      <c r="X149" s="6">
        <f t="shared" si="10"/>
        <v>664.30000000000007</v>
      </c>
      <c r="Y149" s="6">
        <f t="shared" si="11"/>
        <v>545.16</v>
      </c>
      <c r="Z149" s="6">
        <f t="shared" si="12"/>
        <v>119.1400000000001</v>
      </c>
      <c r="AA149" t="s">
        <v>679</v>
      </c>
      <c r="AC149" s="5">
        <v>5</v>
      </c>
      <c r="AD149" t="s">
        <v>1090</v>
      </c>
      <c r="AE149" t="str">
        <f t="shared" si="13"/>
        <v>2024-03</v>
      </c>
      <c r="AF149" t="str">
        <f t="shared" si="14"/>
        <v>Q1-2024</v>
      </c>
    </row>
    <row r="150" spans="1:32" x14ac:dyDescent="0.3">
      <c r="A150" t="s">
        <v>1364</v>
      </c>
      <c r="B150" s="5">
        <v>2</v>
      </c>
      <c r="C150" s="4">
        <v>45388</v>
      </c>
      <c r="D150" s="4">
        <v>45393</v>
      </c>
      <c r="E150" t="s">
        <v>512</v>
      </c>
      <c r="F150" t="s">
        <v>513</v>
      </c>
      <c r="G150" t="s">
        <v>65</v>
      </c>
      <c r="H150" t="s">
        <v>20</v>
      </c>
      <c r="I150" t="s">
        <v>112</v>
      </c>
      <c r="J150" t="s">
        <v>1201</v>
      </c>
      <c r="K150" t="s">
        <v>1250</v>
      </c>
      <c r="L150" t="s">
        <v>684</v>
      </c>
      <c r="M150" t="s">
        <v>659</v>
      </c>
      <c r="N150" t="s">
        <v>660</v>
      </c>
      <c r="O150" t="s">
        <v>685</v>
      </c>
      <c r="P150" t="s">
        <v>24</v>
      </c>
      <c r="Q150" t="s">
        <v>25</v>
      </c>
      <c r="R150" t="s">
        <v>1094</v>
      </c>
      <c r="S150" t="s">
        <v>1100</v>
      </c>
      <c r="T150" s="5">
        <v>8</v>
      </c>
      <c r="U150" s="6">
        <v>56.15</v>
      </c>
      <c r="V150" s="6">
        <v>32.08</v>
      </c>
      <c r="W150" s="8">
        <v>0</v>
      </c>
      <c r="X150" s="6">
        <f t="shared" si="10"/>
        <v>449.2</v>
      </c>
      <c r="Y150" s="6">
        <f t="shared" si="11"/>
        <v>256.64</v>
      </c>
      <c r="Z150" s="6">
        <f t="shared" si="12"/>
        <v>192.56</v>
      </c>
      <c r="AA150" t="s">
        <v>679</v>
      </c>
      <c r="AC150" s="5">
        <v>3</v>
      </c>
      <c r="AD150" t="s">
        <v>1101</v>
      </c>
      <c r="AE150" t="str">
        <f t="shared" si="13"/>
        <v>2024-04</v>
      </c>
      <c r="AF150" t="str">
        <f t="shared" si="14"/>
        <v>Q2-2024</v>
      </c>
    </row>
    <row r="151" spans="1:32" x14ac:dyDescent="0.3">
      <c r="A151" t="s">
        <v>1365</v>
      </c>
      <c r="B151" s="5">
        <v>3</v>
      </c>
      <c r="C151" s="4">
        <v>45800</v>
      </c>
      <c r="D151" s="4">
        <v>45812</v>
      </c>
      <c r="E151" t="s">
        <v>622</v>
      </c>
      <c r="F151" t="s">
        <v>623</v>
      </c>
      <c r="G151" t="s">
        <v>84</v>
      </c>
      <c r="H151" t="s">
        <v>41</v>
      </c>
      <c r="I151" t="s">
        <v>86</v>
      </c>
      <c r="J151" t="s">
        <v>1086</v>
      </c>
      <c r="K151" t="s">
        <v>1234</v>
      </c>
      <c r="L151" t="s">
        <v>688</v>
      </c>
      <c r="M151" t="s">
        <v>659</v>
      </c>
      <c r="N151" t="s">
        <v>660</v>
      </c>
      <c r="O151" t="s">
        <v>689</v>
      </c>
      <c r="P151" t="s">
        <v>27</v>
      </c>
      <c r="Q151" t="s">
        <v>28</v>
      </c>
      <c r="R151" t="s">
        <v>1088</v>
      </c>
      <c r="S151" t="s">
        <v>1095</v>
      </c>
      <c r="T151" s="5">
        <v>5</v>
      </c>
      <c r="U151" s="6">
        <v>32.19</v>
      </c>
      <c r="V151" s="6">
        <v>19.25</v>
      </c>
      <c r="W151" s="8">
        <v>0.16569999999999999</v>
      </c>
      <c r="X151" s="6">
        <f t="shared" si="10"/>
        <v>134.280585</v>
      </c>
      <c r="Y151" s="6">
        <f t="shared" si="11"/>
        <v>96.25</v>
      </c>
      <c r="Z151" s="6">
        <f t="shared" si="12"/>
        <v>38.030585000000002</v>
      </c>
      <c r="AA151" t="s">
        <v>679</v>
      </c>
      <c r="AC151" s="5"/>
      <c r="AD151" t="s">
        <v>1110</v>
      </c>
      <c r="AE151" t="str">
        <f t="shared" si="13"/>
        <v>2025-05</v>
      </c>
      <c r="AF151" t="str">
        <f t="shared" si="14"/>
        <v>Q2-2025</v>
      </c>
    </row>
    <row r="152" spans="1:32" x14ac:dyDescent="0.3">
      <c r="A152" t="s">
        <v>1366</v>
      </c>
      <c r="B152" s="5">
        <v>3</v>
      </c>
      <c r="C152" s="4">
        <v>45481</v>
      </c>
      <c r="D152" s="4">
        <v>45494</v>
      </c>
      <c r="E152" t="s">
        <v>583</v>
      </c>
      <c r="F152" t="s">
        <v>584</v>
      </c>
      <c r="G152" t="s">
        <v>74</v>
      </c>
      <c r="H152" t="s">
        <v>31</v>
      </c>
      <c r="I152" t="s">
        <v>160</v>
      </c>
      <c r="J152" t="s">
        <v>1125</v>
      </c>
      <c r="K152" t="s">
        <v>1132</v>
      </c>
      <c r="L152" t="s">
        <v>663</v>
      </c>
      <c r="M152" t="s">
        <v>659</v>
      </c>
      <c r="N152" t="s">
        <v>660</v>
      </c>
      <c r="O152" t="s">
        <v>664</v>
      </c>
      <c r="P152" t="s">
        <v>39</v>
      </c>
      <c r="Q152" t="s">
        <v>40</v>
      </c>
      <c r="R152" t="s">
        <v>1114</v>
      </c>
      <c r="S152" t="s">
        <v>1109</v>
      </c>
      <c r="T152" s="5">
        <v>13</v>
      </c>
      <c r="U152" s="6">
        <v>124.11</v>
      </c>
      <c r="V152" s="6">
        <v>92.23</v>
      </c>
      <c r="W152" s="8">
        <v>0</v>
      </c>
      <c r="X152" s="6">
        <f t="shared" si="10"/>
        <v>1613.43</v>
      </c>
      <c r="Y152" s="6">
        <f t="shared" si="11"/>
        <v>1198.99</v>
      </c>
      <c r="Z152" s="6">
        <f t="shared" si="12"/>
        <v>414.44000000000005</v>
      </c>
      <c r="AA152" t="s">
        <v>679</v>
      </c>
      <c r="AC152" s="5">
        <v>1</v>
      </c>
      <c r="AD152" t="s">
        <v>1136</v>
      </c>
      <c r="AE152" t="str">
        <f t="shared" si="13"/>
        <v>2024-07</v>
      </c>
      <c r="AF152" t="str">
        <f t="shared" si="14"/>
        <v>Q3-2024</v>
      </c>
    </row>
    <row r="153" spans="1:32" x14ac:dyDescent="0.3">
      <c r="A153" t="s">
        <v>1367</v>
      </c>
      <c r="B153" s="5">
        <v>4</v>
      </c>
      <c r="C153" s="4">
        <v>45761</v>
      </c>
      <c r="D153" s="4">
        <v>45771</v>
      </c>
      <c r="E153" t="s">
        <v>72</v>
      </c>
      <c r="F153" t="s">
        <v>73</v>
      </c>
      <c r="G153" t="s">
        <v>74</v>
      </c>
      <c r="H153" t="s">
        <v>31</v>
      </c>
      <c r="I153" t="s">
        <v>67</v>
      </c>
      <c r="J153" t="s">
        <v>1207</v>
      </c>
      <c r="K153" t="s">
        <v>1368</v>
      </c>
      <c r="L153" t="s">
        <v>897</v>
      </c>
      <c r="M153" t="s">
        <v>795</v>
      </c>
      <c r="N153" t="s">
        <v>898</v>
      </c>
      <c r="O153" t="s">
        <v>899</v>
      </c>
      <c r="P153" t="s">
        <v>32</v>
      </c>
      <c r="Q153" t="s">
        <v>33</v>
      </c>
      <c r="R153" t="s">
        <v>126</v>
      </c>
      <c r="S153" t="s">
        <v>1100</v>
      </c>
      <c r="T153" s="5">
        <v>4</v>
      </c>
      <c r="U153" s="6">
        <v>299.8</v>
      </c>
      <c r="V153" s="6">
        <v>185.73</v>
      </c>
      <c r="W153" s="8">
        <v>0.26550000000000001</v>
      </c>
      <c r="X153" s="6">
        <f t="shared" si="10"/>
        <v>880.81239999999991</v>
      </c>
      <c r="Y153" s="6">
        <f t="shared" si="11"/>
        <v>742.92</v>
      </c>
      <c r="Z153" s="6">
        <f t="shared" si="12"/>
        <v>137.89239999999995</v>
      </c>
      <c r="AA153" t="s">
        <v>679</v>
      </c>
      <c r="AC153" s="5">
        <v>2</v>
      </c>
      <c r="AD153" t="s">
        <v>1369</v>
      </c>
      <c r="AE153" t="str">
        <f t="shared" si="13"/>
        <v>2025-04</v>
      </c>
      <c r="AF153" t="str">
        <f t="shared" si="14"/>
        <v>Q2-2025</v>
      </c>
    </row>
    <row r="154" spans="1:32" x14ac:dyDescent="0.3">
      <c r="A154" t="s">
        <v>1370</v>
      </c>
      <c r="B154" s="5">
        <v>4</v>
      </c>
      <c r="C154" s="4">
        <v>45588</v>
      </c>
      <c r="D154" s="4">
        <v>45598</v>
      </c>
      <c r="E154" t="s">
        <v>239</v>
      </c>
      <c r="F154" t="s">
        <v>240</v>
      </c>
      <c r="G154" t="s">
        <v>84</v>
      </c>
      <c r="H154" t="s">
        <v>23</v>
      </c>
      <c r="I154" t="s">
        <v>109</v>
      </c>
      <c r="J154" t="s">
        <v>1138</v>
      </c>
      <c r="K154" t="s">
        <v>1371</v>
      </c>
      <c r="L154" t="s">
        <v>1050</v>
      </c>
      <c r="M154" t="s">
        <v>1002</v>
      </c>
      <c r="N154" t="s">
        <v>1034</v>
      </c>
      <c r="O154" t="s">
        <v>1051</v>
      </c>
      <c r="P154" t="s">
        <v>48</v>
      </c>
      <c r="Q154" t="s">
        <v>49</v>
      </c>
      <c r="R154" t="s">
        <v>126</v>
      </c>
      <c r="S154" t="s">
        <v>1089</v>
      </c>
      <c r="T154" s="5">
        <v>17</v>
      </c>
      <c r="U154" s="6">
        <v>216.24</v>
      </c>
      <c r="V154" s="6">
        <v>108.75</v>
      </c>
      <c r="W154" s="8">
        <v>0</v>
      </c>
      <c r="X154" s="6">
        <f t="shared" si="10"/>
        <v>3676.08</v>
      </c>
      <c r="Y154" s="6">
        <f t="shared" si="11"/>
        <v>1848.75</v>
      </c>
      <c r="Z154" s="6">
        <f t="shared" si="12"/>
        <v>1827.33</v>
      </c>
      <c r="AA154" t="s">
        <v>679</v>
      </c>
      <c r="AC154" s="5">
        <v>4</v>
      </c>
      <c r="AD154" t="s">
        <v>1140</v>
      </c>
      <c r="AE154" t="str">
        <f t="shared" si="13"/>
        <v>2024-10</v>
      </c>
      <c r="AF154" t="str">
        <f t="shared" si="14"/>
        <v>Q4-2024</v>
      </c>
    </row>
    <row r="155" spans="1:32" x14ac:dyDescent="0.3">
      <c r="A155" t="s">
        <v>1372</v>
      </c>
      <c r="B155" s="5">
        <v>4</v>
      </c>
      <c r="C155" s="4">
        <v>45674</v>
      </c>
      <c r="D155" s="4">
        <v>45683</v>
      </c>
      <c r="E155" t="s">
        <v>508</v>
      </c>
      <c r="F155" t="s">
        <v>131</v>
      </c>
      <c r="G155" t="s">
        <v>104</v>
      </c>
      <c r="H155" t="s">
        <v>23</v>
      </c>
      <c r="I155" t="s">
        <v>93</v>
      </c>
      <c r="J155" t="s">
        <v>1294</v>
      </c>
      <c r="K155" t="s">
        <v>1373</v>
      </c>
      <c r="L155" t="s">
        <v>904</v>
      </c>
      <c r="M155" t="s">
        <v>795</v>
      </c>
      <c r="N155" t="s">
        <v>898</v>
      </c>
      <c r="O155" t="s">
        <v>905</v>
      </c>
      <c r="P155" t="s">
        <v>44</v>
      </c>
      <c r="Q155" t="s">
        <v>45</v>
      </c>
      <c r="R155" t="s">
        <v>1088</v>
      </c>
      <c r="S155" t="s">
        <v>1156</v>
      </c>
      <c r="T155" s="5">
        <v>5</v>
      </c>
      <c r="U155" s="6">
        <v>314.18</v>
      </c>
      <c r="V155" s="6">
        <v>186.51</v>
      </c>
      <c r="W155" s="8">
        <v>0.1643</v>
      </c>
      <c r="X155" s="6">
        <f t="shared" si="10"/>
        <v>1312.8011300000001</v>
      </c>
      <c r="Y155" s="6">
        <f t="shared" si="11"/>
        <v>932.55</v>
      </c>
      <c r="Z155" s="6">
        <f t="shared" si="12"/>
        <v>380.2511300000001</v>
      </c>
      <c r="AA155" t="s">
        <v>679</v>
      </c>
      <c r="AC155" s="5"/>
      <c r="AD155" t="s">
        <v>1140</v>
      </c>
      <c r="AE155" t="str">
        <f t="shared" si="13"/>
        <v>2025-01</v>
      </c>
      <c r="AF155" t="str">
        <f t="shared" si="14"/>
        <v>Q1-2025</v>
      </c>
    </row>
    <row r="156" spans="1:32" x14ac:dyDescent="0.3">
      <c r="A156" t="s">
        <v>1374</v>
      </c>
      <c r="B156" s="5">
        <v>3</v>
      </c>
      <c r="C156" s="4">
        <v>45879</v>
      </c>
      <c r="D156" s="4">
        <v>45879</v>
      </c>
      <c r="E156" t="s">
        <v>130</v>
      </c>
      <c r="F156" t="s">
        <v>1375</v>
      </c>
      <c r="G156" t="s">
        <v>65</v>
      </c>
      <c r="H156" t="s">
        <v>23</v>
      </c>
      <c r="I156" t="s">
        <v>81</v>
      </c>
      <c r="J156" t="s">
        <v>1163</v>
      </c>
      <c r="K156" t="s">
        <v>1164</v>
      </c>
      <c r="L156" t="s">
        <v>710</v>
      </c>
      <c r="M156" t="s">
        <v>659</v>
      </c>
      <c r="N156" t="s">
        <v>660</v>
      </c>
      <c r="O156" t="s">
        <v>711</v>
      </c>
      <c r="P156" t="s">
        <v>37</v>
      </c>
      <c r="Q156" t="s">
        <v>38</v>
      </c>
      <c r="R156" t="s">
        <v>1114</v>
      </c>
      <c r="S156" t="s">
        <v>1156</v>
      </c>
      <c r="T156" s="5">
        <v>7</v>
      </c>
      <c r="U156" s="6">
        <v>125.39</v>
      </c>
      <c r="V156" s="6">
        <v>99.94</v>
      </c>
      <c r="W156" s="8">
        <v>0</v>
      </c>
      <c r="X156" s="6">
        <f t="shared" si="10"/>
        <v>877.73</v>
      </c>
      <c r="Y156" s="6">
        <f t="shared" si="11"/>
        <v>699.57999999999993</v>
      </c>
      <c r="Z156" s="6">
        <f t="shared" si="12"/>
        <v>178.15000000000009</v>
      </c>
      <c r="AA156" t="s">
        <v>679</v>
      </c>
      <c r="AC156" s="5"/>
      <c r="AD156" t="s">
        <v>1110</v>
      </c>
      <c r="AE156" t="str">
        <f t="shared" si="13"/>
        <v>2025-08</v>
      </c>
      <c r="AF156" t="str">
        <f t="shared" si="14"/>
        <v>Q3-2025</v>
      </c>
    </row>
    <row r="157" spans="1:32" x14ac:dyDescent="0.3">
      <c r="A157" t="s">
        <v>1376</v>
      </c>
      <c r="B157" s="5">
        <v>3</v>
      </c>
      <c r="C157" s="4">
        <v>45618</v>
      </c>
      <c r="D157" s="4">
        <v>45627</v>
      </c>
      <c r="E157" t="s">
        <v>528</v>
      </c>
      <c r="F157" t="s">
        <v>529</v>
      </c>
      <c r="G157" t="s">
        <v>74</v>
      </c>
      <c r="H157" t="s">
        <v>31</v>
      </c>
      <c r="I157" t="s">
        <v>127</v>
      </c>
      <c r="J157" t="s">
        <v>1116</v>
      </c>
      <c r="K157" t="s">
        <v>1357</v>
      </c>
      <c r="L157" t="s">
        <v>758</v>
      </c>
      <c r="M157" t="s">
        <v>659</v>
      </c>
      <c r="N157" t="s">
        <v>754</v>
      </c>
      <c r="O157" t="s">
        <v>759</v>
      </c>
      <c r="P157" t="s">
        <v>21</v>
      </c>
      <c r="Q157" t="s">
        <v>22</v>
      </c>
      <c r="R157" t="s">
        <v>1114</v>
      </c>
      <c r="S157" t="s">
        <v>1156</v>
      </c>
      <c r="T157" s="5">
        <v>15</v>
      </c>
      <c r="U157" s="6">
        <v>148.25</v>
      </c>
      <c r="V157" s="6">
        <v>113.63</v>
      </c>
      <c r="W157" s="8">
        <v>0.24829999999999999</v>
      </c>
      <c r="X157" s="6">
        <f t="shared" si="10"/>
        <v>1671.592875</v>
      </c>
      <c r="Y157" s="6">
        <f t="shared" si="11"/>
        <v>1704.4499999999998</v>
      </c>
      <c r="Z157" s="6">
        <f t="shared" si="12"/>
        <v>-32.857124999999769</v>
      </c>
      <c r="AA157" t="s">
        <v>679</v>
      </c>
      <c r="AC157" s="5">
        <v>5</v>
      </c>
      <c r="AD157" t="s">
        <v>1136</v>
      </c>
      <c r="AE157" t="str">
        <f t="shared" si="13"/>
        <v>2024-11</v>
      </c>
      <c r="AF157" t="str">
        <f t="shared" si="14"/>
        <v>Q4-2024</v>
      </c>
    </row>
    <row r="158" spans="1:32" x14ac:dyDescent="0.3">
      <c r="A158" t="s">
        <v>1377</v>
      </c>
      <c r="B158" s="5">
        <v>4</v>
      </c>
      <c r="C158" s="4">
        <v>45606</v>
      </c>
      <c r="D158" s="4">
        <v>45607</v>
      </c>
      <c r="E158" t="s">
        <v>91</v>
      </c>
      <c r="F158" t="s">
        <v>1378</v>
      </c>
      <c r="G158" t="s">
        <v>80</v>
      </c>
      <c r="H158" t="s">
        <v>20</v>
      </c>
      <c r="I158" t="s">
        <v>90</v>
      </c>
      <c r="J158" t="s">
        <v>1171</v>
      </c>
      <c r="K158" t="s">
        <v>1379</v>
      </c>
      <c r="L158" t="s">
        <v>760</v>
      </c>
      <c r="M158" t="s">
        <v>659</v>
      </c>
      <c r="N158" t="s">
        <v>754</v>
      </c>
      <c r="O158" t="s">
        <v>761</v>
      </c>
      <c r="P158" t="s">
        <v>50</v>
      </c>
      <c r="Q158" t="s">
        <v>51</v>
      </c>
      <c r="R158" t="s">
        <v>1088</v>
      </c>
      <c r="S158" t="s">
        <v>1095</v>
      </c>
      <c r="T158" s="5">
        <v>5</v>
      </c>
      <c r="U158" s="6">
        <v>116.2</v>
      </c>
      <c r="V158" s="6">
        <v>81.96</v>
      </c>
      <c r="W158" s="8">
        <v>0</v>
      </c>
      <c r="X158" s="6">
        <f t="shared" si="10"/>
        <v>581</v>
      </c>
      <c r="Y158" s="6">
        <f t="shared" si="11"/>
        <v>409.79999999999995</v>
      </c>
      <c r="Z158" s="6">
        <f t="shared" si="12"/>
        <v>171.20000000000005</v>
      </c>
      <c r="AA158" t="s">
        <v>679</v>
      </c>
      <c r="AC158" s="5">
        <v>2</v>
      </c>
      <c r="AD158" t="s">
        <v>1090</v>
      </c>
      <c r="AE158" t="str">
        <f t="shared" si="13"/>
        <v>2024-11</v>
      </c>
      <c r="AF158" t="str">
        <f t="shared" si="14"/>
        <v>Q4-2024</v>
      </c>
    </row>
    <row r="159" spans="1:32" x14ac:dyDescent="0.3">
      <c r="A159" t="s">
        <v>1380</v>
      </c>
      <c r="B159" s="5">
        <v>4</v>
      </c>
      <c r="C159" s="4">
        <v>45793</v>
      </c>
      <c r="D159" s="4">
        <v>45800</v>
      </c>
      <c r="E159" t="s">
        <v>528</v>
      </c>
      <c r="F159" t="s">
        <v>529</v>
      </c>
      <c r="G159" t="s">
        <v>74</v>
      </c>
      <c r="H159" t="s">
        <v>20</v>
      </c>
      <c r="I159" t="s">
        <v>90</v>
      </c>
      <c r="J159" t="s">
        <v>1262</v>
      </c>
      <c r="K159" t="s">
        <v>1297</v>
      </c>
      <c r="L159" t="s">
        <v>867</v>
      </c>
      <c r="M159" t="s">
        <v>795</v>
      </c>
      <c r="N159" t="s">
        <v>837</v>
      </c>
      <c r="O159" t="s">
        <v>868</v>
      </c>
      <c r="P159" t="s">
        <v>17</v>
      </c>
      <c r="Q159" t="s">
        <v>18</v>
      </c>
      <c r="R159" t="s">
        <v>1088</v>
      </c>
      <c r="S159" t="s">
        <v>1109</v>
      </c>
      <c r="T159" s="5">
        <v>11</v>
      </c>
      <c r="U159" s="6">
        <v>160.37</v>
      </c>
      <c r="V159" s="6">
        <v>90.21</v>
      </c>
      <c r="W159" s="8">
        <v>3.2199999999999999E-2</v>
      </c>
      <c r="X159" s="6">
        <f t="shared" si="10"/>
        <v>1707.2669460000002</v>
      </c>
      <c r="Y159" s="6">
        <f t="shared" si="11"/>
        <v>992.31</v>
      </c>
      <c r="Z159" s="6">
        <f t="shared" si="12"/>
        <v>714.95694600000024</v>
      </c>
      <c r="AA159" t="s">
        <v>679</v>
      </c>
      <c r="AC159" s="5">
        <v>5</v>
      </c>
      <c r="AD159" t="s">
        <v>1090</v>
      </c>
      <c r="AE159" t="str">
        <f t="shared" si="13"/>
        <v>2025-05</v>
      </c>
      <c r="AF159" t="str">
        <f t="shared" si="14"/>
        <v>Q2-2025</v>
      </c>
    </row>
    <row r="160" spans="1:32" x14ac:dyDescent="0.3">
      <c r="A160" t="s">
        <v>1381</v>
      </c>
      <c r="B160" s="5">
        <v>4</v>
      </c>
      <c r="C160" s="4">
        <v>45887</v>
      </c>
      <c r="D160" s="4">
        <v>45892</v>
      </c>
      <c r="E160" t="s">
        <v>354</v>
      </c>
      <c r="F160" t="s">
        <v>355</v>
      </c>
      <c r="G160" t="s">
        <v>84</v>
      </c>
      <c r="H160" t="s">
        <v>41</v>
      </c>
      <c r="I160" t="s">
        <v>75</v>
      </c>
      <c r="J160" t="s">
        <v>1142</v>
      </c>
      <c r="K160" t="s">
        <v>1198</v>
      </c>
      <c r="L160" t="s">
        <v>989</v>
      </c>
      <c r="M160" t="s">
        <v>929</v>
      </c>
      <c r="N160" t="s">
        <v>971</v>
      </c>
      <c r="O160" t="s">
        <v>990</v>
      </c>
      <c r="P160" t="s">
        <v>44</v>
      </c>
      <c r="Q160" t="s">
        <v>45</v>
      </c>
      <c r="R160" t="s">
        <v>1088</v>
      </c>
      <c r="S160" t="s">
        <v>1156</v>
      </c>
      <c r="T160" s="5">
        <v>1</v>
      </c>
      <c r="U160" s="6">
        <v>229.41</v>
      </c>
      <c r="V160" s="6">
        <v>177.7</v>
      </c>
      <c r="W160" s="8">
        <v>0</v>
      </c>
      <c r="X160" s="6">
        <f t="shared" si="10"/>
        <v>229.41</v>
      </c>
      <c r="Y160" s="6">
        <f t="shared" si="11"/>
        <v>177.7</v>
      </c>
      <c r="Z160" s="6">
        <f t="shared" si="12"/>
        <v>51.710000000000008</v>
      </c>
      <c r="AA160" t="s">
        <v>679</v>
      </c>
      <c r="AC160" s="5"/>
      <c r="AD160" t="s">
        <v>1136</v>
      </c>
      <c r="AE160" t="str">
        <f t="shared" si="13"/>
        <v>2025-08</v>
      </c>
      <c r="AF160" t="str">
        <f t="shared" si="14"/>
        <v>Q3-2025</v>
      </c>
    </row>
    <row r="161" spans="1:32" x14ac:dyDescent="0.3">
      <c r="A161" t="s">
        <v>1382</v>
      </c>
      <c r="B161" s="5">
        <v>4</v>
      </c>
      <c r="C161" s="4">
        <v>45431</v>
      </c>
      <c r="D161" s="4">
        <v>45445</v>
      </c>
      <c r="E161" t="s">
        <v>473</v>
      </c>
      <c r="F161" t="s">
        <v>474</v>
      </c>
      <c r="G161" t="s">
        <v>80</v>
      </c>
      <c r="H161" t="s">
        <v>41</v>
      </c>
      <c r="I161" t="s">
        <v>75</v>
      </c>
      <c r="J161" t="s">
        <v>1142</v>
      </c>
      <c r="K161" t="s">
        <v>1205</v>
      </c>
      <c r="L161" t="s">
        <v>989</v>
      </c>
      <c r="M161" t="s">
        <v>929</v>
      </c>
      <c r="N161" t="s">
        <v>971</v>
      </c>
      <c r="O161" t="s">
        <v>990</v>
      </c>
      <c r="P161" t="s">
        <v>27</v>
      </c>
      <c r="Q161" t="s">
        <v>28</v>
      </c>
      <c r="R161" t="s">
        <v>1088</v>
      </c>
      <c r="S161" t="s">
        <v>1156</v>
      </c>
      <c r="T161" s="5">
        <v>20</v>
      </c>
      <c r="U161" s="6">
        <v>316.32</v>
      </c>
      <c r="V161" s="6">
        <v>177.7</v>
      </c>
      <c r="W161" s="8">
        <v>0.1573</v>
      </c>
      <c r="X161" s="6">
        <f t="shared" si="10"/>
        <v>5331.2572799999998</v>
      </c>
      <c r="Y161" s="6">
        <f t="shared" si="11"/>
        <v>3554</v>
      </c>
      <c r="Z161" s="6">
        <f t="shared" si="12"/>
        <v>1777.2572799999998</v>
      </c>
      <c r="AA161" t="s">
        <v>679</v>
      </c>
      <c r="AC161" s="5">
        <v>1</v>
      </c>
      <c r="AE161" t="str">
        <f t="shared" si="13"/>
        <v>2024-05</v>
      </c>
      <c r="AF161" t="str">
        <f t="shared" si="14"/>
        <v>Q2-2024</v>
      </c>
    </row>
    <row r="162" spans="1:32" x14ac:dyDescent="0.3">
      <c r="A162" t="s">
        <v>1383</v>
      </c>
      <c r="B162" s="5">
        <v>3</v>
      </c>
      <c r="C162" s="4">
        <v>45662</v>
      </c>
      <c r="D162" s="4">
        <v>45672</v>
      </c>
      <c r="E162" t="s">
        <v>577</v>
      </c>
      <c r="F162" t="s">
        <v>578</v>
      </c>
      <c r="G162" t="s">
        <v>74</v>
      </c>
      <c r="H162" t="s">
        <v>23</v>
      </c>
      <c r="I162" t="s">
        <v>93</v>
      </c>
      <c r="J162" t="s">
        <v>1103</v>
      </c>
      <c r="K162" t="s">
        <v>1239</v>
      </c>
      <c r="L162" t="s">
        <v>721</v>
      </c>
      <c r="M162" t="s">
        <v>659</v>
      </c>
      <c r="N162" t="s">
        <v>713</v>
      </c>
      <c r="O162" t="s">
        <v>722</v>
      </c>
      <c r="P162" t="s">
        <v>42</v>
      </c>
      <c r="Q162" t="s">
        <v>43</v>
      </c>
      <c r="R162" t="s">
        <v>1088</v>
      </c>
      <c r="S162" t="s">
        <v>1156</v>
      </c>
      <c r="T162" s="5">
        <v>13</v>
      </c>
      <c r="U162" s="6">
        <v>24.1</v>
      </c>
      <c r="V162" s="6">
        <v>15.47</v>
      </c>
      <c r="W162" s="8">
        <v>0</v>
      </c>
      <c r="X162" s="6">
        <f t="shared" si="10"/>
        <v>313.3</v>
      </c>
      <c r="Y162" s="6">
        <f t="shared" si="11"/>
        <v>201.11</v>
      </c>
      <c r="Z162" s="6">
        <f t="shared" si="12"/>
        <v>112.19</v>
      </c>
      <c r="AA162" t="s">
        <v>679</v>
      </c>
      <c r="AC162" s="5"/>
      <c r="AD162" t="s">
        <v>1101</v>
      </c>
      <c r="AE162" t="str">
        <f t="shared" si="13"/>
        <v>2025-01</v>
      </c>
      <c r="AF162" t="str">
        <f t="shared" si="14"/>
        <v>Q1-2025</v>
      </c>
    </row>
    <row r="163" spans="1:32" x14ac:dyDescent="0.3">
      <c r="A163" t="s">
        <v>1384</v>
      </c>
      <c r="B163" s="5">
        <v>4</v>
      </c>
      <c r="C163" s="4">
        <v>45765</v>
      </c>
      <c r="D163" s="4">
        <v>45778</v>
      </c>
      <c r="E163" t="s">
        <v>192</v>
      </c>
      <c r="F163" t="s">
        <v>193</v>
      </c>
      <c r="G163" t="s">
        <v>80</v>
      </c>
      <c r="H163" t="s">
        <v>23</v>
      </c>
      <c r="I163" t="s">
        <v>81</v>
      </c>
      <c r="J163" t="s">
        <v>1119</v>
      </c>
      <c r="K163" t="s">
        <v>1291</v>
      </c>
      <c r="L163" t="s">
        <v>715</v>
      </c>
      <c r="M163" t="s">
        <v>659</v>
      </c>
      <c r="N163" t="s">
        <v>713</v>
      </c>
      <c r="O163" t="s">
        <v>716</v>
      </c>
      <c r="P163" t="s">
        <v>24</v>
      </c>
      <c r="Q163" t="s">
        <v>25</v>
      </c>
      <c r="R163" t="s">
        <v>1114</v>
      </c>
      <c r="S163" t="s">
        <v>1089</v>
      </c>
      <c r="T163" s="5">
        <v>8</v>
      </c>
      <c r="U163" s="6">
        <v>25.35</v>
      </c>
      <c r="V163" s="6">
        <v>19.63</v>
      </c>
      <c r="W163" s="8">
        <v>0</v>
      </c>
      <c r="X163" s="6">
        <f t="shared" si="10"/>
        <v>202.8</v>
      </c>
      <c r="Y163" s="6">
        <f t="shared" si="11"/>
        <v>157.04</v>
      </c>
      <c r="Z163" s="6">
        <f t="shared" si="12"/>
        <v>45.760000000000019</v>
      </c>
      <c r="AA163" t="s">
        <v>679</v>
      </c>
      <c r="AC163" s="5">
        <v>2</v>
      </c>
      <c r="AD163" t="s">
        <v>1090</v>
      </c>
      <c r="AE163" t="str">
        <f t="shared" si="13"/>
        <v>2025-04</v>
      </c>
      <c r="AF163" t="str">
        <f t="shared" si="14"/>
        <v>Q2-2025</v>
      </c>
    </row>
    <row r="164" spans="1:32" x14ac:dyDescent="0.3">
      <c r="A164" t="s">
        <v>1385</v>
      </c>
      <c r="B164" s="5">
        <v>1</v>
      </c>
      <c r="C164" s="4">
        <v>45548</v>
      </c>
      <c r="D164" s="4">
        <v>45561</v>
      </c>
      <c r="E164" t="s">
        <v>426</v>
      </c>
      <c r="F164" t="s">
        <v>427</v>
      </c>
      <c r="G164" t="s">
        <v>104</v>
      </c>
      <c r="H164" t="s">
        <v>31</v>
      </c>
      <c r="I164" t="s">
        <v>160</v>
      </c>
      <c r="J164" t="s">
        <v>1125</v>
      </c>
      <c r="K164" t="s">
        <v>1386</v>
      </c>
      <c r="L164" t="s">
        <v>802</v>
      </c>
      <c r="M164" t="s">
        <v>795</v>
      </c>
      <c r="N164" t="s">
        <v>796</v>
      </c>
      <c r="O164" t="s">
        <v>803</v>
      </c>
      <c r="P164" t="s">
        <v>32</v>
      </c>
      <c r="Q164" t="s">
        <v>33</v>
      </c>
      <c r="R164" t="s">
        <v>1114</v>
      </c>
      <c r="S164" t="s">
        <v>1095</v>
      </c>
      <c r="T164" s="5">
        <v>19</v>
      </c>
      <c r="U164" s="6">
        <v>249.12</v>
      </c>
      <c r="V164" s="6">
        <v>169.93</v>
      </c>
      <c r="W164" s="8">
        <v>0</v>
      </c>
      <c r="X164" s="6">
        <f t="shared" si="10"/>
        <v>4733.28</v>
      </c>
      <c r="Y164" s="6">
        <f t="shared" si="11"/>
        <v>3228.67</v>
      </c>
      <c r="Z164" s="6">
        <f t="shared" si="12"/>
        <v>1504.6099999999997</v>
      </c>
      <c r="AA164" t="s">
        <v>679</v>
      </c>
      <c r="AC164" s="5">
        <v>4</v>
      </c>
      <c r="AD164" t="s">
        <v>1090</v>
      </c>
      <c r="AE164" t="str">
        <f t="shared" si="13"/>
        <v>2024-09</v>
      </c>
      <c r="AF164" t="str">
        <f t="shared" si="14"/>
        <v>Q3-2024</v>
      </c>
    </row>
    <row r="165" spans="1:32" x14ac:dyDescent="0.3">
      <c r="A165" t="s">
        <v>1387</v>
      </c>
      <c r="B165" s="5">
        <v>3</v>
      </c>
      <c r="C165" s="4">
        <v>45327</v>
      </c>
      <c r="D165" s="4">
        <v>45334</v>
      </c>
      <c r="E165" t="s">
        <v>82</v>
      </c>
      <c r="F165" t="s">
        <v>83</v>
      </c>
      <c r="G165" t="s">
        <v>84</v>
      </c>
      <c r="H165" t="s">
        <v>23</v>
      </c>
      <c r="I165" t="s">
        <v>93</v>
      </c>
      <c r="J165" t="s">
        <v>1103</v>
      </c>
      <c r="K165" t="s">
        <v>1239</v>
      </c>
      <c r="L165" t="s">
        <v>871</v>
      </c>
      <c r="M165" t="s">
        <v>795</v>
      </c>
      <c r="N165" t="s">
        <v>837</v>
      </c>
      <c r="O165" t="s">
        <v>872</v>
      </c>
      <c r="P165" t="s">
        <v>48</v>
      </c>
      <c r="Q165" t="s">
        <v>49</v>
      </c>
      <c r="R165" t="s">
        <v>1088</v>
      </c>
      <c r="S165" t="s">
        <v>1109</v>
      </c>
      <c r="T165" s="5">
        <v>27</v>
      </c>
      <c r="U165" s="6">
        <v>139.66999999999999</v>
      </c>
      <c r="V165" s="6">
        <v>98.29</v>
      </c>
      <c r="W165" s="8">
        <v>0</v>
      </c>
      <c r="X165" s="6">
        <f t="shared" si="10"/>
        <v>3771.0899999999997</v>
      </c>
      <c r="Y165" s="6">
        <f t="shared" si="11"/>
        <v>2653.8300000000004</v>
      </c>
      <c r="Z165" s="6">
        <f t="shared" si="12"/>
        <v>1117.2599999999993</v>
      </c>
      <c r="AA165" t="s">
        <v>679</v>
      </c>
      <c r="AC165" s="5"/>
      <c r="AD165" t="s">
        <v>1101</v>
      </c>
      <c r="AE165" t="str">
        <f t="shared" si="13"/>
        <v>2024-02</v>
      </c>
      <c r="AF165" t="str">
        <f t="shared" si="14"/>
        <v>Q1-2024</v>
      </c>
    </row>
    <row r="166" spans="1:32" x14ac:dyDescent="0.3">
      <c r="A166" t="s">
        <v>1388</v>
      </c>
      <c r="B166" s="5">
        <v>3</v>
      </c>
      <c r="C166" s="4">
        <v>45649</v>
      </c>
      <c r="D166" s="4">
        <v>45649</v>
      </c>
      <c r="E166" t="s">
        <v>599</v>
      </c>
      <c r="F166" t="s">
        <v>600</v>
      </c>
      <c r="G166" t="s">
        <v>74</v>
      </c>
      <c r="H166" t="s">
        <v>20</v>
      </c>
      <c r="I166" t="s">
        <v>71</v>
      </c>
      <c r="J166" t="s">
        <v>1112</v>
      </c>
      <c r="K166" t="s">
        <v>1178</v>
      </c>
      <c r="L166" t="s">
        <v>999</v>
      </c>
      <c r="M166" t="s">
        <v>929</v>
      </c>
      <c r="N166" t="s">
        <v>971</v>
      </c>
      <c r="O166" t="s">
        <v>1000</v>
      </c>
      <c r="P166" t="s">
        <v>27</v>
      </c>
      <c r="Q166" t="s">
        <v>28</v>
      </c>
      <c r="R166" t="s">
        <v>1114</v>
      </c>
      <c r="S166" t="s">
        <v>1156</v>
      </c>
      <c r="T166" s="5">
        <v>18</v>
      </c>
      <c r="U166" s="6">
        <v>117.73</v>
      </c>
      <c r="V166" s="6">
        <v>84.5</v>
      </c>
      <c r="W166" s="8">
        <v>0.28789999999999999</v>
      </c>
      <c r="X166" s="6">
        <f t="shared" si="10"/>
        <v>1509.0395939999999</v>
      </c>
      <c r="Y166" s="6">
        <f t="shared" si="11"/>
        <v>1521</v>
      </c>
      <c r="Z166" s="6">
        <f t="shared" si="12"/>
        <v>-11.960406000000148</v>
      </c>
      <c r="AA166" t="s">
        <v>679</v>
      </c>
      <c r="AC166" s="5">
        <v>1</v>
      </c>
      <c r="AE166" t="str">
        <f t="shared" si="13"/>
        <v>2024-12</v>
      </c>
      <c r="AF166" t="str">
        <f t="shared" si="14"/>
        <v>Q4-2024</v>
      </c>
    </row>
    <row r="167" spans="1:32" x14ac:dyDescent="0.3">
      <c r="A167" t="s">
        <v>1389</v>
      </c>
      <c r="B167" s="5">
        <v>4</v>
      </c>
      <c r="C167" s="4">
        <v>45426</v>
      </c>
      <c r="D167" s="4">
        <v>45434</v>
      </c>
      <c r="E167" t="s">
        <v>369</v>
      </c>
      <c r="F167" t="s">
        <v>370</v>
      </c>
      <c r="G167" t="s">
        <v>65</v>
      </c>
      <c r="H167" t="s">
        <v>20</v>
      </c>
      <c r="I167" t="s">
        <v>90</v>
      </c>
      <c r="J167" t="s">
        <v>1262</v>
      </c>
      <c r="K167" t="s">
        <v>1297</v>
      </c>
      <c r="L167" t="s">
        <v>841</v>
      </c>
      <c r="M167" t="s">
        <v>795</v>
      </c>
      <c r="N167" t="s">
        <v>837</v>
      </c>
      <c r="O167" t="s">
        <v>842</v>
      </c>
      <c r="P167" t="s">
        <v>48</v>
      </c>
      <c r="Q167" t="s">
        <v>49</v>
      </c>
      <c r="R167" t="s">
        <v>1114</v>
      </c>
      <c r="S167" t="s">
        <v>1109</v>
      </c>
      <c r="T167" s="5">
        <v>7</v>
      </c>
      <c r="U167" s="6">
        <v>7.22</v>
      </c>
      <c r="V167" s="6">
        <v>5</v>
      </c>
      <c r="W167" s="8">
        <v>0</v>
      </c>
      <c r="X167" s="6">
        <f t="shared" si="10"/>
        <v>50.54</v>
      </c>
      <c r="Y167" s="6">
        <f t="shared" si="11"/>
        <v>35</v>
      </c>
      <c r="Z167" s="6">
        <f t="shared" si="12"/>
        <v>15.54</v>
      </c>
      <c r="AA167" t="s">
        <v>679</v>
      </c>
      <c r="AC167" s="5">
        <v>1</v>
      </c>
      <c r="AE167" t="str">
        <f t="shared" si="13"/>
        <v>2024-05</v>
      </c>
      <c r="AF167" t="str">
        <f t="shared" si="14"/>
        <v>Q2-2024</v>
      </c>
    </row>
    <row r="168" spans="1:32" x14ac:dyDescent="0.3">
      <c r="A168" t="s">
        <v>1390</v>
      </c>
      <c r="B168" s="5">
        <v>1</v>
      </c>
      <c r="C168" s="4">
        <v>45756</v>
      </c>
      <c r="D168" s="4">
        <v>45760</v>
      </c>
      <c r="E168" t="s">
        <v>72</v>
      </c>
      <c r="F168" t="s">
        <v>73</v>
      </c>
      <c r="G168" t="s">
        <v>74</v>
      </c>
      <c r="H168" t="s">
        <v>41</v>
      </c>
      <c r="I168" t="s">
        <v>75</v>
      </c>
      <c r="J168" t="s">
        <v>1142</v>
      </c>
      <c r="K168" t="s">
        <v>1143</v>
      </c>
      <c r="L168" t="s">
        <v>966</v>
      </c>
      <c r="M168" t="s">
        <v>929</v>
      </c>
      <c r="N168" t="s">
        <v>930</v>
      </c>
      <c r="O168" t="s">
        <v>967</v>
      </c>
      <c r="P168" t="s">
        <v>42</v>
      </c>
      <c r="Q168" t="s">
        <v>43</v>
      </c>
      <c r="R168" t="s">
        <v>1114</v>
      </c>
      <c r="S168" t="s">
        <v>1100</v>
      </c>
      <c r="T168" s="5">
        <v>20</v>
      </c>
      <c r="U168" s="6">
        <v>132.78</v>
      </c>
      <c r="V168" s="6">
        <v>83.16</v>
      </c>
      <c r="W168" s="8">
        <v>0</v>
      </c>
      <c r="X168" s="6">
        <f t="shared" si="10"/>
        <v>2655.6</v>
      </c>
      <c r="Y168" s="6">
        <f t="shared" si="11"/>
        <v>1663.1999999999998</v>
      </c>
      <c r="Z168" s="6">
        <f t="shared" si="12"/>
        <v>992.40000000000009</v>
      </c>
      <c r="AA168" t="s">
        <v>679</v>
      </c>
      <c r="AC168" s="5">
        <v>2</v>
      </c>
      <c r="AD168" t="s">
        <v>1123</v>
      </c>
      <c r="AE168" t="str">
        <f t="shared" si="13"/>
        <v>2025-04</v>
      </c>
      <c r="AF168" t="str">
        <f t="shared" si="14"/>
        <v>Q2-2025</v>
      </c>
    </row>
    <row r="169" spans="1:32" x14ac:dyDescent="0.3">
      <c r="A169" t="s">
        <v>1391</v>
      </c>
      <c r="B169" s="5">
        <v>3</v>
      </c>
      <c r="C169" s="4">
        <v>45762</v>
      </c>
      <c r="D169" s="4">
        <v>45763</v>
      </c>
      <c r="E169" t="s">
        <v>507</v>
      </c>
      <c r="F169" t="s">
        <v>99</v>
      </c>
      <c r="G169" t="s">
        <v>84</v>
      </c>
      <c r="H169" t="s">
        <v>41</v>
      </c>
      <c r="I169" t="s">
        <v>86</v>
      </c>
      <c r="J169" t="s">
        <v>1086</v>
      </c>
      <c r="K169" t="s">
        <v>1234</v>
      </c>
      <c r="L169" t="s">
        <v>883</v>
      </c>
      <c r="M169" t="s">
        <v>795</v>
      </c>
      <c r="N169" t="s">
        <v>837</v>
      </c>
      <c r="O169" t="s">
        <v>884</v>
      </c>
      <c r="P169" t="s">
        <v>53</v>
      </c>
      <c r="Q169" t="s">
        <v>54</v>
      </c>
      <c r="R169" t="s">
        <v>1088</v>
      </c>
      <c r="S169" t="s">
        <v>1109</v>
      </c>
      <c r="T169" s="5">
        <v>3</v>
      </c>
      <c r="U169" s="6">
        <v>258.5</v>
      </c>
      <c r="V169" s="6">
        <v>201.45</v>
      </c>
      <c r="W169" s="8">
        <v>0.30780000000000002</v>
      </c>
      <c r="X169" s="6">
        <f t="shared" si="10"/>
        <v>536.80109999999991</v>
      </c>
      <c r="Y169" s="6">
        <f t="shared" si="11"/>
        <v>604.34999999999991</v>
      </c>
      <c r="Z169" s="6">
        <f t="shared" si="12"/>
        <v>-67.548900000000003</v>
      </c>
      <c r="AA169" t="s">
        <v>679</v>
      </c>
      <c r="AC169" s="5"/>
      <c r="AD169" t="s">
        <v>1090</v>
      </c>
      <c r="AE169" t="str">
        <f t="shared" si="13"/>
        <v>2025-04</v>
      </c>
      <c r="AF169" t="str">
        <f t="shared" si="14"/>
        <v>Q2-2025</v>
      </c>
    </row>
    <row r="170" spans="1:32" x14ac:dyDescent="0.3">
      <c r="A170" t="s">
        <v>1392</v>
      </c>
      <c r="B170" s="5">
        <v>2</v>
      </c>
      <c r="C170" s="4">
        <v>45444</v>
      </c>
      <c r="D170" s="4">
        <v>45452</v>
      </c>
      <c r="E170" t="s">
        <v>536</v>
      </c>
      <c r="F170" t="s">
        <v>1393</v>
      </c>
      <c r="G170" t="s">
        <v>65</v>
      </c>
      <c r="H170" t="s">
        <v>20</v>
      </c>
      <c r="I170" t="s">
        <v>71</v>
      </c>
      <c r="J170" t="s">
        <v>1166</v>
      </c>
      <c r="K170" t="s">
        <v>1167</v>
      </c>
      <c r="L170" t="s">
        <v>772</v>
      </c>
      <c r="M170" t="s">
        <v>659</v>
      </c>
      <c r="N170" t="s">
        <v>754</v>
      </c>
      <c r="O170" t="s">
        <v>773</v>
      </c>
      <c r="P170" t="s">
        <v>37</v>
      </c>
      <c r="Q170" t="s">
        <v>38</v>
      </c>
      <c r="R170" t="s">
        <v>1094</v>
      </c>
      <c r="S170" t="s">
        <v>1156</v>
      </c>
      <c r="T170" s="5">
        <v>11</v>
      </c>
      <c r="U170" s="6">
        <v>119.14</v>
      </c>
      <c r="V170" s="6">
        <v>96.88</v>
      </c>
      <c r="W170" s="8">
        <v>0</v>
      </c>
      <c r="X170" s="6">
        <f t="shared" si="10"/>
        <v>1310.54</v>
      </c>
      <c r="Y170" s="6">
        <f t="shared" si="11"/>
        <v>1065.6799999999998</v>
      </c>
      <c r="Z170" s="6">
        <f t="shared" si="12"/>
        <v>244.86000000000013</v>
      </c>
      <c r="AA170" t="s">
        <v>679</v>
      </c>
      <c r="AC170" s="5">
        <v>3</v>
      </c>
      <c r="AD170" t="s">
        <v>1140</v>
      </c>
      <c r="AE170" t="str">
        <f t="shared" si="13"/>
        <v>2024-06</v>
      </c>
      <c r="AF170" t="str">
        <f t="shared" si="14"/>
        <v>Q2-2024</v>
      </c>
    </row>
    <row r="171" spans="1:32" x14ac:dyDescent="0.3">
      <c r="A171" t="s">
        <v>1394</v>
      </c>
      <c r="B171" s="5">
        <v>2</v>
      </c>
      <c r="C171" s="4">
        <v>45900</v>
      </c>
      <c r="D171" s="4">
        <v>45906</v>
      </c>
      <c r="E171" t="s">
        <v>391</v>
      </c>
      <c r="F171" t="s">
        <v>392</v>
      </c>
      <c r="G171" t="s">
        <v>74</v>
      </c>
      <c r="H171" t="s">
        <v>31</v>
      </c>
      <c r="I171" t="s">
        <v>67</v>
      </c>
      <c r="J171" t="s">
        <v>1128</v>
      </c>
      <c r="K171" t="s">
        <v>1339</v>
      </c>
      <c r="L171" t="s">
        <v>918</v>
      </c>
      <c r="M171" t="s">
        <v>795</v>
      </c>
      <c r="N171" t="s">
        <v>898</v>
      </c>
      <c r="O171" t="s">
        <v>919</v>
      </c>
      <c r="P171" t="s">
        <v>17</v>
      </c>
      <c r="Q171" t="s">
        <v>18</v>
      </c>
      <c r="R171" t="s">
        <v>1088</v>
      </c>
      <c r="S171" t="s">
        <v>1095</v>
      </c>
      <c r="T171" s="5">
        <v>16</v>
      </c>
      <c r="U171" s="6">
        <v>211.05</v>
      </c>
      <c r="V171" s="6">
        <v>157.71</v>
      </c>
      <c r="W171" s="8">
        <v>0</v>
      </c>
      <c r="X171" s="6">
        <f t="shared" si="10"/>
        <v>3376.8</v>
      </c>
      <c r="Y171" s="6">
        <f t="shared" si="11"/>
        <v>2523.36</v>
      </c>
      <c r="Z171" s="6">
        <f t="shared" si="12"/>
        <v>853.44</v>
      </c>
      <c r="AA171" t="s">
        <v>679</v>
      </c>
      <c r="AC171" s="5">
        <v>4</v>
      </c>
      <c r="AD171" t="s">
        <v>1090</v>
      </c>
      <c r="AE171" t="str">
        <f t="shared" si="13"/>
        <v>2025-08</v>
      </c>
      <c r="AF171" t="str">
        <f t="shared" si="14"/>
        <v>Q3-2025</v>
      </c>
    </row>
    <row r="172" spans="1:32" x14ac:dyDescent="0.3">
      <c r="A172" t="s">
        <v>1395</v>
      </c>
      <c r="B172" s="5">
        <v>3</v>
      </c>
      <c r="C172" s="4">
        <v>45388</v>
      </c>
      <c r="D172" s="4">
        <v>45400</v>
      </c>
      <c r="E172" t="s">
        <v>492</v>
      </c>
      <c r="F172" t="s">
        <v>493</v>
      </c>
      <c r="G172" t="s">
        <v>74</v>
      </c>
      <c r="H172" t="s">
        <v>41</v>
      </c>
      <c r="I172" t="s">
        <v>86</v>
      </c>
      <c r="J172" t="s">
        <v>1107</v>
      </c>
      <c r="K172" t="s">
        <v>1230</v>
      </c>
      <c r="L172" t="s">
        <v>946</v>
      </c>
      <c r="M172" t="s">
        <v>929</v>
      </c>
      <c r="N172" t="s">
        <v>930</v>
      </c>
      <c r="O172" t="s">
        <v>947</v>
      </c>
      <c r="P172" t="s">
        <v>17</v>
      </c>
      <c r="Q172" t="s">
        <v>18</v>
      </c>
      <c r="R172" t="s">
        <v>126</v>
      </c>
      <c r="S172" t="s">
        <v>1089</v>
      </c>
      <c r="T172" s="5">
        <v>25</v>
      </c>
      <c r="U172" s="6">
        <v>144.44</v>
      </c>
      <c r="V172" s="6">
        <v>93.94</v>
      </c>
      <c r="W172" s="8">
        <v>0</v>
      </c>
      <c r="X172" s="6">
        <f t="shared" si="10"/>
        <v>3611</v>
      </c>
      <c r="Y172" s="6">
        <f t="shared" si="11"/>
        <v>2348.5</v>
      </c>
      <c r="Z172" s="6">
        <f t="shared" si="12"/>
        <v>1262.5</v>
      </c>
      <c r="AA172" t="s">
        <v>679</v>
      </c>
      <c r="AC172" s="5">
        <v>5</v>
      </c>
      <c r="AD172" t="s">
        <v>1214</v>
      </c>
      <c r="AE172" t="str">
        <f t="shared" si="13"/>
        <v>2024-04</v>
      </c>
      <c r="AF172" t="str">
        <f t="shared" si="14"/>
        <v>Q2-2024</v>
      </c>
    </row>
    <row r="173" spans="1:32" x14ac:dyDescent="0.3">
      <c r="A173" t="s">
        <v>1396</v>
      </c>
      <c r="B173" s="5">
        <v>1</v>
      </c>
      <c r="C173" s="4">
        <v>45880</v>
      </c>
      <c r="D173" s="4">
        <v>45888</v>
      </c>
      <c r="E173" t="s">
        <v>553</v>
      </c>
      <c r="F173" t="s">
        <v>495</v>
      </c>
      <c r="G173" t="s">
        <v>74</v>
      </c>
      <c r="H173" t="s">
        <v>23</v>
      </c>
      <c r="I173" t="s">
        <v>93</v>
      </c>
      <c r="J173" t="s">
        <v>1294</v>
      </c>
      <c r="K173" t="s">
        <v>1334</v>
      </c>
      <c r="L173" t="s">
        <v>669</v>
      </c>
      <c r="M173" t="s">
        <v>659</v>
      </c>
      <c r="N173" t="s">
        <v>660</v>
      </c>
      <c r="O173" t="s">
        <v>670</v>
      </c>
      <c r="P173" t="s">
        <v>29</v>
      </c>
      <c r="Q173" t="s">
        <v>30</v>
      </c>
      <c r="R173" t="s">
        <v>1114</v>
      </c>
      <c r="S173" t="s">
        <v>1109</v>
      </c>
      <c r="T173" s="5">
        <v>23</v>
      </c>
      <c r="U173" s="6">
        <v>9.56</v>
      </c>
      <c r="V173" s="6">
        <v>5</v>
      </c>
      <c r="W173" s="8">
        <v>0</v>
      </c>
      <c r="X173" s="6">
        <f t="shared" si="10"/>
        <v>219.88000000000002</v>
      </c>
      <c r="Y173" s="6">
        <f t="shared" si="11"/>
        <v>115</v>
      </c>
      <c r="Z173" s="6">
        <f t="shared" si="12"/>
        <v>104.88000000000002</v>
      </c>
      <c r="AA173" t="s">
        <v>679</v>
      </c>
      <c r="AC173" s="5">
        <v>3</v>
      </c>
      <c r="AD173" t="s">
        <v>1105</v>
      </c>
      <c r="AE173" t="str">
        <f t="shared" si="13"/>
        <v>2025-08</v>
      </c>
      <c r="AF173" t="str">
        <f t="shared" si="14"/>
        <v>Q3-2025</v>
      </c>
    </row>
    <row r="174" spans="1:32" x14ac:dyDescent="0.3">
      <c r="A174" t="s">
        <v>1397</v>
      </c>
      <c r="B174" s="5">
        <v>3</v>
      </c>
      <c r="C174" s="4">
        <v>45688</v>
      </c>
      <c r="D174" s="4">
        <v>45692</v>
      </c>
      <c r="E174" t="s">
        <v>184</v>
      </c>
      <c r="F174" t="s">
        <v>185</v>
      </c>
      <c r="G174" t="s">
        <v>74</v>
      </c>
      <c r="H174" t="s">
        <v>20</v>
      </c>
      <c r="I174" t="s">
        <v>112</v>
      </c>
      <c r="J174" t="s">
        <v>1201</v>
      </c>
      <c r="K174" t="s">
        <v>1202</v>
      </c>
      <c r="L174" t="s">
        <v>794</v>
      </c>
      <c r="M174" t="s">
        <v>795</v>
      </c>
      <c r="N174" t="s">
        <v>796</v>
      </c>
      <c r="O174" t="s">
        <v>797</v>
      </c>
      <c r="P174" t="s">
        <v>48</v>
      </c>
      <c r="Q174" t="s">
        <v>49</v>
      </c>
      <c r="R174" t="s">
        <v>1088</v>
      </c>
      <c r="S174" t="s">
        <v>1109</v>
      </c>
      <c r="T174" s="5">
        <v>11</v>
      </c>
      <c r="U174" s="6">
        <v>66.84</v>
      </c>
      <c r="V174" s="6">
        <v>51.47</v>
      </c>
      <c r="W174" s="8">
        <v>0</v>
      </c>
      <c r="X174" s="6">
        <f t="shared" si="10"/>
        <v>735.24</v>
      </c>
      <c r="Y174" s="6">
        <f t="shared" si="11"/>
        <v>566.16999999999996</v>
      </c>
      <c r="Z174" s="6">
        <f t="shared" si="12"/>
        <v>169.07000000000005</v>
      </c>
      <c r="AA174" t="s">
        <v>679</v>
      </c>
      <c r="AC174" s="5">
        <v>1</v>
      </c>
      <c r="AD174" t="s">
        <v>1398</v>
      </c>
      <c r="AE174" t="str">
        <f t="shared" si="13"/>
        <v>2025-01</v>
      </c>
      <c r="AF174" t="str">
        <f t="shared" si="14"/>
        <v>Q1-2025</v>
      </c>
    </row>
    <row r="175" spans="1:32" x14ac:dyDescent="0.3">
      <c r="A175" t="s">
        <v>1399</v>
      </c>
      <c r="B175" s="5">
        <v>1</v>
      </c>
      <c r="C175" s="4">
        <v>45350</v>
      </c>
      <c r="D175" s="4">
        <v>45353</v>
      </c>
      <c r="E175" t="s">
        <v>322</v>
      </c>
      <c r="F175" t="s">
        <v>323</v>
      </c>
      <c r="G175" t="s">
        <v>104</v>
      </c>
      <c r="H175" t="s">
        <v>41</v>
      </c>
      <c r="I175" t="s">
        <v>75</v>
      </c>
      <c r="J175" t="s">
        <v>1142</v>
      </c>
      <c r="K175" t="s">
        <v>1198</v>
      </c>
      <c r="L175" t="s">
        <v>692</v>
      </c>
      <c r="M175" t="s">
        <v>659</v>
      </c>
      <c r="N175" t="s">
        <v>660</v>
      </c>
      <c r="O175" t="s">
        <v>693</v>
      </c>
      <c r="P175" t="s">
        <v>32</v>
      </c>
      <c r="Q175" t="s">
        <v>33</v>
      </c>
      <c r="R175" t="s">
        <v>1094</v>
      </c>
      <c r="S175" t="s">
        <v>1095</v>
      </c>
      <c r="T175" s="5">
        <v>13</v>
      </c>
      <c r="U175" s="6">
        <v>9.17</v>
      </c>
      <c r="V175" s="6">
        <v>5</v>
      </c>
      <c r="W175" s="8">
        <v>0</v>
      </c>
      <c r="X175" s="6">
        <f t="shared" si="10"/>
        <v>119.21</v>
      </c>
      <c r="Y175" s="6">
        <f t="shared" si="11"/>
        <v>65</v>
      </c>
      <c r="Z175" s="6">
        <f t="shared" si="12"/>
        <v>54.209999999999994</v>
      </c>
      <c r="AA175" t="s">
        <v>679</v>
      </c>
      <c r="AC175" s="5"/>
      <c r="AD175" t="s">
        <v>1110</v>
      </c>
      <c r="AE175" t="str">
        <f t="shared" si="13"/>
        <v>2024-02</v>
      </c>
      <c r="AF175" t="str">
        <f t="shared" si="14"/>
        <v>Q1-2024</v>
      </c>
    </row>
    <row r="176" spans="1:32" x14ac:dyDescent="0.3">
      <c r="A176" t="s">
        <v>1400</v>
      </c>
      <c r="B176" s="5">
        <v>1</v>
      </c>
      <c r="C176" s="4">
        <v>45948</v>
      </c>
      <c r="D176" s="4">
        <v>45956</v>
      </c>
      <c r="E176" t="s">
        <v>227</v>
      </c>
      <c r="F176" t="s">
        <v>228</v>
      </c>
      <c r="G176" t="s">
        <v>80</v>
      </c>
      <c r="H176" t="s">
        <v>31</v>
      </c>
      <c r="I176" t="s">
        <v>160</v>
      </c>
      <c r="J176" t="s">
        <v>1125</v>
      </c>
      <c r="K176" t="s">
        <v>1386</v>
      </c>
      <c r="L176" t="s">
        <v>944</v>
      </c>
      <c r="M176" t="s">
        <v>929</v>
      </c>
      <c r="N176" t="s">
        <v>930</v>
      </c>
      <c r="O176" t="s">
        <v>945</v>
      </c>
      <c r="P176" t="s">
        <v>34</v>
      </c>
      <c r="Q176" t="s">
        <v>35</v>
      </c>
      <c r="R176" t="s">
        <v>126</v>
      </c>
      <c r="S176" t="s">
        <v>1156</v>
      </c>
      <c r="T176" s="5">
        <v>2</v>
      </c>
      <c r="U176" s="6">
        <v>276.92</v>
      </c>
      <c r="V176" s="6">
        <v>210.38</v>
      </c>
      <c r="W176" s="8"/>
      <c r="X176" s="6">
        <f t="shared" si="10"/>
        <v>553.84</v>
      </c>
      <c r="Y176" s="6">
        <f t="shared" si="11"/>
        <v>420.76</v>
      </c>
      <c r="Z176" s="6">
        <f t="shared" si="12"/>
        <v>133.08000000000004</v>
      </c>
      <c r="AA176" t="s">
        <v>679</v>
      </c>
      <c r="AC176" s="5">
        <v>4</v>
      </c>
      <c r="AD176" t="s">
        <v>1140</v>
      </c>
      <c r="AE176" t="str">
        <f t="shared" si="13"/>
        <v>2025-10</v>
      </c>
      <c r="AF176" t="str">
        <f t="shared" si="14"/>
        <v>Q4-2025</v>
      </c>
    </row>
    <row r="177" spans="1:32" x14ac:dyDescent="0.3">
      <c r="A177" t="s">
        <v>1401</v>
      </c>
      <c r="B177" s="5">
        <v>4</v>
      </c>
      <c r="C177" s="4">
        <v>45656</v>
      </c>
      <c r="D177" s="4">
        <v>45669</v>
      </c>
      <c r="E177" t="s">
        <v>649</v>
      </c>
      <c r="F177" t="s">
        <v>650</v>
      </c>
      <c r="G177" t="s">
        <v>84</v>
      </c>
      <c r="H177" t="s">
        <v>31</v>
      </c>
      <c r="I177" t="s">
        <v>67</v>
      </c>
      <c r="J177" t="s">
        <v>1128</v>
      </c>
      <c r="K177" t="s">
        <v>1339</v>
      </c>
      <c r="L177" t="s">
        <v>942</v>
      </c>
      <c r="M177" t="s">
        <v>929</v>
      </c>
      <c r="N177" t="s">
        <v>930</v>
      </c>
      <c r="O177" t="s">
        <v>943</v>
      </c>
      <c r="P177" t="s">
        <v>42</v>
      </c>
      <c r="Q177" t="s">
        <v>43</v>
      </c>
      <c r="R177" t="s">
        <v>1088</v>
      </c>
      <c r="S177" t="s">
        <v>1109</v>
      </c>
      <c r="T177" s="5">
        <v>22</v>
      </c>
      <c r="U177" s="6">
        <v>271.44</v>
      </c>
      <c r="V177" s="6">
        <v>173.45</v>
      </c>
      <c r="W177" s="8">
        <v>0</v>
      </c>
      <c r="X177" s="6">
        <f t="shared" si="10"/>
        <v>5971.68</v>
      </c>
      <c r="Y177" s="6">
        <f t="shared" si="11"/>
        <v>3815.8999999999996</v>
      </c>
      <c r="Z177" s="6">
        <f t="shared" si="12"/>
        <v>2155.7800000000007</v>
      </c>
      <c r="AA177" t="s">
        <v>679</v>
      </c>
      <c r="AC177" s="5"/>
      <c r="AD177" t="s">
        <v>1140</v>
      </c>
      <c r="AE177" t="str">
        <f t="shared" si="13"/>
        <v>2024-12</v>
      </c>
      <c r="AF177" t="str">
        <f t="shared" si="14"/>
        <v>Q4-2024</v>
      </c>
    </row>
    <row r="178" spans="1:32" x14ac:dyDescent="0.3">
      <c r="A178" t="s">
        <v>1402</v>
      </c>
      <c r="B178" s="5">
        <v>3</v>
      </c>
      <c r="C178" s="4">
        <v>45548</v>
      </c>
      <c r="D178" s="4">
        <v>45558</v>
      </c>
      <c r="E178" t="s">
        <v>426</v>
      </c>
      <c r="F178" t="s">
        <v>427</v>
      </c>
      <c r="G178" t="s">
        <v>104</v>
      </c>
      <c r="H178" t="s">
        <v>20</v>
      </c>
      <c r="I178" t="s">
        <v>112</v>
      </c>
      <c r="J178" t="s">
        <v>1158</v>
      </c>
      <c r="K178" t="s">
        <v>1159</v>
      </c>
      <c r="L178" t="s">
        <v>1027</v>
      </c>
      <c r="M178" t="s">
        <v>1002</v>
      </c>
      <c r="N178" t="s">
        <v>1003</v>
      </c>
      <c r="O178" t="s">
        <v>1028</v>
      </c>
      <c r="P178" t="s">
        <v>24</v>
      </c>
      <c r="Q178" t="s">
        <v>25</v>
      </c>
      <c r="R178" t="s">
        <v>1114</v>
      </c>
      <c r="S178" t="s">
        <v>1109</v>
      </c>
      <c r="T178" s="5">
        <v>13</v>
      </c>
      <c r="U178" s="6">
        <v>203.21</v>
      </c>
      <c r="V178" s="6">
        <v>131.69</v>
      </c>
      <c r="W178" s="8">
        <v>0.15629999999999999</v>
      </c>
      <c r="X178" s="6">
        <f t="shared" si="10"/>
        <v>2228.827601</v>
      </c>
      <c r="Y178" s="6">
        <f t="shared" si="11"/>
        <v>1711.97</v>
      </c>
      <c r="Z178" s="6">
        <f t="shared" si="12"/>
        <v>516.85760099999993</v>
      </c>
      <c r="AA178" t="s">
        <v>679</v>
      </c>
      <c r="AC178" s="5"/>
      <c r="AD178" t="s">
        <v>1123</v>
      </c>
      <c r="AE178" t="str">
        <f t="shared" si="13"/>
        <v>2024-09</v>
      </c>
      <c r="AF178" t="str">
        <f t="shared" si="14"/>
        <v>Q3-2024</v>
      </c>
    </row>
    <row r="179" spans="1:32" x14ac:dyDescent="0.3">
      <c r="A179" t="s">
        <v>1403</v>
      </c>
      <c r="B179" s="5">
        <v>4</v>
      </c>
      <c r="C179" s="4">
        <v>45985</v>
      </c>
      <c r="D179" s="4">
        <v>45986</v>
      </c>
      <c r="E179" t="s">
        <v>459</v>
      </c>
      <c r="F179" t="s">
        <v>460</v>
      </c>
      <c r="G179" t="s">
        <v>74</v>
      </c>
      <c r="H179" t="s">
        <v>31</v>
      </c>
      <c r="I179" t="s">
        <v>127</v>
      </c>
      <c r="J179" t="s">
        <v>1116</v>
      </c>
      <c r="K179" t="s">
        <v>1153</v>
      </c>
      <c r="L179" t="s">
        <v>665</v>
      </c>
      <c r="M179" t="s">
        <v>659</v>
      </c>
      <c r="N179" t="s">
        <v>660</v>
      </c>
      <c r="O179" t="s">
        <v>666</v>
      </c>
      <c r="P179" t="s">
        <v>21</v>
      </c>
      <c r="Q179" t="s">
        <v>22</v>
      </c>
      <c r="R179" t="s">
        <v>1094</v>
      </c>
      <c r="S179" t="s">
        <v>1100</v>
      </c>
      <c r="T179" s="5">
        <v>12</v>
      </c>
      <c r="U179" s="6">
        <v>200.98</v>
      </c>
      <c r="V179" s="6">
        <v>134.65</v>
      </c>
      <c r="W179" s="8">
        <v>0</v>
      </c>
      <c r="X179" s="6">
        <f t="shared" si="10"/>
        <v>2411.7599999999998</v>
      </c>
      <c r="Y179" s="6">
        <f t="shared" si="11"/>
        <v>1615.8000000000002</v>
      </c>
      <c r="Z179" s="6">
        <f t="shared" si="12"/>
        <v>795.95999999999958</v>
      </c>
      <c r="AA179" t="s">
        <v>679</v>
      </c>
      <c r="AC179" s="5"/>
      <c r="AD179" t="s">
        <v>1404</v>
      </c>
      <c r="AE179" t="str">
        <f t="shared" si="13"/>
        <v>2025-11</v>
      </c>
      <c r="AF179" t="str">
        <f t="shared" si="14"/>
        <v>Q4-2025</v>
      </c>
    </row>
    <row r="180" spans="1:32" x14ac:dyDescent="0.3">
      <c r="A180" t="s">
        <v>1405</v>
      </c>
      <c r="B180" s="5">
        <v>1</v>
      </c>
      <c r="C180" s="4">
        <v>45584</v>
      </c>
      <c r="D180" s="4">
        <v>45591</v>
      </c>
      <c r="E180" t="s">
        <v>295</v>
      </c>
      <c r="F180" t="s">
        <v>296</v>
      </c>
      <c r="G180" t="s">
        <v>74</v>
      </c>
      <c r="H180" t="s">
        <v>23</v>
      </c>
      <c r="I180" t="s">
        <v>93</v>
      </c>
      <c r="J180" t="s">
        <v>1192</v>
      </c>
      <c r="K180" t="s">
        <v>1227</v>
      </c>
      <c r="L180" t="s">
        <v>808</v>
      </c>
      <c r="M180" t="s">
        <v>795</v>
      </c>
      <c r="N180" t="s">
        <v>796</v>
      </c>
      <c r="O180" t="s">
        <v>809</v>
      </c>
      <c r="P180" t="s">
        <v>42</v>
      </c>
      <c r="Q180" t="s">
        <v>43</v>
      </c>
      <c r="R180" t="s">
        <v>1094</v>
      </c>
      <c r="S180" t="s">
        <v>1109</v>
      </c>
      <c r="T180" s="5">
        <v>6</v>
      </c>
      <c r="U180" s="6">
        <v>203.78</v>
      </c>
      <c r="V180" s="6">
        <v>94.12</v>
      </c>
      <c r="W180" s="8">
        <v>0</v>
      </c>
      <c r="X180" s="6">
        <f t="shared" si="10"/>
        <v>1222.68</v>
      </c>
      <c r="Y180" s="6">
        <f t="shared" si="11"/>
        <v>564.72</v>
      </c>
      <c r="Z180" s="6">
        <f t="shared" si="12"/>
        <v>657.96</v>
      </c>
      <c r="AA180" t="s">
        <v>679</v>
      </c>
      <c r="AC180" s="5">
        <v>1</v>
      </c>
      <c r="AD180" t="s">
        <v>1110</v>
      </c>
      <c r="AE180" t="str">
        <f t="shared" si="13"/>
        <v>2024-10</v>
      </c>
      <c r="AF180" t="str">
        <f t="shared" si="14"/>
        <v>Q4-2024</v>
      </c>
    </row>
    <row r="181" spans="1:32" x14ac:dyDescent="0.3">
      <c r="A181" t="s">
        <v>1406</v>
      </c>
      <c r="B181" s="5">
        <v>2</v>
      </c>
      <c r="C181" s="4">
        <v>45832</v>
      </c>
      <c r="D181" s="4">
        <v>45843</v>
      </c>
      <c r="E181" t="s">
        <v>277</v>
      </c>
      <c r="F181" t="s">
        <v>278</v>
      </c>
      <c r="G181" t="s">
        <v>84</v>
      </c>
      <c r="H181" t="s">
        <v>23</v>
      </c>
      <c r="I181" t="s">
        <v>81</v>
      </c>
      <c r="J181" t="s">
        <v>1163</v>
      </c>
      <c r="K181" t="s">
        <v>1407</v>
      </c>
      <c r="L181" t="s">
        <v>956</v>
      </c>
      <c r="M181" t="s">
        <v>929</v>
      </c>
      <c r="N181" t="s">
        <v>930</v>
      </c>
      <c r="O181" t="s">
        <v>957</v>
      </c>
      <c r="P181" t="s">
        <v>53</v>
      </c>
      <c r="Q181" t="s">
        <v>54</v>
      </c>
      <c r="R181" t="s">
        <v>1094</v>
      </c>
      <c r="S181" t="s">
        <v>1100</v>
      </c>
      <c r="T181" s="5">
        <v>19</v>
      </c>
      <c r="U181" s="6">
        <v>260.48</v>
      </c>
      <c r="V181" s="6">
        <v>190.78</v>
      </c>
      <c r="W181" s="8">
        <v>0</v>
      </c>
      <c r="X181" s="6">
        <f t="shared" si="10"/>
        <v>4949.1200000000008</v>
      </c>
      <c r="Y181" s="6">
        <f t="shared" si="11"/>
        <v>3624.82</v>
      </c>
      <c r="Z181" s="6">
        <f t="shared" si="12"/>
        <v>1324.3000000000006</v>
      </c>
      <c r="AA181" t="s">
        <v>679</v>
      </c>
      <c r="AC181" s="5">
        <v>4</v>
      </c>
      <c r="AD181" t="s">
        <v>1136</v>
      </c>
      <c r="AE181" t="str">
        <f t="shared" si="13"/>
        <v>2025-06</v>
      </c>
      <c r="AF181" t="str">
        <f t="shared" si="14"/>
        <v>Q2-2025</v>
      </c>
    </row>
    <row r="182" spans="1:32" x14ac:dyDescent="0.3">
      <c r="A182" t="s">
        <v>1408</v>
      </c>
      <c r="B182" s="5">
        <v>2</v>
      </c>
      <c r="C182" s="4">
        <v>45345</v>
      </c>
      <c r="D182" s="4">
        <v>45349</v>
      </c>
      <c r="E182" t="s">
        <v>603</v>
      </c>
      <c r="F182" t="s">
        <v>1409</v>
      </c>
      <c r="G182" t="s">
        <v>74</v>
      </c>
      <c r="H182" t="s">
        <v>41</v>
      </c>
      <c r="I182" t="s">
        <v>75</v>
      </c>
      <c r="J182" t="s">
        <v>1142</v>
      </c>
      <c r="K182" t="s">
        <v>1198</v>
      </c>
      <c r="L182" t="s">
        <v>762</v>
      </c>
      <c r="M182" t="s">
        <v>659</v>
      </c>
      <c r="N182" t="s">
        <v>754</v>
      </c>
      <c r="O182" t="s">
        <v>763</v>
      </c>
      <c r="P182" t="s">
        <v>32</v>
      </c>
      <c r="Q182" t="s">
        <v>33</v>
      </c>
      <c r="R182" t="s">
        <v>1088</v>
      </c>
      <c r="S182" t="s">
        <v>1156</v>
      </c>
      <c r="T182" s="5">
        <v>1</v>
      </c>
      <c r="U182" s="6">
        <v>6.74</v>
      </c>
      <c r="V182" s="6">
        <v>5</v>
      </c>
      <c r="W182" s="8">
        <v>0</v>
      </c>
      <c r="X182" s="6">
        <f t="shared" si="10"/>
        <v>6.74</v>
      </c>
      <c r="Y182" s="6">
        <f t="shared" si="11"/>
        <v>5</v>
      </c>
      <c r="Z182" s="6">
        <f t="shared" si="12"/>
        <v>1.7400000000000002</v>
      </c>
      <c r="AA182" t="s">
        <v>679</v>
      </c>
      <c r="AC182" s="5">
        <v>3</v>
      </c>
      <c r="AD182" t="s">
        <v>1140</v>
      </c>
      <c r="AE182" t="str">
        <f t="shared" si="13"/>
        <v>2024-02</v>
      </c>
      <c r="AF182" t="str">
        <f t="shared" si="14"/>
        <v>Q1-2024</v>
      </c>
    </row>
    <row r="183" spans="1:32" x14ac:dyDescent="0.3">
      <c r="A183" t="s">
        <v>1410</v>
      </c>
      <c r="B183" s="5">
        <v>4</v>
      </c>
      <c r="C183" s="4">
        <v>45321</v>
      </c>
      <c r="D183" s="4">
        <v>45330</v>
      </c>
      <c r="E183" t="s">
        <v>420</v>
      </c>
      <c r="F183" t="s">
        <v>421</v>
      </c>
      <c r="G183" t="s">
        <v>84</v>
      </c>
      <c r="H183" t="s">
        <v>31</v>
      </c>
      <c r="I183" t="s">
        <v>67</v>
      </c>
      <c r="J183" t="s">
        <v>1128</v>
      </c>
      <c r="K183" t="s">
        <v>1129</v>
      </c>
      <c r="L183" t="s">
        <v>786</v>
      </c>
      <c r="M183" t="s">
        <v>659</v>
      </c>
      <c r="N183" t="s">
        <v>754</v>
      </c>
      <c r="O183" t="s">
        <v>787</v>
      </c>
      <c r="P183" t="s">
        <v>32</v>
      </c>
      <c r="Q183" t="s">
        <v>33</v>
      </c>
      <c r="R183" t="s">
        <v>1114</v>
      </c>
      <c r="S183" t="s">
        <v>1089</v>
      </c>
      <c r="T183" s="5">
        <v>14</v>
      </c>
      <c r="U183" s="6">
        <v>87.49</v>
      </c>
      <c r="V183" s="6">
        <v>59.83</v>
      </c>
      <c r="W183" s="8">
        <v>5.16E-2</v>
      </c>
      <c r="X183" s="6">
        <f t="shared" si="10"/>
        <v>1161.657224</v>
      </c>
      <c r="Y183" s="6">
        <f t="shared" si="11"/>
        <v>837.62</v>
      </c>
      <c r="Z183" s="6">
        <f t="shared" si="12"/>
        <v>324.03722400000004</v>
      </c>
      <c r="AA183" t="s">
        <v>679</v>
      </c>
      <c r="AC183" s="5">
        <v>1</v>
      </c>
      <c r="AE183" t="str">
        <f t="shared" si="13"/>
        <v>2024-01</v>
      </c>
      <c r="AF183" t="str">
        <f t="shared" si="14"/>
        <v>Q1-2024</v>
      </c>
    </row>
    <row r="184" spans="1:32" x14ac:dyDescent="0.3">
      <c r="A184" t="s">
        <v>1411</v>
      </c>
      <c r="B184" s="5">
        <v>1</v>
      </c>
      <c r="C184" s="4">
        <v>45427</v>
      </c>
      <c r="D184" s="4">
        <v>45427</v>
      </c>
      <c r="E184" t="s">
        <v>521</v>
      </c>
      <c r="F184" t="s">
        <v>522</v>
      </c>
      <c r="G184" t="s">
        <v>65</v>
      </c>
      <c r="H184" t="s">
        <v>23</v>
      </c>
      <c r="I184" t="s">
        <v>109</v>
      </c>
      <c r="J184" t="s">
        <v>1145</v>
      </c>
      <c r="K184" t="s">
        <v>1246</v>
      </c>
      <c r="L184" t="s">
        <v>887</v>
      </c>
      <c r="M184" t="s">
        <v>795</v>
      </c>
      <c r="N184" t="s">
        <v>837</v>
      </c>
      <c r="O184" t="s">
        <v>888</v>
      </c>
      <c r="P184" t="s">
        <v>21</v>
      </c>
      <c r="Q184" t="s">
        <v>22</v>
      </c>
      <c r="R184" t="s">
        <v>1088</v>
      </c>
      <c r="S184" t="s">
        <v>1109</v>
      </c>
      <c r="T184" s="5">
        <v>2</v>
      </c>
      <c r="U184" s="6">
        <v>142.15</v>
      </c>
      <c r="V184" s="6">
        <v>111.35</v>
      </c>
      <c r="W184" s="8">
        <v>0.22370000000000001</v>
      </c>
      <c r="X184" s="6">
        <f t="shared" si="10"/>
        <v>220.70209</v>
      </c>
      <c r="Y184" s="6">
        <f t="shared" si="11"/>
        <v>222.7</v>
      </c>
      <c r="Z184" s="6">
        <f t="shared" si="12"/>
        <v>-1.9979099999999903</v>
      </c>
      <c r="AA184" t="s">
        <v>679</v>
      </c>
      <c r="AC184" s="5"/>
      <c r="AD184" t="s">
        <v>1412</v>
      </c>
      <c r="AE184" t="str">
        <f t="shared" si="13"/>
        <v>2024-05</v>
      </c>
      <c r="AF184" t="str">
        <f t="shared" si="14"/>
        <v>Q2-2024</v>
      </c>
    </row>
    <row r="185" spans="1:32" x14ac:dyDescent="0.3">
      <c r="A185" t="s">
        <v>1413</v>
      </c>
      <c r="B185" s="5">
        <v>4</v>
      </c>
      <c r="C185" s="4">
        <v>45932</v>
      </c>
      <c r="D185" s="4">
        <v>45941</v>
      </c>
      <c r="E185" t="s">
        <v>105</v>
      </c>
      <c r="F185" t="s">
        <v>106</v>
      </c>
      <c r="G185" t="s">
        <v>74</v>
      </c>
      <c r="H185" t="s">
        <v>41</v>
      </c>
      <c r="I185" t="s">
        <v>75</v>
      </c>
      <c r="J185" t="s">
        <v>1142</v>
      </c>
      <c r="K185" t="s">
        <v>1205</v>
      </c>
      <c r="L185" t="s">
        <v>715</v>
      </c>
      <c r="M185" t="s">
        <v>659</v>
      </c>
      <c r="N185" t="s">
        <v>713</v>
      </c>
      <c r="O185" t="s">
        <v>716</v>
      </c>
      <c r="P185" t="s">
        <v>17</v>
      </c>
      <c r="Q185" t="s">
        <v>18</v>
      </c>
      <c r="R185" t="s">
        <v>1094</v>
      </c>
      <c r="S185" t="s">
        <v>1109</v>
      </c>
      <c r="T185" s="5">
        <v>16</v>
      </c>
      <c r="U185" s="6">
        <v>22.57</v>
      </c>
      <c r="V185" s="6">
        <v>19.63</v>
      </c>
      <c r="W185" s="8">
        <v>0</v>
      </c>
      <c r="X185" s="6">
        <f t="shared" si="10"/>
        <v>361.12</v>
      </c>
      <c r="Y185" s="6">
        <f t="shared" si="11"/>
        <v>314.08</v>
      </c>
      <c r="Z185" s="6">
        <f t="shared" si="12"/>
        <v>47.04000000000002</v>
      </c>
      <c r="AA185" t="s">
        <v>662</v>
      </c>
      <c r="AB185" t="s">
        <v>1414</v>
      </c>
      <c r="AC185" s="5">
        <v>3</v>
      </c>
      <c r="AD185" t="s">
        <v>1096</v>
      </c>
      <c r="AE185" t="str">
        <f t="shared" si="13"/>
        <v>2025-10</v>
      </c>
      <c r="AF185" t="str">
        <f t="shared" si="14"/>
        <v>Q4-2025</v>
      </c>
    </row>
    <row r="186" spans="1:32" x14ac:dyDescent="0.3">
      <c r="A186" t="s">
        <v>1415</v>
      </c>
      <c r="B186" s="5">
        <v>3</v>
      </c>
      <c r="C186" s="4">
        <v>45615</v>
      </c>
      <c r="D186" s="4">
        <v>45624</v>
      </c>
      <c r="E186" t="s">
        <v>231</v>
      </c>
      <c r="F186" t="s">
        <v>232</v>
      </c>
      <c r="G186" t="s">
        <v>65</v>
      </c>
      <c r="H186" t="s">
        <v>20</v>
      </c>
      <c r="I186" t="s">
        <v>112</v>
      </c>
      <c r="J186" t="s">
        <v>1158</v>
      </c>
      <c r="K186" t="s">
        <v>1416</v>
      </c>
      <c r="L186" t="s">
        <v>841</v>
      </c>
      <c r="M186" t="s">
        <v>795</v>
      </c>
      <c r="N186" t="s">
        <v>837</v>
      </c>
      <c r="O186" t="s">
        <v>842</v>
      </c>
      <c r="P186" t="s">
        <v>29</v>
      </c>
      <c r="Q186" t="s">
        <v>30</v>
      </c>
      <c r="R186" t="s">
        <v>1088</v>
      </c>
      <c r="S186" t="s">
        <v>1109</v>
      </c>
      <c r="T186" s="5">
        <v>17</v>
      </c>
      <c r="U186" s="6">
        <v>8.36</v>
      </c>
      <c r="V186" s="6">
        <v>5</v>
      </c>
      <c r="W186" s="8">
        <v>0</v>
      </c>
      <c r="X186" s="6">
        <f t="shared" si="10"/>
        <v>142.12</v>
      </c>
      <c r="Y186" s="6">
        <f t="shared" si="11"/>
        <v>85</v>
      </c>
      <c r="Z186" s="6">
        <f t="shared" si="12"/>
        <v>57.120000000000005</v>
      </c>
      <c r="AA186" t="s">
        <v>679</v>
      </c>
      <c r="AC186" s="5">
        <v>2</v>
      </c>
      <c r="AD186" t="s">
        <v>1148</v>
      </c>
      <c r="AE186" t="str">
        <f t="shared" si="13"/>
        <v>2024-11</v>
      </c>
      <c r="AF186" t="str">
        <f t="shared" si="14"/>
        <v>Q4-2024</v>
      </c>
    </row>
    <row r="187" spans="1:32" x14ac:dyDescent="0.3">
      <c r="A187" t="s">
        <v>1417</v>
      </c>
      <c r="B187" s="5">
        <v>4</v>
      </c>
      <c r="C187" s="4">
        <v>46008</v>
      </c>
      <c r="D187" s="4">
        <v>46019</v>
      </c>
      <c r="E187" t="s">
        <v>416</v>
      </c>
      <c r="F187" t="s">
        <v>417</v>
      </c>
      <c r="G187" t="s">
        <v>84</v>
      </c>
      <c r="H187" t="s">
        <v>31</v>
      </c>
      <c r="I187" t="s">
        <v>160</v>
      </c>
      <c r="J187" t="s">
        <v>1092</v>
      </c>
      <c r="K187" t="s">
        <v>1093</v>
      </c>
      <c r="L187" t="s">
        <v>834</v>
      </c>
      <c r="M187" t="s">
        <v>795</v>
      </c>
      <c r="N187" t="s">
        <v>796</v>
      </c>
      <c r="O187" t="s">
        <v>835</v>
      </c>
      <c r="P187" t="s">
        <v>24</v>
      </c>
      <c r="Q187" t="s">
        <v>25</v>
      </c>
      <c r="R187" t="s">
        <v>1088</v>
      </c>
      <c r="S187" t="s">
        <v>1089</v>
      </c>
      <c r="T187" s="5">
        <v>22</v>
      </c>
      <c r="U187" s="6">
        <v>218.07</v>
      </c>
      <c r="V187" s="6">
        <v>141.69999999999999</v>
      </c>
      <c r="W187" s="8">
        <v>0.2888</v>
      </c>
      <c r="X187" s="6">
        <f t="shared" si="10"/>
        <v>3412.0104480000005</v>
      </c>
      <c r="Y187" s="6">
        <f t="shared" si="11"/>
        <v>3117.3999999999996</v>
      </c>
      <c r="Z187" s="6">
        <f t="shared" si="12"/>
        <v>294.61044800000082</v>
      </c>
      <c r="AA187" t="s">
        <v>679</v>
      </c>
      <c r="AC187" s="5">
        <v>1</v>
      </c>
      <c r="AD187" t="s">
        <v>1398</v>
      </c>
      <c r="AE187" t="str">
        <f t="shared" si="13"/>
        <v>2025-12</v>
      </c>
      <c r="AF187" t="str">
        <f t="shared" si="14"/>
        <v>Q4-2025</v>
      </c>
    </row>
    <row r="188" spans="1:32" x14ac:dyDescent="0.3">
      <c r="A188" t="s">
        <v>1418</v>
      </c>
      <c r="B188" s="5">
        <v>2</v>
      </c>
      <c r="C188" s="4">
        <v>45594</v>
      </c>
      <c r="D188" s="4">
        <v>45601</v>
      </c>
      <c r="E188" t="s">
        <v>649</v>
      </c>
      <c r="F188" t="s">
        <v>650</v>
      </c>
      <c r="G188" t="s">
        <v>84</v>
      </c>
      <c r="H188" t="s">
        <v>31</v>
      </c>
      <c r="I188" t="s">
        <v>67</v>
      </c>
      <c r="J188" t="s">
        <v>1128</v>
      </c>
      <c r="K188" t="s">
        <v>1181</v>
      </c>
      <c r="L188" t="s">
        <v>764</v>
      </c>
      <c r="M188" t="s">
        <v>659</v>
      </c>
      <c r="N188" t="s">
        <v>754</v>
      </c>
      <c r="O188" t="s">
        <v>765</v>
      </c>
      <c r="P188" t="s">
        <v>29</v>
      </c>
      <c r="Q188" t="s">
        <v>30</v>
      </c>
      <c r="R188" t="s">
        <v>1088</v>
      </c>
      <c r="S188" t="s">
        <v>1089</v>
      </c>
      <c r="T188" s="5">
        <v>24</v>
      </c>
      <c r="U188" s="6">
        <v>329.55</v>
      </c>
      <c r="V188" s="6">
        <v>193.32</v>
      </c>
      <c r="W188" s="8">
        <v>0</v>
      </c>
      <c r="X188" s="6">
        <f t="shared" si="10"/>
        <v>7909.2000000000007</v>
      </c>
      <c r="Y188" s="6">
        <f t="shared" si="11"/>
        <v>4639.68</v>
      </c>
      <c r="Z188" s="6">
        <f t="shared" si="12"/>
        <v>3269.5200000000004</v>
      </c>
      <c r="AA188" t="s">
        <v>679</v>
      </c>
      <c r="AC188" s="5">
        <v>1</v>
      </c>
      <c r="AE188" t="str">
        <f t="shared" si="13"/>
        <v>2024-10</v>
      </c>
      <c r="AF188" t="str">
        <f t="shared" si="14"/>
        <v>Q4-2024</v>
      </c>
    </row>
    <row r="189" spans="1:32" x14ac:dyDescent="0.3">
      <c r="A189" t="s">
        <v>1419</v>
      </c>
      <c r="B189" s="5">
        <v>2</v>
      </c>
      <c r="C189" s="4">
        <v>45685</v>
      </c>
      <c r="D189" s="4">
        <v>45695</v>
      </c>
      <c r="E189" t="s">
        <v>196</v>
      </c>
      <c r="F189" t="s">
        <v>197</v>
      </c>
      <c r="G189" t="s">
        <v>65</v>
      </c>
      <c r="H189" t="s">
        <v>31</v>
      </c>
      <c r="I189" t="s">
        <v>67</v>
      </c>
      <c r="J189" t="s">
        <v>1304</v>
      </c>
      <c r="K189" t="s">
        <v>1363</v>
      </c>
      <c r="L189" t="s">
        <v>786</v>
      </c>
      <c r="M189" t="s">
        <v>659</v>
      </c>
      <c r="N189" t="s">
        <v>754</v>
      </c>
      <c r="O189" t="s">
        <v>787</v>
      </c>
      <c r="P189" t="s">
        <v>32</v>
      </c>
      <c r="Q189" t="s">
        <v>33</v>
      </c>
      <c r="R189" t="s">
        <v>1114</v>
      </c>
      <c r="S189" t="s">
        <v>1156</v>
      </c>
      <c r="T189" s="5">
        <v>69</v>
      </c>
      <c r="U189" s="6">
        <v>105.4</v>
      </c>
      <c r="V189" s="6">
        <v>59.83</v>
      </c>
      <c r="W189" s="8">
        <v>0</v>
      </c>
      <c r="X189" s="6">
        <f t="shared" si="10"/>
        <v>7272.6</v>
      </c>
      <c r="Y189" s="6">
        <f t="shared" si="11"/>
        <v>4128.2699999999995</v>
      </c>
      <c r="Z189" s="6">
        <f t="shared" si="12"/>
        <v>3144.3300000000008</v>
      </c>
      <c r="AA189" t="s">
        <v>679</v>
      </c>
      <c r="AC189" s="5">
        <v>2</v>
      </c>
      <c r="AD189" t="s">
        <v>1148</v>
      </c>
      <c r="AE189" t="str">
        <f t="shared" si="13"/>
        <v>2025-01</v>
      </c>
      <c r="AF189" t="str">
        <f t="shared" si="14"/>
        <v>Q1-2025</v>
      </c>
    </row>
    <row r="190" spans="1:32" x14ac:dyDescent="0.3">
      <c r="A190" t="s">
        <v>1420</v>
      </c>
      <c r="B190" s="5">
        <v>3</v>
      </c>
      <c r="C190" s="4">
        <v>45910</v>
      </c>
      <c r="D190" s="4">
        <v>45916</v>
      </c>
      <c r="E190" t="s">
        <v>330</v>
      </c>
      <c r="F190" t="s">
        <v>331</v>
      </c>
      <c r="G190" t="s">
        <v>80</v>
      </c>
      <c r="H190" t="s">
        <v>23</v>
      </c>
      <c r="I190" t="s">
        <v>81</v>
      </c>
      <c r="J190" t="s">
        <v>1119</v>
      </c>
      <c r="K190" t="s">
        <v>1291</v>
      </c>
      <c r="L190" t="s">
        <v>816</v>
      </c>
      <c r="M190" t="s">
        <v>795</v>
      </c>
      <c r="N190" t="s">
        <v>796</v>
      </c>
      <c r="O190" t="s">
        <v>817</v>
      </c>
      <c r="P190" t="s">
        <v>48</v>
      </c>
      <c r="Q190" t="s">
        <v>49</v>
      </c>
      <c r="R190" t="s">
        <v>1088</v>
      </c>
      <c r="S190" t="s">
        <v>1109</v>
      </c>
      <c r="T190" s="5">
        <v>19</v>
      </c>
      <c r="U190" s="6">
        <v>148.65</v>
      </c>
      <c r="V190" s="6">
        <v>110.31</v>
      </c>
      <c r="W190" s="8">
        <v>0.18770000000000001</v>
      </c>
      <c r="X190" s="6">
        <f t="shared" si="10"/>
        <v>2294.219505</v>
      </c>
      <c r="Y190" s="6">
        <f t="shared" si="11"/>
        <v>2095.89</v>
      </c>
      <c r="Z190" s="6">
        <f t="shared" si="12"/>
        <v>198.32950500000015</v>
      </c>
      <c r="AA190" t="s">
        <v>679</v>
      </c>
      <c r="AC190" s="5">
        <v>4</v>
      </c>
      <c r="AD190" t="s">
        <v>1421</v>
      </c>
      <c r="AE190" t="str">
        <f t="shared" si="13"/>
        <v>2025-09</v>
      </c>
      <c r="AF190" t="str">
        <f t="shared" si="14"/>
        <v>Q3-2025</v>
      </c>
    </row>
    <row r="191" spans="1:32" x14ac:dyDescent="0.3">
      <c r="A191" t="s">
        <v>1422</v>
      </c>
      <c r="B191" s="5">
        <v>5</v>
      </c>
      <c r="C191" s="4">
        <v>45680</v>
      </c>
      <c r="D191" s="4">
        <v>45687</v>
      </c>
      <c r="E191" t="s">
        <v>263</v>
      </c>
      <c r="F191" t="s">
        <v>264</v>
      </c>
      <c r="G191" t="s">
        <v>74</v>
      </c>
      <c r="H191" t="s">
        <v>31</v>
      </c>
      <c r="I191" t="s">
        <v>160</v>
      </c>
      <c r="J191" t="s">
        <v>1092</v>
      </c>
      <c r="K191" t="s">
        <v>1150</v>
      </c>
      <c r="L191" t="s">
        <v>1027</v>
      </c>
      <c r="M191" t="s">
        <v>1002</v>
      </c>
      <c r="N191" t="s">
        <v>1003</v>
      </c>
      <c r="O191" t="s">
        <v>1028</v>
      </c>
      <c r="P191" t="s">
        <v>37</v>
      </c>
      <c r="Q191" t="s">
        <v>38</v>
      </c>
      <c r="R191" t="s">
        <v>1114</v>
      </c>
      <c r="S191" t="s">
        <v>1095</v>
      </c>
      <c r="T191" s="5">
        <v>7</v>
      </c>
      <c r="U191" s="6">
        <v>199.62</v>
      </c>
      <c r="V191" s="6">
        <v>131.69</v>
      </c>
      <c r="W191" s="8">
        <v>0</v>
      </c>
      <c r="X191" s="6">
        <f t="shared" si="10"/>
        <v>1397.3400000000001</v>
      </c>
      <c r="Y191" s="6">
        <f t="shared" si="11"/>
        <v>921.82999999999993</v>
      </c>
      <c r="Z191" s="6">
        <f t="shared" si="12"/>
        <v>475.51000000000022</v>
      </c>
      <c r="AA191" t="s">
        <v>679</v>
      </c>
      <c r="AC191" s="5">
        <v>2</v>
      </c>
      <c r="AD191" t="s">
        <v>1140</v>
      </c>
      <c r="AE191" t="str">
        <f t="shared" si="13"/>
        <v>2025-01</v>
      </c>
      <c r="AF191" t="str">
        <f t="shared" si="14"/>
        <v>Q1-2025</v>
      </c>
    </row>
    <row r="192" spans="1:32" x14ac:dyDescent="0.3">
      <c r="A192" t="s">
        <v>1423</v>
      </c>
      <c r="B192" s="5">
        <v>2</v>
      </c>
      <c r="C192" s="4">
        <v>45680</v>
      </c>
      <c r="D192" s="4">
        <v>45684</v>
      </c>
      <c r="E192" t="s">
        <v>219</v>
      </c>
      <c r="F192" t="s">
        <v>220</v>
      </c>
      <c r="G192" t="s">
        <v>84</v>
      </c>
      <c r="H192" t="s">
        <v>23</v>
      </c>
      <c r="I192" t="s">
        <v>109</v>
      </c>
      <c r="J192" t="s">
        <v>1138</v>
      </c>
      <c r="K192" t="s">
        <v>1139</v>
      </c>
      <c r="L192" t="s">
        <v>847</v>
      </c>
      <c r="M192" t="s">
        <v>795</v>
      </c>
      <c r="N192" t="s">
        <v>837</v>
      </c>
      <c r="O192" t="s">
        <v>848</v>
      </c>
      <c r="P192" t="s">
        <v>27</v>
      </c>
      <c r="Q192" t="s">
        <v>28</v>
      </c>
      <c r="R192" t="s">
        <v>1094</v>
      </c>
      <c r="S192" t="s">
        <v>1095</v>
      </c>
      <c r="T192" s="5">
        <v>18</v>
      </c>
      <c r="U192" s="6">
        <v>240.04</v>
      </c>
      <c r="V192" s="6">
        <v>188.86</v>
      </c>
      <c r="W192" s="8">
        <v>0.155</v>
      </c>
      <c r="X192" s="6">
        <f t="shared" si="10"/>
        <v>3651.0084000000002</v>
      </c>
      <c r="Y192" s="6">
        <f t="shared" si="11"/>
        <v>3399.4800000000005</v>
      </c>
      <c r="Z192" s="6">
        <f t="shared" si="12"/>
        <v>251.52839999999969</v>
      </c>
      <c r="AA192" t="s">
        <v>679</v>
      </c>
      <c r="AC192" s="5">
        <v>2</v>
      </c>
      <c r="AD192" t="s">
        <v>1090</v>
      </c>
      <c r="AE192" t="str">
        <f t="shared" si="13"/>
        <v>2025-01</v>
      </c>
      <c r="AF192" t="str">
        <f t="shared" si="14"/>
        <v>Q1-2025</v>
      </c>
    </row>
    <row r="193" spans="1:32" x14ac:dyDescent="0.3">
      <c r="A193" t="s">
        <v>1424</v>
      </c>
      <c r="B193" s="5">
        <v>3</v>
      </c>
      <c r="C193" s="4">
        <v>45810</v>
      </c>
      <c r="D193" s="4">
        <v>45818</v>
      </c>
      <c r="E193" t="s">
        <v>165</v>
      </c>
      <c r="F193" t="s">
        <v>166</v>
      </c>
      <c r="G193" t="s">
        <v>84</v>
      </c>
      <c r="H193" t="s">
        <v>31</v>
      </c>
      <c r="I193" t="s">
        <v>67</v>
      </c>
      <c r="J193" t="s">
        <v>1128</v>
      </c>
      <c r="K193" t="s">
        <v>1181</v>
      </c>
      <c r="L193" t="s">
        <v>698</v>
      </c>
      <c r="M193" t="s">
        <v>659</v>
      </c>
      <c r="N193" t="s">
        <v>660</v>
      </c>
      <c r="O193" t="s">
        <v>699</v>
      </c>
      <c r="P193" t="s">
        <v>32</v>
      </c>
      <c r="Q193" t="s">
        <v>33</v>
      </c>
      <c r="R193" t="s">
        <v>1088</v>
      </c>
      <c r="S193" t="s">
        <v>1109</v>
      </c>
      <c r="T193" s="5">
        <v>6</v>
      </c>
      <c r="U193" s="6">
        <v>8.4700000000000006</v>
      </c>
      <c r="V193" s="6">
        <v>5</v>
      </c>
      <c r="W193" s="8">
        <v>0</v>
      </c>
      <c r="X193" s="6">
        <f t="shared" si="10"/>
        <v>50.820000000000007</v>
      </c>
      <c r="Y193" s="6">
        <f t="shared" si="11"/>
        <v>30</v>
      </c>
      <c r="Z193" s="6">
        <f t="shared" si="12"/>
        <v>20.820000000000007</v>
      </c>
      <c r="AA193" t="s">
        <v>679</v>
      </c>
      <c r="AC193" s="5"/>
      <c r="AD193" t="s">
        <v>1101</v>
      </c>
      <c r="AE193" t="str">
        <f t="shared" si="13"/>
        <v>2025-06</v>
      </c>
      <c r="AF193" t="str">
        <f t="shared" si="14"/>
        <v>Q2-2025</v>
      </c>
    </row>
    <row r="194" spans="1:32" x14ac:dyDescent="0.3">
      <c r="A194" t="s">
        <v>1425</v>
      </c>
      <c r="B194" s="5">
        <v>3</v>
      </c>
      <c r="C194" s="4">
        <v>45651</v>
      </c>
      <c r="D194" s="4">
        <v>45663</v>
      </c>
      <c r="E194" t="s">
        <v>488</v>
      </c>
      <c r="F194" t="s">
        <v>489</v>
      </c>
      <c r="G194" t="s">
        <v>74</v>
      </c>
      <c r="H194" t="s">
        <v>23</v>
      </c>
      <c r="I194" t="s">
        <v>109</v>
      </c>
      <c r="J194" t="s">
        <v>1145</v>
      </c>
      <c r="K194" t="s">
        <v>1246</v>
      </c>
      <c r="L194" t="s">
        <v>1062</v>
      </c>
      <c r="M194" t="s">
        <v>1002</v>
      </c>
      <c r="N194" t="s">
        <v>1034</v>
      </c>
      <c r="O194" t="s">
        <v>1063</v>
      </c>
      <c r="P194" t="s">
        <v>24</v>
      </c>
      <c r="Q194" t="s">
        <v>25</v>
      </c>
      <c r="R194" t="s">
        <v>1114</v>
      </c>
      <c r="S194" t="s">
        <v>1109</v>
      </c>
      <c r="T194" s="5">
        <v>24</v>
      </c>
      <c r="U194" s="6">
        <v>137.99</v>
      </c>
      <c r="V194" s="6">
        <v>97.44</v>
      </c>
      <c r="W194" s="8">
        <v>0.2137</v>
      </c>
      <c r="X194" s="6">
        <f t="shared" ref="X194:X257" si="15">T194*U194*(1-IF(ISBLANK(W194),0,W194))</f>
        <v>2604.0368880000001</v>
      </c>
      <c r="Y194" s="6">
        <f t="shared" ref="Y194:Y257" si="16">T194*V194</f>
        <v>2338.56</v>
      </c>
      <c r="Z194" s="6">
        <f t="shared" ref="Z194:Z257" si="17">X194-Y194</f>
        <v>265.47688800000014</v>
      </c>
      <c r="AA194" t="s">
        <v>679</v>
      </c>
      <c r="AC194" s="5"/>
      <c r="AD194" t="s">
        <v>1123</v>
      </c>
      <c r="AE194" t="str">
        <f t="shared" ref="AE194:AE257" si="18">TEXT(C194,"yyyy-mm")</f>
        <v>2024-12</v>
      </c>
      <c r="AF194" t="str">
        <f t="shared" ref="AF194:AF257" si="19">"Q"&amp;ROUNDUP(MONTH(C194)/3,0)&amp;"-"&amp;YEAR(C194)</f>
        <v>Q4-2024</v>
      </c>
    </row>
    <row r="195" spans="1:32" x14ac:dyDescent="0.3">
      <c r="A195" t="s">
        <v>1426</v>
      </c>
      <c r="B195" s="5">
        <v>4</v>
      </c>
      <c r="C195" s="4">
        <v>45511</v>
      </c>
      <c r="D195" s="4">
        <v>45518</v>
      </c>
      <c r="E195" t="s">
        <v>624</v>
      </c>
      <c r="F195" t="s">
        <v>625</v>
      </c>
      <c r="G195" t="s">
        <v>80</v>
      </c>
      <c r="H195" t="s">
        <v>23</v>
      </c>
      <c r="I195" t="s">
        <v>109</v>
      </c>
      <c r="J195" t="s">
        <v>1300</v>
      </c>
      <c r="K195" t="s">
        <v>1360</v>
      </c>
      <c r="L195" t="s">
        <v>727</v>
      </c>
      <c r="M195" t="s">
        <v>659</v>
      </c>
      <c r="N195" t="s">
        <v>713</v>
      </c>
      <c r="O195" t="s">
        <v>728</v>
      </c>
      <c r="P195" t="s">
        <v>29</v>
      </c>
      <c r="Q195" t="s">
        <v>30</v>
      </c>
      <c r="R195" t="s">
        <v>126</v>
      </c>
      <c r="S195" t="s">
        <v>1109</v>
      </c>
      <c r="T195" s="5">
        <v>32</v>
      </c>
      <c r="U195" s="6">
        <v>22.39</v>
      </c>
      <c r="V195" s="6">
        <v>13.85</v>
      </c>
      <c r="W195" s="8">
        <v>0</v>
      </c>
      <c r="X195" s="6">
        <f t="shared" si="15"/>
        <v>716.48</v>
      </c>
      <c r="Y195" s="6">
        <f t="shared" si="16"/>
        <v>443.2</v>
      </c>
      <c r="Z195" s="6">
        <f t="shared" si="17"/>
        <v>273.28000000000003</v>
      </c>
      <c r="AA195" t="s">
        <v>662</v>
      </c>
      <c r="AB195" t="s">
        <v>1289</v>
      </c>
      <c r="AC195" s="5">
        <v>2</v>
      </c>
      <c r="AD195" t="s">
        <v>1110</v>
      </c>
      <c r="AE195" t="str">
        <f t="shared" si="18"/>
        <v>2024-08</v>
      </c>
      <c r="AF195" t="str">
        <f t="shared" si="19"/>
        <v>Q3-2024</v>
      </c>
    </row>
    <row r="196" spans="1:32" x14ac:dyDescent="0.3">
      <c r="A196" t="s">
        <v>1427</v>
      </c>
      <c r="B196" s="5">
        <v>5</v>
      </c>
      <c r="C196" s="4">
        <v>45941</v>
      </c>
      <c r="D196" s="4">
        <v>45953</v>
      </c>
      <c r="E196" t="s">
        <v>637</v>
      </c>
      <c r="F196" t="s">
        <v>638</v>
      </c>
      <c r="G196" t="s">
        <v>65</v>
      </c>
      <c r="H196" t="s">
        <v>41</v>
      </c>
      <c r="I196" t="s">
        <v>75</v>
      </c>
      <c r="J196" t="s">
        <v>1142</v>
      </c>
      <c r="K196" t="s">
        <v>1198</v>
      </c>
      <c r="L196" t="s">
        <v>694</v>
      </c>
      <c r="M196" t="s">
        <v>659</v>
      </c>
      <c r="N196" t="s">
        <v>660</v>
      </c>
      <c r="O196" t="s">
        <v>695</v>
      </c>
      <c r="P196" t="s">
        <v>39</v>
      </c>
      <c r="Q196" t="s">
        <v>40</v>
      </c>
      <c r="R196" t="s">
        <v>1088</v>
      </c>
      <c r="S196" t="s">
        <v>1095</v>
      </c>
      <c r="T196" s="5">
        <v>9</v>
      </c>
      <c r="U196" s="6">
        <v>189.27</v>
      </c>
      <c r="V196" s="6">
        <v>105.86</v>
      </c>
      <c r="W196" s="8">
        <v>0</v>
      </c>
      <c r="X196" s="6">
        <f t="shared" si="15"/>
        <v>1703.43</v>
      </c>
      <c r="Y196" s="6">
        <f t="shared" si="16"/>
        <v>952.74</v>
      </c>
      <c r="Z196" s="6">
        <f t="shared" si="17"/>
        <v>750.69</v>
      </c>
      <c r="AA196" t="s">
        <v>679</v>
      </c>
      <c r="AC196" s="5">
        <v>1</v>
      </c>
      <c r="AD196" t="s">
        <v>1096</v>
      </c>
      <c r="AE196" t="str">
        <f t="shared" si="18"/>
        <v>2025-10</v>
      </c>
      <c r="AF196" t="str">
        <f t="shared" si="19"/>
        <v>Q4-2025</v>
      </c>
    </row>
    <row r="197" spans="1:32" x14ac:dyDescent="0.3">
      <c r="A197" t="s">
        <v>1428</v>
      </c>
      <c r="B197" s="5">
        <v>1</v>
      </c>
      <c r="C197" s="4">
        <v>45692</v>
      </c>
      <c r="D197" s="4">
        <v>45696</v>
      </c>
      <c r="E197" t="s">
        <v>377</v>
      </c>
      <c r="F197" t="s">
        <v>378</v>
      </c>
      <c r="G197" t="s">
        <v>80</v>
      </c>
      <c r="H197" t="s">
        <v>23</v>
      </c>
      <c r="I197" t="s">
        <v>109</v>
      </c>
      <c r="J197" t="s">
        <v>1300</v>
      </c>
      <c r="K197" t="s">
        <v>1429</v>
      </c>
      <c r="L197" t="s">
        <v>934</v>
      </c>
      <c r="M197" t="s">
        <v>929</v>
      </c>
      <c r="N197" t="s">
        <v>930</v>
      </c>
      <c r="O197" t="s">
        <v>935</v>
      </c>
      <c r="P197" t="s">
        <v>17</v>
      </c>
      <c r="Q197" t="s">
        <v>18</v>
      </c>
      <c r="R197" t="s">
        <v>1088</v>
      </c>
      <c r="S197" t="s">
        <v>1089</v>
      </c>
      <c r="T197" s="5">
        <v>11</v>
      </c>
      <c r="U197" s="6">
        <v>197.95</v>
      </c>
      <c r="V197" s="6">
        <v>147.27000000000001</v>
      </c>
      <c r="W197" s="8">
        <v>0</v>
      </c>
      <c r="X197" s="6">
        <f t="shared" si="15"/>
        <v>2177.4499999999998</v>
      </c>
      <c r="Y197" s="6">
        <f t="shared" si="16"/>
        <v>1619.97</v>
      </c>
      <c r="Z197" s="6">
        <f t="shared" si="17"/>
        <v>557.47999999999979</v>
      </c>
      <c r="AA197" t="s">
        <v>679</v>
      </c>
      <c r="AC197" s="5">
        <v>4</v>
      </c>
      <c r="AD197" t="s">
        <v>1225</v>
      </c>
      <c r="AE197" t="str">
        <f t="shared" si="18"/>
        <v>2025-02</v>
      </c>
      <c r="AF197" t="str">
        <f t="shared" si="19"/>
        <v>Q1-2025</v>
      </c>
    </row>
    <row r="198" spans="1:32" x14ac:dyDescent="0.3">
      <c r="A198" t="s">
        <v>1430</v>
      </c>
      <c r="B198" s="5">
        <v>5</v>
      </c>
      <c r="C198" s="4">
        <v>45504</v>
      </c>
      <c r="D198" s="4">
        <v>45512</v>
      </c>
      <c r="E198" t="s">
        <v>536</v>
      </c>
      <c r="F198" t="s">
        <v>537</v>
      </c>
      <c r="G198" t="s">
        <v>65</v>
      </c>
      <c r="H198" t="s">
        <v>31</v>
      </c>
      <c r="I198" t="s">
        <v>67</v>
      </c>
      <c r="J198" t="s">
        <v>1128</v>
      </c>
      <c r="K198" t="s">
        <v>1181</v>
      </c>
      <c r="L198" t="s">
        <v>895</v>
      </c>
      <c r="M198" t="s">
        <v>795</v>
      </c>
      <c r="N198" t="s">
        <v>837</v>
      </c>
      <c r="O198" t="s">
        <v>896</v>
      </c>
      <c r="P198" t="s">
        <v>21</v>
      </c>
      <c r="Q198" t="s">
        <v>22</v>
      </c>
      <c r="R198" t="s">
        <v>1114</v>
      </c>
      <c r="S198" t="s">
        <v>1156</v>
      </c>
      <c r="T198" s="5">
        <v>7</v>
      </c>
      <c r="U198" s="6">
        <v>174.07</v>
      </c>
      <c r="V198" s="6">
        <v>131.16</v>
      </c>
      <c r="W198" s="8">
        <v>0.182</v>
      </c>
      <c r="X198" s="6">
        <f t="shared" si="15"/>
        <v>996.72482000000014</v>
      </c>
      <c r="Y198" s="6">
        <f t="shared" si="16"/>
        <v>918.12</v>
      </c>
      <c r="Z198" s="6">
        <f t="shared" si="17"/>
        <v>78.604820000000132</v>
      </c>
      <c r="AA198" t="s">
        <v>679</v>
      </c>
      <c r="AC198" s="5">
        <v>3</v>
      </c>
      <c r="AD198" t="s">
        <v>1090</v>
      </c>
      <c r="AE198" t="str">
        <f t="shared" si="18"/>
        <v>2024-07</v>
      </c>
      <c r="AF198" t="str">
        <f t="shared" si="19"/>
        <v>Q3-2024</v>
      </c>
    </row>
    <row r="199" spans="1:32" x14ac:dyDescent="0.3">
      <c r="A199" t="s">
        <v>1431</v>
      </c>
      <c r="B199" s="5">
        <v>3</v>
      </c>
      <c r="C199" s="4">
        <v>45697</v>
      </c>
      <c r="D199" s="4">
        <v>45706</v>
      </c>
      <c r="E199" t="s">
        <v>259</v>
      </c>
      <c r="F199" t="s">
        <v>260</v>
      </c>
      <c r="G199" t="s">
        <v>74</v>
      </c>
      <c r="H199" t="s">
        <v>41</v>
      </c>
      <c r="I199" t="s">
        <v>86</v>
      </c>
      <c r="J199" t="s">
        <v>1086</v>
      </c>
      <c r="K199" t="s">
        <v>1175</v>
      </c>
      <c r="L199" t="s">
        <v>1048</v>
      </c>
      <c r="M199" t="s">
        <v>1002</v>
      </c>
      <c r="N199" t="s">
        <v>1034</v>
      </c>
      <c r="O199" t="s">
        <v>1049</v>
      </c>
      <c r="P199" t="s">
        <v>34</v>
      </c>
      <c r="Q199" t="s">
        <v>35</v>
      </c>
      <c r="R199" t="s">
        <v>1094</v>
      </c>
      <c r="S199" t="s">
        <v>1089</v>
      </c>
      <c r="T199" s="5">
        <v>5</v>
      </c>
      <c r="U199" s="6">
        <v>335.53</v>
      </c>
      <c r="V199" s="6">
        <v>208.54</v>
      </c>
      <c r="W199" s="8">
        <v>0</v>
      </c>
      <c r="X199" s="6">
        <f t="shared" si="15"/>
        <v>1677.6499999999999</v>
      </c>
      <c r="Y199" s="6">
        <f t="shared" si="16"/>
        <v>1042.7</v>
      </c>
      <c r="Z199" s="6">
        <f t="shared" si="17"/>
        <v>634.94999999999982</v>
      </c>
      <c r="AA199" t="s">
        <v>679</v>
      </c>
      <c r="AC199" s="5"/>
      <c r="AD199" t="s">
        <v>1123</v>
      </c>
      <c r="AE199" t="str">
        <f t="shared" si="18"/>
        <v>2025-02</v>
      </c>
      <c r="AF199" t="str">
        <f t="shared" si="19"/>
        <v>Q1-2025</v>
      </c>
    </row>
    <row r="200" spans="1:32" x14ac:dyDescent="0.3">
      <c r="A200" t="s">
        <v>1432</v>
      </c>
      <c r="B200" s="5">
        <v>2</v>
      </c>
      <c r="C200" s="4">
        <v>45802</v>
      </c>
      <c r="D200" s="4">
        <v>45808</v>
      </c>
      <c r="E200" t="s">
        <v>621</v>
      </c>
      <c r="F200" t="s">
        <v>191</v>
      </c>
      <c r="G200" t="s">
        <v>84</v>
      </c>
      <c r="H200" t="s">
        <v>23</v>
      </c>
      <c r="I200" t="s">
        <v>109</v>
      </c>
      <c r="J200" t="s">
        <v>1300</v>
      </c>
      <c r="K200" t="s">
        <v>1301</v>
      </c>
      <c r="L200" t="s">
        <v>926</v>
      </c>
      <c r="M200" t="s">
        <v>795</v>
      </c>
      <c r="N200" t="s">
        <v>898</v>
      </c>
      <c r="O200" t="s">
        <v>927</v>
      </c>
      <c r="P200" t="s">
        <v>48</v>
      </c>
      <c r="Q200" t="s">
        <v>49</v>
      </c>
      <c r="R200" t="s">
        <v>1114</v>
      </c>
      <c r="S200" t="s">
        <v>1095</v>
      </c>
      <c r="T200" s="5">
        <v>5</v>
      </c>
      <c r="U200" s="6">
        <v>182.37</v>
      </c>
      <c r="V200" s="6">
        <v>113.41</v>
      </c>
      <c r="W200" s="8">
        <v>2.8799999999999999E-2</v>
      </c>
      <c r="X200" s="6">
        <f t="shared" si="15"/>
        <v>885.58871999999997</v>
      </c>
      <c r="Y200" s="6">
        <f t="shared" si="16"/>
        <v>567.04999999999995</v>
      </c>
      <c r="Z200" s="6">
        <f t="shared" si="17"/>
        <v>318.53872000000001</v>
      </c>
      <c r="AA200" t="s">
        <v>679</v>
      </c>
      <c r="AC200" s="5"/>
      <c r="AD200" t="s">
        <v>1148</v>
      </c>
      <c r="AE200" t="str">
        <f t="shared" si="18"/>
        <v>2025-05</v>
      </c>
      <c r="AF200" t="str">
        <f t="shared" si="19"/>
        <v>Q2-2025</v>
      </c>
    </row>
    <row r="201" spans="1:32" x14ac:dyDescent="0.3">
      <c r="A201" t="s">
        <v>1433</v>
      </c>
      <c r="B201" s="5">
        <v>2</v>
      </c>
      <c r="C201" s="4">
        <v>45631</v>
      </c>
      <c r="D201" s="4">
        <v>45641</v>
      </c>
      <c r="E201" t="s">
        <v>561</v>
      </c>
      <c r="F201" t="s">
        <v>562</v>
      </c>
      <c r="G201" t="s">
        <v>74</v>
      </c>
      <c r="H201" t="s">
        <v>41</v>
      </c>
      <c r="I201" t="s">
        <v>86</v>
      </c>
      <c r="J201" t="s">
        <v>1086</v>
      </c>
      <c r="K201" t="s">
        <v>1175</v>
      </c>
      <c r="L201" t="s">
        <v>1009</v>
      </c>
      <c r="M201" t="s">
        <v>1002</v>
      </c>
      <c r="N201" t="s">
        <v>1003</v>
      </c>
      <c r="O201" t="s">
        <v>1010</v>
      </c>
      <c r="P201" t="s">
        <v>27</v>
      </c>
      <c r="Q201" t="s">
        <v>28</v>
      </c>
      <c r="R201" t="s">
        <v>1114</v>
      </c>
      <c r="S201" t="s">
        <v>1095</v>
      </c>
      <c r="T201" s="5">
        <v>13</v>
      </c>
      <c r="U201" s="6">
        <v>240.99</v>
      </c>
      <c r="V201" s="6">
        <v>126.23</v>
      </c>
      <c r="W201" s="8">
        <v>0</v>
      </c>
      <c r="X201" s="6">
        <f t="shared" si="15"/>
        <v>3132.87</v>
      </c>
      <c r="Y201" s="6">
        <f t="shared" si="16"/>
        <v>1640.99</v>
      </c>
      <c r="Z201" s="6">
        <f t="shared" si="17"/>
        <v>1491.8799999999999</v>
      </c>
      <c r="AA201" t="s">
        <v>679</v>
      </c>
      <c r="AC201" s="5">
        <v>1</v>
      </c>
      <c r="AE201" t="str">
        <f t="shared" si="18"/>
        <v>2024-12</v>
      </c>
      <c r="AF201" t="str">
        <f t="shared" si="19"/>
        <v>Q4-2024</v>
      </c>
    </row>
    <row r="202" spans="1:32" x14ac:dyDescent="0.3">
      <c r="A202" t="s">
        <v>1434</v>
      </c>
      <c r="B202" s="5">
        <v>2</v>
      </c>
      <c r="C202" s="4">
        <v>45748</v>
      </c>
      <c r="D202" s="4">
        <v>45753</v>
      </c>
      <c r="E202" t="s">
        <v>115</v>
      </c>
      <c r="F202" t="s">
        <v>116</v>
      </c>
      <c r="G202" t="s">
        <v>74</v>
      </c>
      <c r="H202" t="s">
        <v>20</v>
      </c>
      <c r="I202" t="s">
        <v>112</v>
      </c>
      <c r="J202" t="s">
        <v>1201</v>
      </c>
      <c r="K202" t="s">
        <v>1221</v>
      </c>
      <c r="L202" t="s">
        <v>936</v>
      </c>
      <c r="M202" t="s">
        <v>929</v>
      </c>
      <c r="N202" t="s">
        <v>930</v>
      </c>
      <c r="O202" t="s">
        <v>937</v>
      </c>
      <c r="P202" t="s">
        <v>44</v>
      </c>
      <c r="Q202" t="s">
        <v>45</v>
      </c>
      <c r="R202" t="s">
        <v>1114</v>
      </c>
      <c r="S202" t="s">
        <v>1156</v>
      </c>
      <c r="T202" s="5">
        <v>4</v>
      </c>
      <c r="U202" s="6">
        <v>191.44</v>
      </c>
      <c r="V202" s="6">
        <v>133.72</v>
      </c>
      <c r="W202" s="8">
        <v>0</v>
      </c>
      <c r="X202" s="6">
        <f t="shared" si="15"/>
        <v>765.76</v>
      </c>
      <c r="Y202" s="6">
        <f t="shared" si="16"/>
        <v>534.88</v>
      </c>
      <c r="Z202" s="6">
        <f t="shared" si="17"/>
        <v>230.88</v>
      </c>
      <c r="AA202" t="s">
        <v>679</v>
      </c>
      <c r="AC202" s="5">
        <v>2</v>
      </c>
      <c r="AD202" t="s">
        <v>1136</v>
      </c>
      <c r="AE202" t="str">
        <f t="shared" si="18"/>
        <v>2025-04</v>
      </c>
      <c r="AF202" t="str">
        <f t="shared" si="19"/>
        <v>Q2-2025</v>
      </c>
    </row>
    <row r="203" spans="1:32" x14ac:dyDescent="0.3">
      <c r="A203" t="s">
        <v>1435</v>
      </c>
      <c r="B203" s="5">
        <v>1</v>
      </c>
      <c r="C203" s="4">
        <v>45728</v>
      </c>
      <c r="D203" s="4">
        <v>45728</v>
      </c>
      <c r="E203" t="s">
        <v>422</v>
      </c>
      <c r="F203" t="s">
        <v>423</v>
      </c>
      <c r="G203" t="s">
        <v>74</v>
      </c>
      <c r="H203" t="s">
        <v>20</v>
      </c>
      <c r="I203" t="s">
        <v>71</v>
      </c>
      <c r="J203" t="s">
        <v>1166</v>
      </c>
      <c r="K203" t="s">
        <v>1436</v>
      </c>
      <c r="L203" t="s">
        <v>710</v>
      </c>
      <c r="M203" t="s">
        <v>659</v>
      </c>
      <c r="N203" t="s">
        <v>660</v>
      </c>
      <c r="O203" t="s">
        <v>711</v>
      </c>
      <c r="P203" t="s">
        <v>48</v>
      </c>
      <c r="Q203" t="s">
        <v>49</v>
      </c>
      <c r="R203" t="s">
        <v>1114</v>
      </c>
      <c r="S203" t="s">
        <v>1156</v>
      </c>
      <c r="T203" s="5">
        <v>14</v>
      </c>
      <c r="U203" s="6">
        <v>116.77</v>
      </c>
      <c r="V203" s="6">
        <v>99.94</v>
      </c>
      <c r="W203" s="8">
        <v>0.32829999999999998</v>
      </c>
      <c r="X203" s="6">
        <f t="shared" si="15"/>
        <v>1098.0817259999999</v>
      </c>
      <c r="Y203" s="6">
        <f t="shared" si="16"/>
        <v>1399.1599999999999</v>
      </c>
      <c r="Z203" s="6">
        <f t="shared" si="17"/>
        <v>-301.07827399999996</v>
      </c>
      <c r="AA203" t="s">
        <v>679</v>
      </c>
      <c r="AC203" s="5">
        <v>2</v>
      </c>
      <c r="AD203" t="s">
        <v>1123</v>
      </c>
      <c r="AE203" t="str">
        <f t="shared" si="18"/>
        <v>2025-03</v>
      </c>
      <c r="AF203" t="str">
        <f t="shared" si="19"/>
        <v>Q1-2025</v>
      </c>
    </row>
    <row r="204" spans="1:32" x14ac:dyDescent="0.3">
      <c r="A204" t="s">
        <v>1437</v>
      </c>
      <c r="B204" s="5">
        <v>4</v>
      </c>
      <c r="C204" s="4">
        <v>45966</v>
      </c>
      <c r="D204" s="4">
        <v>45971</v>
      </c>
      <c r="E204" t="s">
        <v>297</v>
      </c>
      <c r="F204" t="s">
        <v>298</v>
      </c>
      <c r="G204" t="s">
        <v>80</v>
      </c>
      <c r="H204" t="s">
        <v>41</v>
      </c>
      <c r="I204" t="s">
        <v>86</v>
      </c>
      <c r="J204" t="s">
        <v>1086</v>
      </c>
      <c r="K204" t="s">
        <v>1175</v>
      </c>
      <c r="L204" t="s">
        <v>808</v>
      </c>
      <c r="M204" t="s">
        <v>795</v>
      </c>
      <c r="N204" t="s">
        <v>796</v>
      </c>
      <c r="O204" t="s">
        <v>809</v>
      </c>
      <c r="P204" t="s">
        <v>44</v>
      </c>
      <c r="Q204" t="s">
        <v>45</v>
      </c>
      <c r="R204" t="s">
        <v>1114</v>
      </c>
      <c r="S204" t="s">
        <v>1109</v>
      </c>
      <c r="T204" s="5">
        <v>27</v>
      </c>
      <c r="U204" s="6">
        <v>159.28</v>
      </c>
      <c r="V204" s="6">
        <v>94.12</v>
      </c>
      <c r="W204" s="8">
        <v>0</v>
      </c>
      <c r="X204" s="6">
        <f t="shared" si="15"/>
        <v>4300.5600000000004</v>
      </c>
      <c r="Y204" s="6">
        <f t="shared" si="16"/>
        <v>2541.2400000000002</v>
      </c>
      <c r="Z204" s="6">
        <f t="shared" si="17"/>
        <v>1759.3200000000002</v>
      </c>
      <c r="AA204" t="s">
        <v>679</v>
      </c>
      <c r="AC204" s="5">
        <v>3</v>
      </c>
      <c r="AD204" t="s">
        <v>1105</v>
      </c>
      <c r="AE204" t="str">
        <f t="shared" si="18"/>
        <v>2025-11</v>
      </c>
      <c r="AF204" t="str">
        <f t="shared" si="19"/>
        <v>Q4-2025</v>
      </c>
    </row>
    <row r="205" spans="1:32" x14ac:dyDescent="0.3">
      <c r="A205" t="s">
        <v>1438</v>
      </c>
      <c r="B205" s="5">
        <v>2</v>
      </c>
      <c r="C205" s="4">
        <v>45637</v>
      </c>
      <c r="D205" s="4">
        <v>45639</v>
      </c>
      <c r="E205" t="s">
        <v>403</v>
      </c>
      <c r="F205" t="s">
        <v>404</v>
      </c>
      <c r="G205" t="s">
        <v>84</v>
      </c>
      <c r="H205" t="s">
        <v>41</v>
      </c>
      <c r="I205" t="s">
        <v>86</v>
      </c>
      <c r="J205" t="s">
        <v>1107</v>
      </c>
      <c r="K205" t="s">
        <v>1439</v>
      </c>
      <c r="L205" t="s">
        <v>981</v>
      </c>
      <c r="M205" t="s">
        <v>929</v>
      </c>
      <c r="N205" t="s">
        <v>971</v>
      </c>
      <c r="O205" t="s">
        <v>982</v>
      </c>
      <c r="P205" t="s">
        <v>53</v>
      </c>
      <c r="Q205" t="s">
        <v>54</v>
      </c>
      <c r="R205" t="s">
        <v>1094</v>
      </c>
      <c r="S205" t="s">
        <v>1095</v>
      </c>
      <c r="T205" s="5">
        <v>19</v>
      </c>
      <c r="U205" s="6">
        <v>106.91</v>
      </c>
      <c r="V205" s="6">
        <v>77.88</v>
      </c>
      <c r="W205" s="8">
        <v>0</v>
      </c>
      <c r="X205" s="6">
        <f t="shared" si="15"/>
        <v>2031.29</v>
      </c>
      <c r="Y205" s="6">
        <f t="shared" si="16"/>
        <v>1479.7199999999998</v>
      </c>
      <c r="Z205" s="6">
        <f t="shared" si="17"/>
        <v>551.57000000000016</v>
      </c>
      <c r="AA205" t="s">
        <v>679</v>
      </c>
      <c r="AC205" s="5"/>
      <c r="AD205" t="s">
        <v>1148</v>
      </c>
      <c r="AE205" t="str">
        <f t="shared" si="18"/>
        <v>2024-12</v>
      </c>
      <c r="AF205" t="str">
        <f t="shared" si="19"/>
        <v>Q4-2024</v>
      </c>
    </row>
    <row r="206" spans="1:32" x14ac:dyDescent="0.3">
      <c r="A206" t="s">
        <v>1440</v>
      </c>
      <c r="B206" s="5">
        <v>4</v>
      </c>
      <c r="C206" s="4">
        <v>45600</v>
      </c>
      <c r="D206" s="4">
        <v>45603</v>
      </c>
      <c r="E206" t="s">
        <v>289</v>
      </c>
      <c r="F206" t="s">
        <v>290</v>
      </c>
      <c r="G206" t="s">
        <v>84</v>
      </c>
      <c r="H206" t="s">
        <v>23</v>
      </c>
      <c r="I206" t="s">
        <v>93</v>
      </c>
      <c r="J206" t="s">
        <v>1294</v>
      </c>
      <c r="K206" t="s">
        <v>1373</v>
      </c>
      <c r="L206" t="s">
        <v>1052</v>
      </c>
      <c r="M206" t="s">
        <v>1002</v>
      </c>
      <c r="N206" t="s">
        <v>1034</v>
      </c>
      <c r="O206" t="s">
        <v>1053</v>
      </c>
      <c r="P206" t="s">
        <v>53</v>
      </c>
      <c r="Q206" t="s">
        <v>54</v>
      </c>
      <c r="R206" t="s">
        <v>1088</v>
      </c>
      <c r="S206" t="s">
        <v>1109</v>
      </c>
      <c r="T206" s="5">
        <v>19</v>
      </c>
      <c r="U206" s="6">
        <v>132.54</v>
      </c>
      <c r="V206" s="6">
        <v>81.599999999999994</v>
      </c>
      <c r="W206" s="8">
        <v>0</v>
      </c>
      <c r="X206" s="6">
        <f t="shared" si="15"/>
        <v>2518.2599999999998</v>
      </c>
      <c r="Y206" s="6">
        <f t="shared" si="16"/>
        <v>1550.3999999999999</v>
      </c>
      <c r="Z206" s="6">
        <f t="shared" si="17"/>
        <v>967.8599999999999</v>
      </c>
      <c r="AA206" t="s">
        <v>679</v>
      </c>
      <c r="AC206" s="5"/>
      <c r="AD206" t="s">
        <v>1136</v>
      </c>
      <c r="AE206" t="str">
        <f t="shared" si="18"/>
        <v>2024-11</v>
      </c>
      <c r="AF206" t="str">
        <f t="shared" si="19"/>
        <v>Q4-2024</v>
      </c>
    </row>
    <row r="207" spans="1:32" x14ac:dyDescent="0.3">
      <c r="A207" t="s">
        <v>1441</v>
      </c>
      <c r="B207" s="5">
        <v>1</v>
      </c>
      <c r="C207" s="4">
        <v>45977</v>
      </c>
      <c r="D207" s="4">
        <v>45980</v>
      </c>
      <c r="E207" t="s">
        <v>307</v>
      </c>
      <c r="F207" t="s">
        <v>308</v>
      </c>
      <c r="G207" t="s">
        <v>74</v>
      </c>
      <c r="H207" t="s">
        <v>41</v>
      </c>
      <c r="I207" t="s">
        <v>75</v>
      </c>
      <c r="J207" t="s">
        <v>1142</v>
      </c>
      <c r="K207" t="s">
        <v>1198</v>
      </c>
      <c r="L207" t="s">
        <v>993</v>
      </c>
      <c r="M207" t="s">
        <v>929</v>
      </c>
      <c r="N207" t="s">
        <v>971</v>
      </c>
      <c r="O207" t="s">
        <v>994</v>
      </c>
      <c r="P207" t="s">
        <v>17</v>
      </c>
      <c r="Q207" t="s">
        <v>18</v>
      </c>
      <c r="R207" t="s">
        <v>1088</v>
      </c>
      <c r="S207" t="s">
        <v>1095</v>
      </c>
      <c r="T207" s="5">
        <v>4</v>
      </c>
      <c r="U207" s="6">
        <v>295.31</v>
      </c>
      <c r="V207" s="6">
        <v>157.38</v>
      </c>
      <c r="W207" s="8">
        <v>0.1875</v>
      </c>
      <c r="X207" s="6">
        <f t="shared" si="15"/>
        <v>959.75750000000005</v>
      </c>
      <c r="Y207" s="6">
        <f t="shared" si="16"/>
        <v>629.52</v>
      </c>
      <c r="Z207" s="6">
        <f t="shared" si="17"/>
        <v>330.23750000000007</v>
      </c>
      <c r="AA207" t="s">
        <v>679</v>
      </c>
      <c r="AC207" s="5"/>
      <c r="AD207" t="s">
        <v>1349</v>
      </c>
      <c r="AE207" t="str">
        <f t="shared" si="18"/>
        <v>2025-11</v>
      </c>
      <c r="AF207" t="str">
        <f t="shared" si="19"/>
        <v>Q4-2025</v>
      </c>
    </row>
    <row r="208" spans="1:32" x14ac:dyDescent="0.3">
      <c r="A208" t="s">
        <v>1442</v>
      </c>
      <c r="B208" s="5">
        <v>3</v>
      </c>
      <c r="C208" s="4">
        <v>45589</v>
      </c>
      <c r="D208" s="4">
        <v>45598</v>
      </c>
      <c r="E208" t="s">
        <v>287</v>
      </c>
      <c r="F208" t="s">
        <v>288</v>
      </c>
      <c r="G208" t="s">
        <v>104</v>
      </c>
      <c r="H208" t="s">
        <v>31</v>
      </c>
      <c r="I208" t="s">
        <v>127</v>
      </c>
      <c r="J208" t="s">
        <v>1116</v>
      </c>
      <c r="K208" t="s">
        <v>1117</v>
      </c>
      <c r="L208" t="s">
        <v>869</v>
      </c>
      <c r="M208" t="s">
        <v>795</v>
      </c>
      <c r="N208" t="s">
        <v>837</v>
      </c>
      <c r="O208" t="s">
        <v>870</v>
      </c>
      <c r="P208" t="s">
        <v>34</v>
      </c>
      <c r="Q208" t="s">
        <v>35</v>
      </c>
      <c r="R208" t="s">
        <v>1088</v>
      </c>
      <c r="S208" t="s">
        <v>1095</v>
      </c>
      <c r="T208" s="5">
        <v>14</v>
      </c>
      <c r="U208" s="6">
        <v>157.54</v>
      </c>
      <c r="V208" s="6">
        <v>107.53</v>
      </c>
      <c r="W208" s="8"/>
      <c r="X208" s="6">
        <f t="shared" si="15"/>
        <v>2205.56</v>
      </c>
      <c r="Y208" s="6">
        <f t="shared" si="16"/>
        <v>1505.42</v>
      </c>
      <c r="Z208" s="6">
        <f t="shared" si="17"/>
        <v>700.13999999999987</v>
      </c>
      <c r="AA208" t="s">
        <v>679</v>
      </c>
      <c r="AC208" s="5"/>
      <c r="AD208" t="s">
        <v>1123</v>
      </c>
      <c r="AE208" t="str">
        <f t="shared" si="18"/>
        <v>2024-10</v>
      </c>
      <c r="AF208" t="str">
        <f t="shared" si="19"/>
        <v>Q4-2024</v>
      </c>
    </row>
    <row r="209" spans="1:32" x14ac:dyDescent="0.3">
      <c r="A209" t="s">
        <v>1443</v>
      </c>
      <c r="B209" s="5">
        <v>5</v>
      </c>
      <c r="C209" s="4">
        <v>45847</v>
      </c>
      <c r="D209" s="4">
        <v>45849</v>
      </c>
      <c r="E209" t="s">
        <v>259</v>
      </c>
      <c r="F209" t="s">
        <v>260</v>
      </c>
      <c r="G209" t="s">
        <v>74</v>
      </c>
      <c r="H209" t="s">
        <v>31</v>
      </c>
      <c r="I209" t="s">
        <v>127</v>
      </c>
      <c r="J209" t="s">
        <v>1098</v>
      </c>
      <c r="K209" t="s">
        <v>1099</v>
      </c>
      <c r="L209" t="s">
        <v>900</v>
      </c>
      <c r="M209" t="s">
        <v>795</v>
      </c>
      <c r="N209" t="s">
        <v>898</v>
      </c>
      <c r="O209" t="s">
        <v>901</v>
      </c>
      <c r="P209" t="s">
        <v>29</v>
      </c>
      <c r="Q209" t="s">
        <v>30</v>
      </c>
      <c r="R209" t="s">
        <v>1088</v>
      </c>
      <c r="S209" t="s">
        <v>1156</v>
      </c>
      <c r="T209" s="5">
        <v>3</v>
      </c>
      <c r="U209" s="6">
        <v>194.41</v>
      </c>
      <c r="V209" s="6">
        <v>103.83</v>
      </c>
      <c r="W209" s="8">
        <v>0</v>
      </c>
      <c r="X209" s="6">
        <f t="shared" si="15"/>
        <v>583.23</v>
      </c>
      <c r="Y209" s="6">
        <f t="shared" si="16"/>
        <v>311.49</v>
      </c>
      <c r="Z209" s="6">
        <f t="shared" si="17"/>
        <v>271.74</v>
      </c>
      <c r="AA209" t="s">
        <v>679</v>
      </c>
      <c r="AC209" s="5">
        <v>4</v>
      </c>
      <c r="AD209" t="s">
        <v>1136</v>
      </c>
      <c r="AE209" t="str">
        <f t="shared" si="18"/>
        <v>2025-07</v>
      </c>
      <c r="AF209" t="str">
        <f t="shared" si="19"/>
        <v>Q3-2025</v>
      </c>
    </row>
    <row r="210" spans="1:32" x14ac:dyDescent="0.3">
      <c r="A210" t="s">
        <v>1444</v>
      </c>
      <c r="B210" s="5">
        <v>5</v>
      </c>
      <c r="C210" s="4">
        <v>45369</v>
      </c>
      <c r="D210" s="4">
        <v>45375</v>
      </c>
      <c r="E210" t="s">
        <v>209</v>
      </c>
      <c r="F210" t="s">
        <v>210</v>
      </c>
      <c r="G210" t="s">
        <v>65</v>
      </c>
      <c r="H210" t="s">
        <v>41</v>
      </c>
      <c r="I210" t="s">
        <v>86</v>
      </c>
      <c r="J210" t="s">
        <v>1086</v>
      </c>
      <c r="K210" t="s">
        <v>1087</v>
      </c>
      <c r="L210" t="s">
        <v>794</v>
      </c>
      <c r="M210" t="s">
        <v>795</v>
      </c>
      <c r="N210" t="s">
        <v>796</v>
      </c>
      <c r="O210" t="s">
        <v>797</v>
      </c>
      <c r="P210" t="s">
        <v>48</v>
      </c>
      <c r="Q210" t="s">
        <v>49</v>
      </c>
      <c r="R210" t="s">
        <v>126</v>
      </c>
      <c r="S210" t="s">
        <v>1156</v>
      </c>
      <c r="T210" s="5">
        <v>14</v>
      </c>
      <c r="U210" s="6">
        <v>77.650000000000006</v>
      </c>
      <c r="V210" s="6">
        <v>51.47</v>
      </c>
      <c r="W210" s="8">
        <v>0.24979999999999999</v>
      </c>
      <c r="X210" s="6">
        <f t="shared" si="15"/>
        <v>815.54242000000011</v>
      </c>
      <c r="Y210" s="6">
        <f t="shared" si="16"/>
        <v>720.57999999999993</v>
      </c>
      <c r="Z210" s="6">
        <f t="shared" si="17"/>
        <v>94.962420000000179</v>
      </c>
      <c r="AA210" t="s">
        <v>679</v>
      </c>
      <c r="AC210" s="5">
        <v>2</v>
      </c>
      <c r="AD210" t="s">
        <v>1445</v>
      </c>
      <c r="AE210" t="str">
        <f t="shared" si="18"/>
        <v>2024-03</v>
      </c>
      <c r="AF210" t="str">
        <f t="shared" si="19"/>
        <v>Q1-2024</v>
      </c>
    </row>
    <row r="211" spans="1:32" x14ac:dyDescent="0.3">
      <c r="A211" t="s">
        <v>1446</v>
      </c>
      <c r="B211" s="5">
        <v>1</v>
      </c>
      <c r="C211" s="4">
        <v>46011</v>
      </c>
      <c r="D211" s="4">
        <v>46021</v>
      </c>
      <c r="E211" t="s">
        <v>346</v>
      </c>
      <c r="F211" t="s">
        <v>347</v>
      </c>
      <c r="G211" t="s">
        <v>74</v>
      </c>
      <c r="H211" t="s">
        <v>41</v>
      </c>
      <c r="I211" t="s">
        <v>86</v>
      </c>
      <c r="J211" t="s">
        <v>1107</v>
      </c>
      <c r="K211" t="s">
        <v>1439</v>
      </c>
      <c r="L211" t="s">
        <v>979</v>
      </c>
      <c r="M211" t="s">
        <v>929</v>
      </c>
      <c r="N211" t="s">
        <v>971</v>
      </c>
      <c r="O211" t="s">
        <v>980</v>
      </c>
      <c r="P211" t="s">
        <v>42</v>
      </c>
      <c r="Q211" t="s">
        <v>43</v>
      </c>
      <c r="R211" t="s">
        <v>126</v>
      </c>
      <c r="S211" t="s">
        <v>1089</v>
      </c>
      <c r="T211" s="5">
        <v>1</v>
      </c>
      <c r="U211" s="6">
        <v>300.76</v>
      </c>
      <c r="V211" s="6">
        <v>158.03</v>
      </c>
      <c r="W211" s="8">
        <v>0</v>
      </c>
      <c r="X211" s="6">
        <f t="shared" si="15"/>
        <v>300.76</v>
      </c>
      <c r="Y211" s="6">
        <f t="shared" si="16"/>
        <v>158.03</v>
      </c>
      <c r="Z211" s="6">
        <f t="shared" si="17"/>
        <v>142.72999999999999</v>
      </c>
      <c r="AA211" t="s">
        <v>679</v>
      </c>
      <c r="AC211" s="5">
        <v>4</v>
      </c>
      <c r="AD211" t="s">
        <v>1110</v>
      </c>
      <c r="AE211" t="str">
        <f t="shared" si="18"/>
        <v>2025-12</v>
      </c>
      <c r="AF211" t="str">
        <f t="shared" si="19"/>
        <v>Q4-2025</v>
      </c>
    </row>
    <row r="212" spans="1:32" x14ac:dyDescent="0.3">
      <c r="A212" t="s">
        <v>1447</v>
      </c>
      <c r="B212" s="5">
        <v>3</v>
      </c>
      <c r="C212" s="4">
        <v>45809</v>
      </c>
      <c r="D212" s="4">
        <v>45817</v>
      </c>
      <c r="E212" t="s">
        <v>465</v>
      </c>
      <c r="F212" t="s">
        <v>466</v>
      </c>
      <c r="G212" t="s">
        <v>65</v>
      </c>
      <c r="H212" t="s">
        <v>31</v>
      </c>
      <c r="I212" t="s">
        <v>160</v>
      </c>
      <c r="J212" t="s">
        <v>1092</v>
      </c>
      <c r="K212" t="s">
        <v>1150</v>
      </c>
      <c r="L212" t="s">
        <v>706</v>
      </c>
      <c r="M212" t="s">
        <v>659</v>
      </c>
      <c r="N212" t="s">
        <v>660</v>
      </c>
      <c r="O212" t="s">
        <v>707</v>
      </c>
      <c r="P212" t="s">
        <v>21</v>
      </c>
      <c r="Q212" t="s">
        <v>22</v>
      </c>
      <c r="R212" t="s">
        <v>1114</v>
      </c>
      <c r="S212" t="s">
        <v>1089</v>
      </c>
      <c r="T212" s="5">
        <v>9</v>
      </c>
      <c r="U212" s="6">
        <v>66.66</v>
      </c>
      <c r="V212" s="6">
        <v>51.44</v>
      </c>
      <c r="W212" s="8">
        <v>0.32690000000000002</v>
      </c>
      <c r="X212" s="6">
        <f t="shared" si="15"/>
        <v>403.819614</v>
      </c>
      <c r="Y212" s="6">
        <f t="shared" si="16"/>
        <v>462.96</v>
      </c>
      <c r="Z212" s="6">
        <f t="shared" si="17"/>
        <v>-59.140385999999978</v>
      </c>
      <c r="AA212" t="s">
        <v>662</v>
      </c>
      <c r="AB212" t="s">
        <v>1414</v>
      </c>
      <c r="AC212" s="5"/>
      <c r="AD212" t="s">
        <v>1090</v>
      </c>
      <c r="AE212" t="str">
        <f t="shared" si="18"/>
        <v>2025-06</v>
      </c>
      <c r="AF212" t="str">
        <f t="shared" si="19"/>
        <v>Q2-2025</v>
      </c>
    </row>
    <row r="213" spans="1:32" x14ac:dyDescent="0.3">
      <c r="A213" t="s">
        <v>1448</v>
      </c>
      <c r="B213" s="5">
        <v>4</v>
      </c>
      <c r="C213" s="4">
        <v>45834</v>
      </c>
      <c r="D213" s="4">
        <v>45840</v>
      </c>
      <c r="E213" t="s">
        <v>511</v>
      </c>
      <c r="F213" t="s">
        <v>77</v>
      </c>
      <c r="G213" t="s">
        <v>65</v>
      </c>
      <c r="H213" t="s">
        <v>20</v>
      </c>
      <c r="I213" t="s">
        <v>90</v>
      </c>
      <c r="J213" t="s">
        <v>1262</v>
      </c>
      <c r="K213" t="s">
        <v>1274</v>
      </c>
      <c r="L213" t="s">
        <v>1033</v>
      </c>
      <c r="M213" t="s">
        <v>1002</v>
      </c>
      <c r="N213" t="s">
        <v>1034</v>
      </c>
      <c r="O213" t="s">
        <v>1035</v>
      </c>
      <c r="P213" t="s">
        <v>24</v>
      </c>
      <c r="Q213" t="s">
        <v>25</v>
      </c>
      <c r="R213" t="s">
        <v>1088</v>
      </c>
      <c r="S213" t="s">
        <v>1109</v>
      </c>
      <c r="T213" s="5">
        <v>2</v>
      </c>
      <c r="U213" s="6">
        <v>184.24</v>
      </c>
      <c r="V213" s="6">
        <v>113.68</v>
      </c>
      <c r="W213" s="8">
        <v>0</v>
      </c>
      <c r="X213" s="6">
        <f t="shared" si="15"/>
        <v>368.48</v>
      </c>
      <c r="Y213" s="6">
        <f t="shared" si="16"/>
        <v>227.36</v>
      </c>
      <c r="Z213" s="6">
        <f t="shared" si="17"/>
        <v>141.12</v>
      </c>
      <c r="AA213" t="s">
        <v>679</v>
      </c>
      <c r="AC213" s="5">
        <v>3</v>
      </c>
      <c r="AD213" t="s">
        <v>1123</v>
      </c>
      <c r="AE213" t="str">
        <f t="shared" si="18"/>
        <v>2025-06</v>
      </c>
      <c r="AF213" t="str">
        <f t="shared" si="19"/>
        <v>Q2-2025</v>
      </c>
    </row>
    <row r="214" spans="1:32" x14ac:dyDescent="0.3">
      <c r="A214" t="s">
        <v>1449</v>
      </c>
      <c r="B214" s="5">
        <v>3</v>
      </c>
      <c r="C214" s="4">
        <v>45327</v>
      </c>
      <c r="D214" s="4">
        <v>45336</v>
      </c>
      <c r="E214" t="s">
        <v>561</v>
      </c>
      <c r="F214" t="s">
        <v>562</v>
      </c>
      <c r="G214" t="s">
        <v>74</v>
      </c>
      <c r="H214" t="s">
        <v>23</v>
      </c>
      <c r="I214" t="s">
        <v>93</v>
      </c>
      <c r="J214" t="s">
        <v>1450</v>
      </c>
      <c r="K214" t="s">
        <v>1451</v>
      </c>
      <c r="L214" t="s">
        <v>1058</v>
      </c>
      <c r="M214" t="s">
        <v>1002</v>
      </c>
      <c r="N214" t="s">
        <v>1034</v>
      </c>
      <c r="O214" t="s">
        <v>1059</v>
      </c>
      <c r="P214" t="s">
        <v>17</v>
      </c>
      <c r="Q214" t="s">
        <v>18</v>
      </c>
      <c r="R214" t="s">
        <v>1114</v>
      </c>
      <c r="S214" t="s">
        <v>1089</v>
      </c>
      <c r="T214" s="5">
        <v>2</v>
      </c>
      <c r="U214" s="6">
        <v>214.61</v>
      </c>
      <c r="V214" s="6">
        <v>102.47</v>
      </c>
      <c r="W214" s="8">
        <v>0</v>
      </c>
      <c r="X214" s="6">
        <f t="shared" si="15"/>
        <v>429.22</v>
      </c>
      <c r="Y214" s="6">
        <f t="shared" si="16"/>
        <v>204.94</v>
      </c>
      <c r="Z214" s="6">
        <f t="shared" si="17"/>
        <v>224.28000000000003</v>
      </c>
      <c r="AA214" t="s">
        <v>679</v>
      </c>
      <c r="AC214" s="5">
        <v>3</v>
      </c>
      <c r="AD214" t="s">
        <v>1096</v>
      </c>
      <c r="AE214" t="str">
        <f t="shared" si="18"/>
        <v>2024-02</v>
      </c>
      <c r="AF214" t="str">
        <f t="shared" si="19"/>
        <v>Q1-2024</v>
      </c>
    </row>
    <row r="215" spans="1:32" x14ac:dyDescent="0.3">
      <c r="A215" t="s">
        <v>1452</v>
      </c>
      <c r="B215" s="5">
        <v>3</v>
      </c>
      <c r="C215" s="4">
        <v>45619</v>
      </c>
      <c r="D215" s="4">
        <v>45632</v>
      </c>
      <c r="E215" t="s">
        <v>445</v>
      </c>
      <c r="F215" t="s">
        <v>446</v>
      </c>
      <c r="G215" t="s">
        <v>84</v>
      </c>
      <c r="H215" t="s">
        <v>41</v>
      </c>
      <c r="I215" t="s">
        <v>75</v>
      </c>
      <c r="J215" t="s">
        <v>1142</v>
      </c>
      <c r="K215" t="s">
        <v>1198</v>
      </c>
      <c r="L215" t="s">
        <v>834</v>
      </c>
      <c r="M215" t="s">
        <v>795</v>
      </c>
      <c r="N215" t="s">
        <v>796</v>
      </c>
      <c r="O215" t="s">
        <v>835</v>
      </c>
      <c r="P215" t="s">
        <v>48</v>
      </c>
      <c r="Q215" t="s">
        <v>49</v>
      </c>
      <c r="R215" t="s">
        <v>1088</v>
      </c>
      <c r="S215" t="s">
        <v>1095</v>
      </c>
      <c r="T215" s="5">
        <v>22</v>
      </c>
      <c r="U215" s="6">
        <v>269.95999999999998</v>
      </c>
      <c r="V215" s="6">
        <v>141.69999999999999</v>
      </c>
      <c r="W215" s="8">
        <v>0</v>
      </c>
      <c r="X215" s="6">
        <f t="shared" si="15"/>
        <v>5939.12</v>
      </c>
      <c r="Y215" s="6">
        <f t="shared" si="16"/>
        <v>3117.3999999999996</v>
      </c>
      <c r="Z215" s="6">
        <f t="shared" si="17"/>
        <v>2821.7200000000003</v>
      </c>
      <c r="AA215" t="s">
        <v>679</v>
      </c>
      <c r="AC215" s="5">
        <v>2</v>
      </c>
      <c r="AD215" t="s">
        <v>1136</v>
      </c>
      <c r="AE215" t="str">
        <f t="shared" si="18"/>
        <v>2024-11</v>
      </c>
      <c r="AF215" t="str">
        <f t="shared" si="19"/>
        <v>Q4-2024</v>
      </c>
    </row>
    <row r="216" spans="1:32" x14ac:dyDescent="0.3">
      <c r="A216" t="s">
        <v>1453</v>
      </c>
      <c r="B216" s="5">
        <v>4</v>
      </c>
      <c r="C216" s="4">
        <v>45824</v>
      </c>
      <c r="D216" s="4">
        <v>45830</v>
      </c>
      <c r="E216" t="s">
        <v>68</v>
      </c>
      <c r="F216" t="s">
        <v>69</v>
      </c>
      <c r="G216" t="s">
        <v>65</v>
      </c>
      <c r="H216" t="s">
        <v>31</v>
      </c>
      <c r="I216" t="s">
        <v>67</v>
      </c>
      <c r="J216" t="s">
        <v>1207</v>
      </c>
      <c r="K216" t="s">
        <v>1208</v>
      </c>
      <c r="L216" t="s">
        <v>684</v>
      </c>
      <c r="M216" t="s">
        <v>659</v>
      </c>
      <c r="N216" t="s">
        <v>660</v>
      </c>
      <c r="O216" t="s">
        <v>685</v>
      </c>
      <c r="P216" t="s">
        <v>48</v>
      </c>
      <c r="Q216" t="s">
        <v>49</v>
      </c>
      <c r="R216" t="s">
        <v>1114</v>
      </c>
      <c r="S216" t="s">
        <v>1156</v>
      </c>
      <c r="T216" s="5">
        <v>7</v>
      </c>
      <c r="U216" s="6">
        <v>58.07</v>
      </c>
      <c r="V216" s="6">
        <v>32.08</v>
      </c>
      <c r="W216" s="8">
        <v>0</v>
      </c>
      <c r="X216" s="6">
        <f t="shared" si="15"/>
        <v>406.49</v>
      </c>
      <c r="Y216" s="6">
        <f t="shared" si="16"/>
        <v>224.56</v>
      </c>
      <c r="Z216" s="6">
        <f t="shared" si="17"/>
        <v>181.93</v>
      </c>
      <c r="AA216" t="s">
        <v>679</v>
      </c>
      <c r="AC216" s="5">
        <v>4</v>
      </c>
      <c r="AD216" t="s">
        <v>1123</v>
      </c>
      <c r="AE216" t="str">
        <f t="shared" si="18"/>
        <v>2025-06</v>
      </c>
      <c r="AF216" t="str">
        <f t="shared" si="19"/>
        <v>Q2-2025</v>
      </c>
    </row>
    <row r="217" spans="1:32" x14ac:dyDescent="0.3">
      <c r="A217" t="s">
        <v>1454</v>
      </c>
      <c r="B217" s="5">
        <v>2</v>
      </c>
      <c r="C217" s="4">
        <v>46026</v>
      </c>
      <c r="D217" s="4">
        <v>46028</v>
      </c>
      <c r="E217" t="s">
        <v>636</v>
      </c>
      <c r="F217" t="s">
        <v>236</v>
      </c>
      <c r="G217" t="s">
        <v>74</v>
      </c>
      <c r="H217" t="s">
        <v>23</v>
      </c>
      <c r="I217" t="s">
        <v>93</v>
      </c>
      <c r="J217" t="s">
        <v>1192</v>
      </c>
      <c r="K217" t="s">
        <v>1227</v>
      </c>
      <c r="L217" t="s">
        <v>820</v>
      </c>
      <c r="M217" t="s">
        <v>795</v>
      </c>
      <c r="N217" t="s">
        <v>796</v>
      </c>
      <c r="O217" t="s">
        <v>821</v>
      </c>
      <c r="P217" t="s">
        <v>50</v>
      </c>
      <c r="Q217" t="s">
        <v>51</v>
      </c>
      <c r="R217" t="s">
        <v>1114</v>
      </c>
      <c r="S217" t="s">
        <v>1156</v>
      </c>
      <c r="T217" s="5">
        <v>12</v>
      </c>
      <c r="U217" s="6">
        <v>102.89</v>
      </c>
      <c r="V217" s="6">
        <v>67.19</v>
      </c>
      <c r="W217" s="8">
        <v>0</v>
      </c>
      <c r="X217" s="6">
        <f t="shared" si="15"/>
        <v>1234.68</v>
      </c>
      <c r="Y217" s="6">
        <f t="shared" si="16"/>
        <v>806.28</v>
      </c>
      <c r="Z217" s="6">
        <f t="shared" si="17"/>
        <v>428.40000000000009</v>
      </c>
      <c r="AA217" t="s">
        <v>679</v>
      </c>
      <c r="AC217" s="5">
        <v>1</v>
      </c>
      <c r="AD217" t="s">
        <v>1110</v>
      </c>
      <c r="AE217" t="str">
        <f t="shared" si="18"/>
        <v>2026-01</v>
      </c>
      <c r="AF217" t="str">
        <f t="shared" si="19"/>
        <v>Q1-2026</v>
      </c>
    </row>
    <row r="218" spans="1:32" x14ac:dyDescent="0.3">
      <c r="A218" t="s">
        <v>1455</v>
      </c>
      <c r="B218" s="5">
        <v>4</v>
      </c>
      <c r="C218" s="4">
        <v>45584</v>
      </c>
      <c r="D218" s="4">
        <v>45587</v>
      </c>
      <c r="E218" t="s">
        <v>553</v>
      </c>
      <c r="F218" t="s">
        <v>495</v>
      </c>
      <c r="G218" t="s">
        <v>74</v>
      </c>
      <c r="H218" t="s">
        <v>23</v>
      </c>
      <c r="I218" t="s">
        <v>81</v>
      </c>
      <c r="J218" t="s">
        <v>1119</v>
      </c>
      <c r="K218" t="s">
        <v>1291</v>
      </c>
      <c r="L218" t="s">
        <v>995</v>
      </c>
      <c r="M218" t="s">
        <v>929</v>
      </c>
      <c r="N218" t="s">
        <v>971</v>
      </c>
      <c r="O218" t="s">
        <v>996</v>
      </c>
      <c r="P218" t="s">
        <v>46</v>
      </c>
      <c r="Q218" t="s">
        <v>47</v>
      </c>
      <c r="R218" t="s">
        <v>1094</v>
      </c>
      <c r="S218" t="s">
        <v>1089</v>
      </c>
      <c r="T218" s="5">
        <v>9</v>
      </c>
      <c r="U218" s="6">
        <v>264.36</v>
      </c>
      <c r="V218" s="6">
        <v>139.47</v>
      </c>
      <c r="W218" s="8">
        <v>0</v>
      </c>
      <c r="X218" s="6">
        <f t="shared" si="15"/>
        <v>2379.2400000000002</v>
      </c>
      <c r="Y218" s="6">
        <f t="shared" si="16"/>
        <v>1255.23</v>
      </c>
      <c r="Z218" s="6">
        <f t="shared" si="17"/>
        <v>1124.0100000000002</v>
      </c>
      <c r="AA218" t="s">
        <v>679</v>
      </c>
      <c r="AC218" s="5"/>
      <c r="AD218" t="s">
        <v>1105</v>
      </c>
      <c r="AE218" t="str">
        <f t="shared" si="18"/>
        <v>2024-10</v>
      </c>
      <c r="AF218" t="str">
        <f t="shared" si="19"/>
        <v>Q4-2024</v>
      </c>
    </row>
    <row r="219" spans="1:32" x14ac:dyDescent="0.3">
      <c r="A219" t="s">
        <v>1456</v>
      </c>
      <c r="B219" s="5">
        <v>4</v>
      </c>
      <c r="C219" s="4">
        <v>45535</v>
      </c>
      <c r="D219" s="4">
        <v>45538</v>
      </c>
      <c r="E219" t="s">
        <v>375</v>
      </c>
      <c r="F219" t="s">
        <v>376</v>
      </c>
      <c r="G219" t="s">
        <v>65</v>
      </c>
      <c r="H219" t="s">
        <v>23</v>
      </c>
      <c r="I219" t="s">
        <v>93</v>
      </c>
      <c r="J219" t="s">
        <v>1450</v>
      </c>
      <c r="K219" t="s">
        <v>1451</v>
      </c>
      <c r="L219" t="s">
        <v>1052</v>
      </c>
      <c r="M219" t="s">
        <v>1002</v>
      </c>
      <c r="N219" t="s">
        <v>1034</v>
      </c>
      <c r="O219" t="s">
        <v>1053</v>
      </c>
      <c r="P219" t="s">
        <v>42</v>
      </c>
      <c r="Q219" t="s">
        <v>43</v>
      </c>
      <c r="R219" t="s">
        <v>126</v>
      </c>
      <c r="S219" t="s">
        <v>1156</v>
      </c>
      <c r="T219" s="5">
        <v>4</v>
      </c>
      <c r="U219" s="6">
        <v>146.5</v>
      </c>
      <c r="V219" s="6">
        <v>81.599999999999994</v>
      </c>
      <c r="W219" s="8">
        <v>0</v>
      </c>
      <c r="X219" s="6">
        <f t="shared" si="15"/>
        <v>586</v>
      </c>
      <c r="Y219" s="6">
        <f t="shared" si="16"/>
        <v>326.39999999999998</v>
      </c>
      <c r="Z219" s="6">
        <f t="shared" si="17"/>
        <v>259.60000000000002</v>
      </c>
      <c r="AA219" t="s">
        <v>679</v>
      </c>
      <c r="AC219" s="5">
        <v>4</v>
      </c>
      <c r="AD219" t="s">
        <v>1105</v>
      </c>
      <c r="AE219" t="str">
        <f t="shared" si="18"/>
        <v>2024-08</v>
      </c>
      <c r="AF219" t="str">
        <f t="shared" si="19"/>
        <v>Q3-2024</v>
      </c>
    </row>
    <row r="220" spans="1:32" x14ac:dyDescent="0.3">
      <c r="A220" t="s">
        <v>1457</v>
      </c>
      <c r="B220" s="5">
        <v>2</v>
      </c>
      <c r="C220" s="4">
        <v>45829</v>
      </c>
      <c r="D220" s="4">
        <v>45839</v>
      </c>
      <c r="E220" t="s">
        <v>307</v>
      </c>
      <c r="F220" t="s">
        <v>308</v>
      </c>
      <c r="G220" t="s">
        <v>74</v>
      </c>
      <c r="H220" t="s">
        <v>23</v>
      </c>
      <c r="I220" t="s">
        <v>109</v>
      </c>
      <c r="J220" t="s">
        <v>1300</v>
      </c>
      <c r="K220" t="s">
        <v>1360</v>
      </c>
      <c r="L220" t="s">
        <v>902</v>
      </c>
      <c r="M220" t="s">
        <v>795</v>
      </c>
      <c r="N220" t="s">
        <v>898</v>
      </c>
      <c r="O220" t="s">
        <v>903</v>
      </c>
      <c r="P220" t="s">
        <v>32</v>
      </c>
      <c r="Q220" t="s">
        <v>33</v>
      </c>
      <c r="R220" t="s">
        <v>1088</v>
      </c>
      <c r="S220" t="s">
        <v>1100</v>
      </c>
      <c r="T220" s="5">
        <v>36</v>
      </c>
      <c r="U220" s="6">
        <v>8.9499999999999993</v>
      </c>
      <c r="V220" s="6">
        <v>5</v>
      </c>
      <c r="W220" s="8">
        <v>0</v>
      </c>
      <c r="X220" s="6">
        <f t="shared" si="15"/>
        <v>322.2</v>
      </c>
      <c r="Y220" s="6">
        <f t="shared" si="16"/>
        <v>180</v>
      </c>
      <c r="Z220" s="6">
        <f t="shared" si="17"/>
        <v>142.19999999999999</v>
      </c>
      <c r="AA220" t="s">
        <v>679</v>
      </c>
      <c r="AC220" s="5"/>
      <c r="AE220" t="str">
        <f t="shared" si="18"/>
        <v>2025-06</v>
      </c>
      <c r="AF220" t="str">
        <f t="shared" si="19"/>
        <v>Q2-2025</v>
      </c>
    </row>
    <row r="221" spans="1:32" x14ac:dyDescent="0.3">
      <c r="A221" t="s">
        <v>1458</v>
      </c>
      <c r="B221" s="5">
        <v>3</v>
      </c>
      <c r="C221" s="4">
        <v>45811</v>
      </c>
      <c r="D221" s="4">
        <v>45822</v>
      </c>
      <c r="E221" t="s">
        <v>637</v>
      </c>
      <c r="F221" t="s">
        <v>638</v>
      </c>
      <c r="G221" t="s">
        <v>65</v>
      </c>
      <c r="H221" t="s">
        <v>41</v>
      </c>
      <c r="I221" t="s">
        <v>86</v>
      </c>
      <c r="J221" t="s">
        <v>1107</v>
      </c>
      <c r="K221" t="s">
        <v>1230</v>
      </c>
      <c r="L221" t="s">
        <v>1033</v>
      </c>
      <c r="M221" t="s">
        <v>1002</v>
      </c>
      <c r="N221" t="s">
        <v>1034</v>
      </c>
      <c r="O221" t="s">
        <v>1035</v>
      </c>
      <c r="P221" t="s">
        <v>34</v>
      </c>
      <c r="Q221" t="s">
        <v>35</v>
      </c>
      <c r="R221" t="s">
        <v>1088</v>
      </c>
      <c r="S221" t="s">
        <v>1089</v>
      </c>
      <c r="T221" s="5">
        <v>5</v>
      </c>
      <c r="U221" s="6">
        <v>195.87</v>
      </c>
      <c r="V221" s="6">
        <v>113.68</v>
      </c>
      <c r="W221" s="8">
        <v>0</v>
      </c>
      <c r="X221" s="6">
        <f t="shared" si="15"/>
        <v>979.35</v>
      </c>
      <c r="Y221" s="6">
        <f t="shared" si="16"/>
        <v>568.40000000000009</v>
      </c>
      <c r="Z221" s="6">
        <f t="shared" si="17"/>
        <v>410.94999999999993</v>
      </c>
      <c r="AA221" t="s">
        <v>679</v>
      </c>
      <c r="AC221" s="5">
        <v>3</v>
      </c>
      <c r="AD221" t="s">
        <v>1110</v>
      </c>
      <c r="AE221" t="str">
        <f t="shared" si="18"/>
        <v>2025-06</v>
      </c>
      <c r="AF221" t="str">
        <f t="shared" si="19"/>
        <v>Q2-2025</v>
      </c>
    </row>
    <row r="222" spans="1:32" x14ac:dyDescent="0.3">
      <c r="A222" t="s">
        <v>1459</v>
      </c>
      <c r="B222" s="5">
        <v>3</v>
      </c>
      <c r="C222" s="4">
        <v>45729</v>
      </c>
      <c r="D222" s="4">
        <v>45739</v>
      </c>
      <c r="E222" t="s">
        <v>434</v>
      </c>
      <c r="F222" t="s">
        <v>435</v>
      </c>
      <c r="G222" t="s">
        <v>80</v>
      </c>
      <c r="H222" t="s">
        <v>41</v>
      </c>
      <c r="I222" t="s">
        <v>75</v>
      </c>
      <c r="J222" t="s">
        <v>1142</v>
      </c>
      <c r="K222" t="s">
        <v>1143</v>
      </c>
      <c r="L222" t="s">
        <v>1046</v>
      </c>
      <c r="M222" t="s">
        <v>1002</v>
      </c>
      <c r="N222" t="s">
        <v>1034</v>
      </c>
      <c r="O222" t="s">
        <v>1047</v>
      </c>
      <c r="P222" t="s">
        <v>29</v>
      </c>
      <c r="Q222" t="s">
        <v>30</v>
      </c>
      <c r="R222" t="s">
        <v>1088</v>
      </c>
      <c r="S222" t="s">
        <v>1100</v>
      </c>
      <c r="T222" s="5">
        <v>22</v>
      </c>
      <c r="U222" s="6">
        <v>262.45</v>
      </c>
      <c r="V222" s="6">
        <v>153.29</v>
      </c>
      <c r="W222" s="8">
        <v>0</v>
      </c>
      <c r="X222" s="6">
        <f t="shared" si="15"/>
        <v>5773.9</v>
      </c>
      <c r="Y222" s="6">
        <f t="shared" si="16"/>
        <v>3372.3799999999997</v>
      </c>
      <c r="Z222" s="6">
        <f t="shared" si="17"/>
        <v>2401.52</v>
      </c>
      <c r="AA222" t="s">
        <v>679</v>
      </c>
      <c r="AC222" s="5">
        <v>4</v>
      </c>
      <c r="AD222" t="s">
        <v>1110</v>
      </c>
      <c r="AE222" t="str">
        <f t="shared" si="18"/>
        <v>2025-03</v>
      </c>
      <c r="AF222" t="str">
        <f t="shared" si="19"/>
        <v>Q1-2025</v>
      </c>
    </row>
    <row r="223" spans="1:32" x14ac:dyDescent="0.3">
      <c r="A223" t="s">
        <v>1460</v>
      </c>
      <c r="B223" s="5">
        <v>4</v>
      </c>
      <c r="C223" s="4">
        <v>45595</v>
      </c>
      <c r="D223" s="4">
        <v>45609</v>
      </c>
      <c r="E223" t="s">
        <v>303</v>
      </c>
      <c r="F223" t="s">
        <v>304</v>
      </c>
      <c r="G223" t="s">
        <v>74</v>
      </c>
      <c r="H223" t="s">
        <v>20</v>
      </c>
      <c r="I223" t="s">
        <v>71</v>
      </c>
      <c r="J223" t="s">
        <v>1166</v>
      </c>
      <c r="K223" t="s">
        <v>1196</v>
      </c>
      <c r="L223" t="s">
        <v>1044</v>
      </c>
      <c r="M223" t="s">
        <v>1002</v>
      </c>
      <c r="N223" t="s">
        <v>1034</v>
      </c>
      <c r="O223" t="s">
        <v>1045</v>
      </c>
      <c r="P223" t="s">
        <v>50</v>
      </c>
      <c r="Q223" t="s">
        <v>51</v>
      </c>
      <c r="R223" t="s">
        <v>1094</v>
      </c>
      <c r="S223" t="s">
        <v>1156</v>
      </c>
      <c r="T223" s="5">
        <v>36</v>
      </c>
      <c r="U223" s="6">
        <v>326.76</v>
      </c>
      <c r="V223" s="6">
        <v>175.12</v>
      </c>
      <c r="W223" s="8">
        <v>0</v>
      </c>
      <c r="X223" s="6">
        <f t="shared" si="15"/>
        <v>11763.36</v>
      </c>
      <c r="Y223" s="6">
        <f t="shared" si="16"/>
        <v>6304.32</v>
      </c>
      <c r="Z223" s="6">
        <f t="shared" si="17"/>
        <v>5459.0400000000009</v>
      </c>
      <c r="AA223" t="s">
        <v>679</v>
      </c>
      <c r="AC223" s="5"/>
      <c r="AD223" t="s">
        <v>1105</v>
      </c>
      <c r="AE223" t="str">
        <f t="shared" si="18"/>
        <v>2024-10</v>
      </c>
      <c r="AF223" t="str">
        <f t="shared" si="19"/>
        <v>Q4-2024</v>
      </c>
    </row>
    <row r="224" spans="1:32" x14ac:dyDescent="0.3">
      <c r="A224" t="s">
        <v>1461</v>
      </c>
      <c r="B224" s="5">
        <v>4</v>
      </c>
      <c r="C224" s="4">
        <v>45606</v>
      </c>
      <c r="D224" s="4">
        <v>45617</v>
      </c>
      <c r="E224" t="s">
        <v>257</v>
      </c>
      <c r="F224" t="s">
        <v>258</v>
      </c>
      <c r="G224" t="s">
        <v>65</v>
      </c>
      <c r="H224" t="s">
        <v>41</v>
      </c>
      <c r="I224" t="s">
        <v>86</v>
      </c>
      <c r="J224" t="s">
        <v>1107</v>
      </c>
      <c r="K224" t="s">
        <v>1108</v>
      </c>
      <c r="L224" t="s">
        <v>861</v>
      </c>
      <c r="M224" t="s">
        <v>795</v>
      </c>
      <c r="N224" t="s">
        <v>837</v>
      </c>
      <c r="O224" t="s">
        <v>862</v>
      </c>
      <c r="P224" t="s">
        <v>29</v>
      </c>
      <c r="Q224" t="s">
        <v>30</v>
      </c>
      <c r="R224" t="s">
        <v>1114</v>
      </c>
      <c r="S224" t="s">
        <v>1095</v>
      </c>
      <c r="T224" s="5">
        <v>4</v>
      </c>
      <c r="U224" s="6">
        <v>311.49</v>
      </c>
      <c r="V224" s="6">
        <v>195.61</v>
      </c>
      <c r="W224" s="8">
        <v>9.4200000000000006E-2</v>
      </c>
      <c r="X224" s="6">
        <f t="shared" si="15"/>
        <v>1128.5905679999998</v>
      </c>
      <c r="Y224" s="6">
        <f t="shared" si="16"/>
        <v>782.44</v>
      </c>
      <c r="Z224" s="6">
        <f t="shared" si="17"/>
        <v>346.15056799999979</v>
      </c>
      <c r="AA224" t="s">
        <v>679</v>
      </c>
      <c r="AC224" s="5"/>
      <c r="AD224" t="s">
        <v>1412</v>
      </c>
      <c r="AE224" t="str">
        <f t="shared" si="18"/>
        <v>2024-11</v>
      </c>
      <c r="AF224" t="str">
        <f t="shared" si="19"/>
        <v>Q4-2024</v>
      </c>
    </row>
    <row r="225" spans="1:32" x14ac:dyDescent="0.3">
      <c r="A225" t="s">
        <v>1462</v>
      </c>
      <c r="B225" s="5">
        <v>4</v>
      </c>
      <c r="C225" s="4">
        <v>45602</v>
      </c>
      <c r="D225" s="4">
        <v>45611</v>
      </c>
      <c r="E225" t="s">
        <v>410</v>
      </c>
      <c r="F225" t="s">
        <v>411</v>
      </c>
      <c r="G225" t="s">
        <v>74</v>
      </c>
      <c r="H225" t="s">
        <v>23</v>
      </c>
      <c r="I225" t="s">
        <v>81</v>
      </c>
      <c r="J225" t="s">
        <v>1119</v>
      </c>
      <c r="K225" t="s">
        <v>1189</v>
      </c>
      <c r="L225" t="s">
        <v>1031</v>
      </c>
      <c r="M225" t="s">
        <v>1002</v>
      </c>
      <c r="N225" t="s">
        <v>1003</v>
      </c>
      <c r="O225" t="s">
        <v>1032</v>
      </c>
      <c r="P225" t="s">
        <v>17</v>
      </c>
      <c r="Q225" t="s">
        <v>18</v>
      </c>
      <c r="R225" t="s">
        <v>1088</v>
      </c>
      <c r="S225" t="s">
        <v>1089</v>
      </c>
      <c r="T225" s="5">
        <v>29</v>
      </c>
      <c r="U225" s="6">
        <v>284.33</v>
      </c>
      <c r="V225" s="6">
        <v>178.33</v>
      </c>
      <c r="W225" s="8">
        <v>0</v>
      </c>
      <c r="X225" s="6">
        <f t="shared" si="15"/>
        <v>8245.57</v>
      </c>
      <c r="Y225" s="6">
        <f t="shared" si="16"/>
        <v>5171.5700000000006</v>
      </c>
      <c r="Z225" s="6">
        <f t="shared" si="17"/>
        <v>3073.9999999999991</v>
      </c>
      <c r="AA225" t="s">
        <v>679</v>
      </c>
      <c r="AC225" s="5"/>
      <c r="AD225" t="s">
        <v>1214</v>
      </c>
      <c r="AE225" t="str">
        <f t="shared" si="18"/>
        <v>2024-11</v>
      </c>
      <c r="AF225" t="str">
        <f t="shared" si="19"/>
        <v>Q4-2024</v>
      </c>
    </row>
    <row r="226" spans="1:32" x14ac:dyDescent="0.3">
      <c r="A226" t="s">
        <v>1463</v>
      </c>
      <c r="B226" s="5">
        <v>1</v>
      </c>
      <c r="C226" s="4">
        <v>45865</v>
      </c>
      <c r="D226" s="4">
        <v>45872</v>
      </c>
      <c r="E226" t="s">
        <v>207</v>
      </c>
      <c r="F226" t="s">
        <v>208</v>
      </c>
      <c r="G226" t="s">
        <v>65</v>
      </c>
      <c r="H226" t="s">
        <v>23</v>
      </c>
      <c r="I226" t="s">
        <v>93</v>
      </c>
      <c r="J226" t="s">
        <v>1294</v>
      </c>
      <c r="K226" t="s">
        <v>1334</v>
      </c>
      <c r="L226" t="s">
        <v>1007</v>
      </c>
      <c r="M226" t="s">
        <v>1002</v>
      </c>
      <c r="N226" t="s">
        <v>1003</v>
      </c>
      <c r="O226" t="s">
        <v>1008</v>
      </c>
      <c r="P226" t="s">
        <v>24</v>
      </c>
      <c r="Q226" t="s">
        <v>25</v>
      </c>
      <c r="R226" t="s">
        <v>1088</v>
      </c>
      <c r="S226" t="s">
        <v>1109</v>
      </c>
      <c r="T226" s="5">
        <v>4</v>
      </c>
      <c r="U226" s="6">
        <v>95</v>
      </c>
      <c r="V226" s="6">
        <v>77.540000000000006</v>
      </c>
      <c r="W226" s="8">
        <v>0</v>
      </c>
      <c r="X226" s="6">
        <f t="shared" si="15"/>
        <v>380</v>
      </c>
      <c r="Y226" s="6">
        <f t="shared" si="16"/>
        <v>310.16000000000003</v>
      </c>
      <c r="Z226" s="6">
        <f t="shared" si="17"/>
        <v>69.839999999999975</v>
      </c>
      <c r="AA226" t="s">
        <v>662</v>
      </c>
      <c r="AB226" t="s">
        <v>1240</v>
      </c>
      <c r="AC226" s="5"/>
      <c r="AD226" t="s">
        <v>1140</v>
      </c>
      <c r="AE226" t="str">
        <f t="shared" si="18"/>
        <v>2025-07</v>
      </c>
      <c r="AF226" t="str">
        <f t="shared" si="19"/>
        <v>Q3-2025</v>
      </c>
    </row>
    <row r="227" spans="1:32" x14ac:dyDescent="0.3">
      <c r="A227" t="s">
        <v>1464</v>
      </c>
      <c r="B227" s="5">
        <v>5</v>
      </c>
      <c r="C227" s="4">
        <v>45799</v>
      </c>
      <c r="D227" s="4">
        <v>45810</v>
      </c>
      <c r="E227" t="s">
        <v>438</v>
      </c>
      <c r="F227" t="s">
        <v>439</v>
      </c>
      <c r="G227" t="s">
        <v>74</v>
      </c>
      <c r="H227" t="s">
        <v>20</v>
      </c>
      <c r="I227" t="s">
        <v>71</v>
      </c>
      <c r="J227" t="s">
        <v>1166</v>
      </c>
      <c r="K227" t="s">
        <v>1167</v>
      </c>
      <c r="L227" t="s">
        <v>684</v>
      </c>
      <c r="M227" t="s">
        <v>659</v>
      </c>
      <c r="N227" t="s">
        <v>660</v>
      </c>
      <c r="O227" t="s">
        <v>685</v>
      </c>
      <c r="P227" t="s">
        <v>27</v>
      </c>
      <c r="Q227" t="s">
        <v>28</v>
      </c>
      <c r="R227" t="s">
        <v>1088</v>
      </c>
      <c r="S227" t="s">
        <v>1109</v>
      </c>
      <c r="T227" s="5">
        <v>4</v>
      </c>
      <c r="U227" s="6">
        <v>52.42</v>
      </c>
      <c r="V227" s="6">
        <v>32.08</v>
      </c>
      <c r="W227" s="8">
        <v>0</v>
      </c>
      <c r="X227" s="6">
        <f t="shared" si="15"/>
        <v>209.68</v>
      </c>
      <c r="Y227" s="6">
        <f t="shared" si="16"/>
        <v>128.32</v>
      </c>
      <c r="Z227" s="6">
        <f t="shared" si="17"/>
        <v>81.360000000000014</v>
      </c>
      <c r="AA227" t="s">
        <v>679</v>
      </c>
      <c r="AC227" s="5">
        <v>2</v>
      </c>
      <c r="AD227" t="s">
        <v>1105</v>
      </c>
      <c r="AE227" t="str">
        <f t="shared" si="18"/>
        <v>2025-05</v>
      </c>
      <c r="AF227" t="str">
        <f t="shared" si="19"/>
        <v>Q2-2025</v>
      </c>
    </row>
    <row r="228" spans="1:32" x14ac:dyDescent="0.3">
      <c r="A228" t="s">
        <v>1465</v>
      </c>
      <c r="B228" s="5">
        <v>4</v>
      </c>
      <c r="C228" s="4">
        <v>46008</v>
      </c>
      <c r="D228" s="4">
        <v>46010</v>
      </c>
      <c r="E228" t="s">
        <v>156</v>
      </c>
      <c r="F228" t="s">
        <v>157</v>
      </c>
      <c r="G228" t="s">
        <v>74</v>
      </c>
      <c r="H228" t="s">
        <v>31</v>
      </c>
      <c r="I228" t="s">
        <v>160</v>
      </c>
      <c r="J228" t="s">
        <v>1125</v>
      </c>
      <c r="K228" t="s">
        <v>1132</v>
      </c>
      <c r="L228" t="s">
        <v>857</v>
      </c>
      <c r="M228" t="s">
        <v>795</v>
      </c>
      <c r="N228" t="s">
        <v>837</v>
      </c>
      <c r="O228" t="s">
        <v>858</v>
      </c>
      <c r="P228" t="s">
        <v>42</v>
      </c>
      <c r="Q228" t="s">
        <v>43</v>
      </c>
      <c r="R228" t="s">
        <v>1114</v>
      </c>
      <c r="S228" t="s">
        <v>1089</v>
      </c>
      <c r="T228" s="5">
        <v>17</v>
      </c>
      <c r="U228" s="6">
        <v>221.11</v>
      </c>
      <c r="V228" s="6">
        <v>111.57</v>
      </c>
      <c r="W228" s="8">
        <v>0.34749999999999998</v>
      </c>
      <c r="X228" s="6">
        <f t="shared" si="15"/>
        <v>2452.6626750000005</v>
      </c>
      <c r="Y228" s="6">
        <f t="shared" si="16"/>
        <v>1896.6899999999998</v>
      </c>
      <c r="Z228" s="6">
        <f t="shared" si="17"/>
        <v>555.97267500000066</v>
      </c>
      <c r="AA228" t="s">
        <v>679</v>
      </c>
      <c r="AC228" s="5">
        <v>2</v>
      </c>
      <c r="AD228" t="s">
        <v>1123</v>
      </c>
      <c r="AE228" t="str">
        <f t="shared" si="18"/>
        <v>2025-12</v>
      </c>
      <c r="AF228" t="str">
        <f t="shared" si="19"/>
        <v>Q4-2025</v>
      </c>
    </row>
    <row r="229" spans="1:32" x14ac:dyDescent="0.3">
      <c r="A229" t="s">
        <v>1466</v>
      </c>
      <c r="B229" s="5">
        <v>5</v>
      </c>
      <c r="C229" s="4">
        <v>45713</v>
      </c>
      <c r="D229" s="4">
        <v>45714</v>
      </c>
      <c r="E229" t="s">
        <v>175</v>
      </c>
      <c r="F229" t="s">
        <v>153</v>
      </c>
      <c r="G229" t="s">
        <v>65</v>
      </c>
      <c r="H229" t="s">
        <v>31</v>
      </c>
      <c r="I229" t="s">
        <v>127</v>
      </c>
      <c r="J229" t="s">
        <v>1098</v>
      </c>
      <c r="K229" t="s">
        <v>1161</v>
      </c>
      <c r="L229" t="s">
        <v>778</v>
      </c>
      <c r="M229" t="s">
        <v>659</v>
      </c>
      <c r="N229" t="s">
        <v>754</v>
      </c>
      <c r="O229" t="s">
        <v>779</v>
      </c>
      <c r="P229" t="s">
        <v>29</v>
      </c>
      <c r="Q229" t="s">
        <v>30</v>
      </c>
      <c r="R229" t="s">
        <v>1088</v>
      </c>
      <c r="S229" t="s">
        <v>1095</v>
      </c>
      <c r="T229" s="5">
        <v>4</v>
      </c>
      <c r="U229" s="6">
        <v>122.05</v>
      </c>
      <c r="V229" s="6">
        <v>73.75</v>
      </c>
      <c r="W229" s="8">
        <v>0.29099999999999998</v>
      </c>
      <c r="X229" s="6">
        <f t="shared" si="15"/>
        <v>346.13380000000001</v>
      </c>
      <c r="Y229" s="6">
        <f t="shared" si="16"/>
        <v>295</v>
      </c>
      <c r="Z229" s="6">
        <f t="shared" si="17"/>
        <v>51.133800000000008</v>
      </c>
      <c r="AA229" t="s">
        <v>679</v>
      </c>
      <c r="AC229" s="5">
        <v>5</v>
      </c>
      <c r="AD229" t="s">
        <v>1140</v>
      </c>
      <c r="AE229" t="str">
        <f t="shared" si="18"/>
        <v>2025-02</v>
      </c>
      <c r="AF229" t="str">
        <f t="shared" si="19"/>
        <v>Q1-2025</v>
      </c>
    </row>
    <row r="230" spans="1:32" x14ac:dyDescent="0.3">
      <c r="A230" t="s">
        <v>1467</v>
      </c>
      <c r="B230" s="5">
        <v>1</v>
      </c>
      <c r="C230" s="4">
        <v>45471</v>
      </c>
      <c r="D230" s="4">
        <v>45476</v>
      </c>
      <c r="E230" t="s">
        <v>473</v>
      </c>
      <c r="F230" t="s">
        <v>474</v>
      </c>
      <c r="G230" t="s">
        <v>80</v>
      </c>
      <c r="H230" t="s">
        <v>20</v>
      </c>
      <c r="I230" t="s">
        <v>112</v>
      </c>
      <c r="J230" t="s">
        <v>1158</v>
      </c>
      <c r="K230" t="s">
        <v>1320</v>
      </c>
      <c r="L230" t="s">
        <v>973</v>
      </c>
      <c r="M230" t="s">
        <v>929</v>
      </c>
      <c r="N230" t="s">
        <v>971</v>
      </c>
      <c r="O230" t="s">
        <v>974</v>
      </c>
      <c r="P230" t="s">
        <v>24</v>
      </c>
      <c r="Q230" t="s">
        <v>25</v>
      </c>
      <c r="R230" t="s">
        <v>1088</v>
      </c>
      <c r="S230" t="s">
        <v>1156</v>
      </c>
      <c r="T230" s="5">
        <v>23</v>
      </c>
      <c r="U230" s="6">
        <v>67.25</v>
      </c>
      <c r="V230" s="6">
        <v>45.81</v>
      </c>
      <c r="W230" s="8">
        <v>0</v>
      </c>
      <c r="X230" s="6">
        <f t="shared" si="15"/>
        <v>1546.75</v>
      </c>
      <c r="Y230" s="6">
        <f t="shared" si="16"/>
        <v>1053.6300000000001</v>
      </c>
      <c r="Z230" s="6">
        <f t="shared" si="17"/>
        <v>493.11999999999989</v>
      </c>
      <c r="AA230" t="s">
        <v>679</v>
      </c>
      <c r="AC230" s="5">
        <v>3</v>
      </c>
      <c r="AD230" t="s">
        <v>1148</v>
      </c>
      <c r="AE230" t="str">
        <f t="shared" si="18"/>
        <v>2024-06</v>
      </c>
      <c r="AF230" t="str">
        <f t="shared" si="19"/>
        <v>Q2-2024</v>
      </c>
    </row>
    <row r="231" spans="1:32" x14ac:dyDescent="0.3">
      <c r="A231" t="s">
        <v>1468</v>
      </c>
      <c r="B231" s="5">
        <v>4</v>
      </c>
      <c r="C231" s="4">
        <v>45484</v>
      </c>
      <c r="D231" s="4">
        <v>45491</v>
      </c>
      <c r="E231" t="s">
        <v>546</v>
      </c>
      <c r="F231" t="s">
        <v>547</v>
      </c>
      <c r="G231" t="s">
        <v>65</v>
      </c>
      <c r="H231" t="s">
        <v>31</v>
      </c>
      <c r="I231" t="s">
        <v>127</v>
      </c>
      <c r="J231" t="s">
        <v>1098</v>
      </c>
      <c r="K231" t="s">
        <v>1217</v>
      </c>
      <c r="L231" t="s">
        <v>1040</v>
      </c>
      <c r="M231" t="s">
        <v>1002</v>
      </c>
      <c r="N231" t="s">
        <v>1034</v>
      </c>
      <c r="O231" t="s">
        <v>1041</v>
      </c>
      <c r="P231" t="s">
        <v>53</v>
      </c>
      <c r="Q231" t="s">
        <v>54</v>
      </c>
      <c r="R231" t="s">
        <v>126</v>
      </c>
      <c r="S231" t="s">
        <v>1109</v>
      </c>
      <c r="T231" s="5">
        <v>19</v>
      </c>
      <c r="U231" s="6">
        <v>56.82</v>
      </c>
      <c r="V231" s="6">
        <v>35.729999999999997</v>
      </c>
      <c r="W231" s="8">
        <v>0</v>
      </c>
      <c r="X231" s="6">
        <f t="shared" si="15"/>
        <v>1079.58</v>
      </c>
      <c r="Y231" s="6">
        <f t="shared" si="16"/>
        <v>678.86999999999989</v>
      </c>
      <c r="Z231" s="6">
        <f t="shared" si="17"/>
        <v>400.71000000000004</v>
      </c>
      <c r="AA231" t="s">
        <v>679</v>
      </c>
      <c r="AC231" s="5">
        <v>2</v>
      </c>
      <c r="AD231" t="s">
        <v>1096</v>
      </c>
      <c r="AE231" t="str">
        <f t="shared" si="18"/>
        <v>2024-07</v>
      </c>
      <c r="AF231" t="str">
        <f t="shared" si="19"/>
        <v>Q3-2024</v>
      </c>
    </row>
    <row r="232" spans="1:32" x14ac:dyDescent="0.3">
      <c r="A232" t="s">
        <v>1469</v>
      </c>
      <c r="B232" s="5">
        <v>4</v>
      </c>
      <c r="C232" s="4">
        <v>45307</v>
      </c>
      <c r="D232" s="4">
        <v>45313</v>
      </c>
      <c r="E232" t="s">
        <v>221</v>
      </c>
      <c r="F232" t="s">
        <v>222</v>
      </c>
      <c r="G232" t="s">
        <v>74</v>
      </c>
      <c r="H232" t="s">
        <v>41</v>
      </c>
      <c r="I232" t="s">
        <v>75</v>
      </c>
      <c r="J232" t="s">
        <v>1142</v>
      </c>
      <c r="K232" t="s">
        <v>1198</v>
      </c>
      <c r="L232" t="s">
        <v>667</v>
      </c>
      <c r="M232" t="s">
        <v>659</v>
      </c>
      <c r="N232" t="s">
        <v>660</v>
      </c>
      <c r="O232" t="s">
        <v>668</v>
      </c>
      <c r="P232" t="s">
        <v>42</v>
      </c>
      <c r="Q232" t="s">
        <v>43</v>
      </c>
      <c r="R232" t="s">
        <v>1088</v>
      </c>
      <c r="S232" t="s">
        <v>1089</v>
      </c>
      <c r="T232" s="5">
        <v>1</v>
      </c>
      <c r="U232" s="6">
        <v>6.56</v>
      </c>
      <c r="V232" s="6">
        <v>5</v>
      </c>
      <c r="W232" s="8">
        <v>0</v>
      </c>
      <c r="X232" s="6">
        <f t="shared" si="15"/>
        <v>6.56</v>
      </c>
      <c r="Y232" s="6">
        <f t="shared" si="16"/>
        <v>5</v>
      </c>
      <c r="Z232" s="6">
        <f t="shared" si="17"/>
        <v>1.5599999999999996</v>
      </c>
      <c r="AA232" t="s">
        <v>679</v>
      </c>
      <c r="AC232" s="5"/>
      <c r="AD232" t="s">
        <v>1101</v>
      </c>
      <c r="AE232" t="str">
        <f t="shared" si="18"/>
        <v>2024-01</v>
      </c>
      <c r="AF232" t="str">
        <f t="shared" si="19"/>
        <v>Q1-2024</v>
      </c>
    </row>
    <row r="233" spans="1:32" x14ac:dyDescent="0.3">
      <c r="A233" t="s">
        <v>1470</v>
      </c>
      <c r="B233" s="5">
        <v>3</v>
      </c>
      <c r="C233" s="4">
        <v>45433</v>
      </c>
      <c r="D233" s="4">
        <v>45441</v>
      </c>
      <c r="E233" t="s">
        <v>136</v>
      </c>
      <c r="F233" t="s">
        <v>137</v>
      </c>
      <c r="G233" t="s">
        <v>65</v>
      </c>
      <c r="H233" t="s">
        <v>41</v>
      </c>
      <c r="I233" t="s">
        <v>75</v>
      </c>
      <c r="J233" t="s">
        <v>1142</v>
      </c>
      <c r="K233" t="s">
        <v>1205</v>
      </c>
      <c r="L233" t="s">
        <v>857</v>
      </c>
      <c r="M233" t="s">
        <v>795</v>
      </c>
      <c r="N233" t="s">
        <v>837</v>
      </c>
      <c r="O233" t="s">
        <v>858</v>
      </c>
      <c r="P233" t="s">
        <v>21</v>
      </c>
      <c r="Q233" t="s">
        <v>22</v>
      </c>
      <c r="R233" t="s">
        <v>1088</v>
      </c>
      <c r="S233" t="s">
        <v>1156</v>
      </c>
      <c r="T233" s="5">
        <v>35</v>
      </c>
      <c r="U233" s="6">
        <v>191.64</v>
      </c>
      <c r="V233" s="6">
        <v>111.57</v>
      </c>
      <c r="W233" s="8">
        <v>0</v>
      </c>
      <c r="X233" s="6">
        <f t="shared" si="15"/>
        <v>6707.4</v>
      </c>
      <c r="Y233" s="6">
        <f t="shared" si="16"/>
        <v>3904.95</v>
      </c>
      <c r="Z233" s="6">
        <f t="shared" si="17"/>
        <v>2802.45</v>
      </c>
      <c r="AA233" t="s">
        <v>679</v>
      </c>
      <c r="AC233" s="5">
        <v>2</v>
      </c>
      <c r="AD233" t="s">
        <v>1140</v>
      </c>
      <c r="AE233" t="str">
        <f t="shared" si="18"/>
        <v>2024-05</v>
      </c>
      <c r="AF233" t="str">
        <f t="shared" si="19"/>
        <v>Q2-2024</v>
      </c>
    </row>
    <row r="234" spans="1:32" x14ac:dyDescent="0.3">
      <c r="A234" t="s">
        <v>1471</v>
      </c>
      <c r="B234" s="5">
        <v>5</v>
      </c>
      <c r="C234" s="4">
        <v>45333</v>
      </c>
      <c r="D234" s="4">
        <v>45347</v>
      </c>
      <c r="E234" t="s">
        <v>563</v>
      </c>
      <c r="F234" t="s">
        <v>564</v>
      </c>
      <c r="G234" t="s">
        <v>84</v>
      </c>
      <c r="H234" t="s">
        <v>23</v>
      </c>
      <c r="I234" t="s">
        <v>109</v>
      </c>
      <c r="J234" t="s">
        <v>1300</v>
      </c>
      <c r="K234" t="s">
        <v>1360</v>
      </c>
      <c r="L234" t="s">
        <v>902</v>
      </c>
      <c r="M234" t="s">
        <v>795</v>
      </c>
      <c r="N234" t="s">
        <v>898</v>
      </c>
      <c r="O234" t="s">
        <v>903</v>
      </c>
      <c r="P234" t="s">
        <v>32</v>
      </c>
      <c r="Q234" t="s">
        <v>33</v>
      </c>
      <c r="R234" t="s">
        <v>1088</v>
      </c>
      <c r="S234" t="s">
        <v>1109</v>
      </c>
      <c r="T234" s="5">
        <v>9</v>
      </c>
      <c r="U234" s="6">
        <v>10.050000000000001</v>
      </c>
      <c r="V234" s="6">
        <v>5</v>
      </c>
      <c r="W234" s="8">
        <v>2.29E-2</v>
      </c>
      <c r="X234" s="6">
        <f t="shared" si="15"/>
        <v>88.378694999999993</v>
      </c>
      <c r="Y234" s="6">
        <f t="shared" si="16"/>
        <v>45</v>
      </c>
      <c r="Z234" s="6">
        <f t="shared" si="17"/>
        <v>43.378694999999993</v>
      </c>
      <c r="AA234" t="s">
        <v>679</v>
      </c>
      <c r="AC234" s="5">
        <v>5</v>
      </c>
      <c r="AD234" t="s">
        <v>1110</v>
      </c>
      <c r="AE234" t="str">
        <f t="shared" si="18"/>
        <v>2024-02</v>
      </c>
      <c r="AF234" t="str">
        <f t="shared" si="19"/>
        <v>Q1-2024</v>
      </c>
    </row>
    <row r="235" spans="1:32" x14ac:dyDescent="0.3">
      <c r="A235" t="s">
        <v>1472</v>
      </c>
      <c r="B235" s="5">
        <v>1</v>
      </c>
      <c r="C235" s="4">
        <v>45456</v>
      </c>
      <c r="D235" s="4">
        <v>45468</v>
      </c>
      <c r="E235" t="s">
        <v>310</v>
      </c>
      <c r="F235" t="s">
        <v>311</v>
      </c>
      <c r="G235" t="s">
        <v>84</v>
      </c>
      <c r="H235" t="s">
        <v>41</v>
      </c>
      <c r="I235" t="s">
        <v>75</v>
      </c>
      <c r="J235" t="s">
        <v>1142</v>
      </c>
      <c r="K235" t="s">
        <v>1198</v>
      </c>
      <c r="L235" t="s">
        <v>853</v>
      </c>
      <c r="M235" t="s">
        <v>795</v>
      </c>
      <c r="N235" t="s">
        <v>837</v>
      </c>
      <c r="O235" t="s">
        <v>854</v>
      </c>
      <c r="P235" t="s">
        <v>34</v>
      </c>
      <c r="Q235" t="s">
        <v>35</v>
      </c>
      <c r="R235" t="s">
        <v>1114</v>
      </c>
      <c r="S235" t="s">
        <v>1156</v>
      </c>
      <c r="T235" s="5">
        <v>7</v>
      </c>
      <c r="U235" s="6">
        <v>161.84</v>
      </c>
      <c r="V235" s="6">
        <v>119.67</v>
      </c>
      <c r="W235" s="8">
        <v>0</v>
      </c>
      <c r="X235" s="6">
        <f t="shared" si="15"/>
        <v>1132.8800000000001</v>
      </c>
      <c r="Y235" s="6">
        <f t="shared" si="16"/>
        <v>837.69</v>
      </c>
      <c r="Z235" s="6">
        <f t="shared" si="17"/>
        <v>295.19000000000005</v>
      </c>
      <c r="AA235" t="s">
        <v>679</v>
      </c>
      <c r="AC235" s="5">
        <v>2</v>
      </c>
      <c r="AD235" t="s">
        <v>1123</v>
      </c>
      <c r="AE235" t="str">
        <f t="shared" si="18"/>
        <v>2024-06</v>
      </c>
      <c r="AF235" t="str">
        <f t="shared" si="19"/>
        <v>Q2-2024</v>
      </c>
    </row>
    <row r="236" spans="1:32" x14ac:dyDescent="0.3">
      <c r="A236" t="s">
        <v>1473</v>
      </c>
      <c r="B236" s="5">
        <v>4</v>
      </c>
      <c r="C236" s="4">
        <v>45636</v>
      </c>
      <c r="D236" s="4">
        <v>45650</v>
      </c>
      <c r="E236" t="s">
        <v>283</v>
      </c>
      <c r="F236" t="s">
        <v>284</v>
      </c>
      <c r="G236" t="s">
        <v>84</v>
      </c>
      <c r="H236" t="s">
        <v>41</v>
      </c>
      <c r="I236" t="s">
        <v>75</v>
      </c>
      <c r="J236" t="s">
        <v>1142</v>
      </c>
      <c r="K236" t="s">
        <v>1198</v>
      </c>
      <c r="L236" t="s">
        <v>918</v>
      </c>
      <c r="M236" t="s">
        <v>795</v>
      </c>
      <c r="N236" t="s">
        <v>898</v>
      </c>
      <c r="O236" t="s">
        <v>919</v>
      </c>
      <c r="P236" t="s">
        <v>39</v>
      </c>
      <c r="Q236" t="s">
        <v>40</v>
      </c>
      <c r="R236" t="s">
        <v>1094</v>
      </c>
      <c r="S236" t="s">
        <v>1156</v>
      </c>
      <c r="T236" s="5">
        <v>4</v>
      </c>
      <c r="U236" s="6">
        <v>210.75</v>
      </c>
      <c r="V236" s="6">
        <v>157.71</v>
      </c>
      <c r="W236" s="8">
        <v>0.152</v>
      </c>
      <c r="X236" s="6">
        <f t="shared" si="15"/>
        <v>714.86400000000003</v>
      </c>
      <c r="Y236" s="6">
        <f t="shared" si="16"/>
        <v>630.84</v>
      </c>
      <c r="Z236" s="6">
        <f t="shared" si="17"/>
        <v>84.024000000000001</v>
      </c>
      <c r="AA236" t="s">
        <v>679</v>
      </c>
      <c r="AC236" s="5"/>
      <c r="AE236" t="str">
        <f t="shared" si="18"/>
        <v>2024-12</v>
      </c>
      <c r="AF236" t="str">
        <f t="shared" si="19"/>
        <v>Q4-2024</v>
      </c>
    </row>
    <row r="237" spans="1:32" x14ac:dyDescent="0.3">
      <c r="A237" t="s">
        <v>1474</v>
      </c>
      <c r="B237" s="5">
        <v>3</v>
      </c>
      <c r="C237" s="4">
        <v>45809</v>
      </c>
      <c r="D237" s="4">
        <v>45809</v>
      </c>
      <c r="E237" t="s">
        <v>322</v>
      </c>
      <c r="F237" t="s">
        <v>323</v>
      </c>
      <c r="G237" t="s">
        <v>104</v>
      </c>
      <c r="H237" t="s">
        <v>23</v>
      </c>
      <c r="I237" t="s">
        <v>81</v>
      </c>
      <c r="J237" t="s">
        <v>1163</v>
      </c>
      <c r="K237" t="s">
        <v>1164</v>
      </c>
      <c r="L237" t="s">
        <v>975</v>
      </c>
      <c r="M237" t="s">
        <v>929</v>
      </c>
      <c r="N237" t="s">
        <v>971</v>
      </c>
      <c r="O237" t="s">
        <v>976</v>
      </c>
      <c r="P237" t="s">
        <v>46</v>
      </c>
      <c r="Q237" t="s">
        <v>47</v>
      </c>
      <c r="R237" t="s">
        <v>1088</v>
      </c>
      <c r="S237" t="s">
        <v>1095</v>
      </c>
      <c r="T237" s="5">
        <v>8</v>
      </c>
      <c r="U237" s="6">
        <v>105.24</v>
      </c>
      <c r="V237" s="6">
        <v>66.319999999999993</v>
      </c>
      <c r="W237" s="8">
        <v>0</v>
      </c>
      <c r="X237" s="6">
        <f t="shared" si="15"/>
        <v>841.92</v>
      </c>
      <c r="Y237" s="6">
        <f t="shared" si="16"/>
        <v>530.55999999999995</v>
      </c>
      <c r="Z237" s="6">
        <f t="shared" si="17"/>
        <v>311.36</v>
      </c>
      <c r="AA237" t="s">
        <v>679</v>
      </c>
      <c r="AC237" s="5"/>
      <c r="AD237" t="s">
        <v>1148</v>
      </c>
      <c r="AE237" t="str">
        <f t="shared" si="18"/>
        <v>2025-06</v>
      </c>
      <c r="AF237" t="str">
        <f t="shared" si="19"/>
        <v>Q2-2025</v>
      </c>
    </row>
    <row r="238" spans="1:32" x14ac:dyDescent="0.3">
      <c r="A238" t="s">
        <v>1475</v>
      </c>
      <c r="B238" s="5">
        <v>4</v>
      </c>
      <c r="C238" s="4">
        <v>46020</v>
      </c>
      <c r="D238" s="4">
        <v>46032</v>
      </c>
      <c r="E238" t="s">
        <v>577</v>
      </c>
      <c r="F238" t="s">
        <v>578</v>
      </c>
      <c r="G238" t="s">
        <v>74</v>
      </c>
      <c r="H238" t="s">
        <v>20</v>
      </c>
      <c r="I238" t="s">
        <v>90</v>
      </c>
      <c r="J238" t="s">
        <v>1171</v>
      </c>
      <c r="K238" t="s">
        <v>1172</v>
      </c>
      <c r="L238" t="s">
        <v>723</v>
      </c>
      <c r="M238" t="s">
        <v>659</v>
      </c>
      <c r="N238" t="s">
        <v>713</v>
      </c>
      <c r="O238" t="s">
        <v>724</v>
      </c>
      <c r="P238" t="s">
        <v>24</v>
      </c>
      <c r="Q238" t="s">
        <v>25</v>
      </c>
      <c r="R238" t="s">
        <v>1094</v>
      </c>
      <c r="S238" t="s">
        <v>1109</v>
      </c>
      <c r="T238" s="5">
        <v>6</v>
      </c>
      <c r="U238" s="6">
        <v>50.19</v>
      </c>
      <c r="V238" s="6">
        <v>43.07</v>
      </c>
      <c r="W238" s="8">
        <v>0</v>
      </c>
      <c r="X238" s="6">
        <f t="shared" si="15"/>
        <v>301.14</v>
      </c>
      <c r="Y238" s="6">
        <f t="shared" si="16"/>
        <v>258.42</v>
      </c>
      <c r="Z238" s="6">
        <f t="shared" si="17"/>
        <v>42.71999999999997</v>
      </c>
      <c r="AA238" t="s">
        <v>679</v>
      </c>
      <c r="AC238" s="5"/>
      <c r="AD238" t="s">
        <v>1404</v>
      </c>
      <c r="AE238" t="str">
        <f t="shared" si="18"/>
        <v>2025-12</v>
      </c>
      <c r="AF238" t="str">
        <f t="shared" si="19"/>
        <v>Q4-2025</v>
      </c>
    </row>
    <row r="239" spans="1:32" x14ac:dyDescent="0.3">
      <c r="A239" t="s">
        <v>1476</v>
      </c>
      <c r="B239" s="5">
        <v>5</v>
      </c>
      <c r="C239" s="4">
        <v>45734</v>
      </c>
      <c r="D239" s="4">
        <v>45744</v>
      </c>
      <c r="E239" t="s">
        <v>196</v>
      </c>
      <c r="F239" t="s">
        <v>197</v>
      </c>
      <c r="G239" t="s">
        <v>65</v>
      </c>
      <c r="H239" t="s">
        <v>31</v>
      </c>
      <c r="I239" t="s">
        <v>127</v>
      </c>
      <c r="J239" t="s">
        <v>1098</v>
      </c>
      <c r="K239" t="s">
        <v>1099</v>
      </c>
      <c r="L239" t="s">
        <v>1038</v>
      </c>
      <c r="M239" t="s">
        <v>1002</v>
      </c>
      <c r="N239" t="s">
        <v>1034</v>
      </c>
      <c r="O239" t="s">
        <v>1039</v>
      </c>
      <c r="P239" t="s">
        <v>34</v>
      </c>
      <c r="Q239" t="s">
        <v>35</v>
      </c>
      <c r="R239" t="s">
        <v>1088</v>
      </c>
      <c r="S239" t="s">
        <v>1089</v>
      </c>
      <c r="T239" s="5">
        <v>20</v>
      </c>
      <c r="U239" s="6">
        <v>199.74</v>
      </c>
      <c r="V239" s="6">
        <v>115.2</v>
      </c>
      <c r="W239" s="8">
        <v>0</v>
      </c>
      <c r="X239" s="6">
        <f t="shared" si="15"/>
        <v>3994.8</v>
      </c>
      <c r="Y239" s="6">
        <f t="shared" si="16"/>
        <v>2304</v>
      </c>
      <c r="Z239" s="6">
        <f t="shared" si="17"/>
        <v>1690.8000000000002</v>
      </c>
      <c r="AA239" t="s">
        <v>679</v>
      </c>
      <c r="AC239" s="5">
        <v>3</v>
      </c>
      <c r="AD239" t="s">
        <v>1123</v>
      </c>
      <c r="AE239" t="str">
        <f t="shared" si="18"/>
        <v>2025-03</v>
      </c>
      <c r="AF239" t="str">
        <f t="shared" si="19"/>
        <v>Q1-2025</v>
      </c>
    </row>
    <row r="240" spans="1:32" x14ac:dyDescent="0.3">
      <c r="A240" t="s">
        <v>1477</v>
      </c>
      <c r="B240" s="5">
        <v>2</v>
      </c>
      <c r="C240" s="4">
        <v>45636</v>
      </c>
      <c r="D240" s="4">
        <v>45641</v>
      </c>
      <c r="E240" t="s">
        <v>447</v>
      </c>
      <c r="F240" t="s">
        <v>448</v>
      </c>
      <c r="G240" t="s">
        <v>74</v>
      </c>
      <c r="H240" t="s">
        <v>31</v>
      </c>
      <c r="I240" t="s">
        <v>67</v>
      </c>
      <c r="J240" t="s">
        <v>1207</v>
      </c>
      <c r="K240" t="s">
        <v>1208</v>
      </c>
      <c r="L240" t="s">
        <v>770</v>
      </c>
      <c r="M240" t="s">
        <v>659</v>
      </c>
      <c r="N240" t="s">
        <v>754</v>
      </c>
      <c r="O240" t="s">
        <v>771</v>
      </c>
      <c r="P240" t="s">
        <v>42</v>
      </c>
      <c r="Q240" t="s">
        <v>43</v>
      </c>
      <c r="R240" t="s">
        <v>1088</v>
      </c>
      <c r="S240" t="s">
        <v>1089</v>
      </c>
      <c r="T240" s="5">
        <v>4</v>
      </c>
      <c r="U240" s="6">
        <v>36.56</v>
      </c>
      <c r="V240" s="6">
        <v>25.38</v>
      </c>
      <c r="W240" s="8">
        <v>0</v>
      </c>
      <c r="X240" s="6">
        <f t="shared" si="15"/>
        <v>146.24</v>
      </c>
      <c r="Y240" s="6">
        <f t="shared" si="16"/>
        <v>101.52</v>
      </c>
      <c r="Z240" s="6">
        <f t="shared" si="17"/>
        <v>44.720000000000013</v>
      </c>
      <c r="AA240" t="s">
        <v>679</v>
      </c>
      <c r="AC240" s="5">
        <v>1</v>
      </c>
      <c r="AD240" t="s">
        <v>1123</v>
      </c>
      <c r="AE240" t="str">
        <f t="shared" si="18"/>
        <v>2024-12</v>
      </c>
      <c r="AF240" t="str">
        <f t="shared" si="19"/>
        <v>Q4-2024</v>
      </c>
    </row>
    <row r="241" spans="1:32" x14ac:dyDescent="0.3">
      <c r="A241" t="s">
        <v>1478</v>
      </c>
      <c r="B241" s="5">
        <v>3</v>
      </c>
      <c r="C241" s="4">
        <v>45782</v>
      </c>
      <c r="D241" s="4">
        <v>45794</v>
      </c>
      <c r="E241" t="s">
        <v>239</v>
      </c>
      <c r="F241" t="s">
        <v>240</v>
      </c>
      <c r="G241" t="s">
        <v>84</v>
      </c>
      <c r="H241" t="s">
        <v>23</v>
      </c>
      <c r="I241" t="s">
        <v>93</v>
      </c>
      <c r="J241" t="s">
        <v>1278</v>
      </c>
      <c r="K241" t="s">
        <v>1351</v>
      </c>
      <c r="L241" t="s">
        <v>950</v>
      </c>
      <c r="M241" t="s">
        <v>929</v>
      </c>
      <c r="N241" t="s">
        <v>930</v>
      </c>
      <c r="O241" t="s">
        <v>951</v>
      </c>
      <c r="P241" t="s">
        <v>46</v>
      </c>
      <c r="Q241" t="s">
        <v>47</v>
      </c>
      <c r="R241" t="s">
        <v>1088</v>
      </c>
      <c r="S241" t="s">
        <v>1089</v>
      </c>
      <c r="T241" s="5">
        <v>38</v>
      </c>
      <c r="U241" s="6">
        <v>341.18</v>
      </c>
      <c r="V241" s="6">
        <v>181.98</v>
      </c>
      <c r="W241" s="8">
        <v>0.25669999999999998</v>
      </c>
      <c r="X241" s="6">
        <f t="shared" si="15"/>
        <v>9636.7655720000002</v>
      </c>
      <c r="Y241" s="6">
        <f t="shared" si="16"/>
        <v>6915.24</v>
      </c>
      <c r="Z241" s="6">
        <f t="shared" si="17"/>
        <v>2721.5255720000005</v>
      </c>
      <c r="AA241" t="s">
        <v>679</v>
      </c>
      <c r="AC241" s="5">
        <v>5</v>
      </c>
      <c r="AE241" t="str">
        <f t="shared" si="18"/>
        <v>2025-05</v>
      </c>
      <c r="AF241" t="str">
        <f t="shared" si="19"/>
        <v>Q2-2025</v>
      </c>
    </row>
    <row r="242" spans="1:32" x14ac:dyDescent="0.3">
      <c r="A242" t="s">
        <v>1479</v>
      </c>
      <c r="B242" s="5">
        <v>3</v>
      </c>
      <c r="C242" s="4">
        <v>46010</v>
      </c>
      <c r="D242" s="4">
        <v>46012</v>
      </c>
      <c r="E242" t="s">
        <v>631</v>
      </c>
      <c r="F242" t="s">
        <v>632</v>
      </c>
      <c r="G242" t="s">
        <v>65</v>
      </c>
      <c r="H242" t="s">
        <v>23</v>
      </c>
      <c r="I242" t="s">
        <v>81</v>
      </c>
      <c r="J242" t="s">
        <v>1119</v>
      </c>
      <c r="K242" t="s">
        <v>1291</v>
      </c>
      <c r="L242" t="s">
        <v>869</v>
      </c>
      <c r="M242" t="s">
        <v>795</v>
      </c>
      <c r="N242" t="s">
        <v>837</v>
      </c>
      <c r="O242" t="s">
        <v>870</v>
      </c>
      <c r="P242" t="s">
        <v>37</v>
      </c>
      <c r="Q242" t="s">
        <v>38</v>
      </c>
      <c r="R242" t="s">
        <v>1114</v>
      </c>
      <c r="S242" t="s">
        <v>1089</v>
      </c>
      <c r="T242" s="5">
        <v>26</v>
      </c>
      <c r="U242" s="6">
        <v>157.27000000000001</v>
      </c>
      <c r="V242" s="6">
        <v>107.53</v>
      </c>
      <c r="W242" s="8">
        <v>0</v>
      </c>
      <c r="X242" s="6">
        <f t="shared" si="15"/>
        <v>4089.0200000000004</v>
      </c>
      <c r="Y242" s="6">
        <f t="shared" si="16"/>
        <v>2795.78</v>
      </c>
      <c r="Z242" s="6">
        <f t="shared" si="17"/>
        <v>1293.2400000000002</v>
      </c>
      <c r="AA242" t="s">
        <v>662</v>
      </c>
      <c r="AB242" t="s">
        <v>1240</v>
      </c>
      <c r="AC242" s="5">
        <v>2</v>
      </c>
      <c r="AD242" t="s">
        <v>1096</v>
      </c>
      <c r="AE242" t="str">
        <f t="shared" si="18"/>
        <v>2025-12</v>
      </c>
      <c r="AF242" t="str">
        <f t="shared" si="19"/>
        <v>Q4-2025</v>
      </c>
    </row>
    <row r="243" spans="1:32" x14ac:dyDescent="0.3">
      <c r="A243" t="s">
        <v>1480</v>
      </c>
      <c r="B243" s="5">
        <v>5</v>
      </c>
      <c r="C243" s="4">
        <v>45763</v>
      </c>
      <c r="D243" s="4">
        <v>45771</v>
      </c>
      <c r="E243" t="s">
        <v>596</v>
      </c>
      <c r="F243" t="s">
        <v>355</v>
      </c>
      <c r="G243" t="s">
        <v>84</v>
      </c>
      <c r="H243" t="s">
        <v>31</v>
      </c>
      <c r="I243" t="s">
        <v>127</v>
      </c>
      <c r="J243" t="s">
        <v>1116</v>
      </c>
      <c r="K243" t="s">
        <v>1117</v>
      </c>
      <c r="L243" t="s">
        <v>1036</v>
      </c>
      <c r="M243" t="s">
        <v>1002</v>
      </c>
      <c r="N243" t="s">
        <v>1034</v>
      </c>
      <c r="O243" t="s">
        <v>1037</v>
      </c>
      <c r="P243" t="s">
        <v>29</v>
      </c>
      <c r="Q243" t="s">
        <v>30</v>
      </c>
      <c r="R243" t="s">
        <v>1094</v>
      </c>
      <c r="S243" t="s">
        <v>1109</v>
      </c>
      <c r="T243" s="5">
        <v>2</v>
      </c>
      <c r="U243" s="6">
        <v>259.58</v>
      </c>
      <c r="V243" s="6">
        <v>171.54</v>
      </c>
      <c r="W243" s="8">
        <v>0</v>
      </c>
      <c r="X243" s="6">
        <f t="shared" si="15"/>
        <v>519.16</v>
      </c>
      <c r="Y243" s="6">
        <f t="shared" si="16"/>
        <v>343.08</v>
      </c>
      <c r="Z243" s="6">
        <f t="shared" si="17"/>
        <v>176.07999999999998</v>
      </c>
      <c r="AA243" t="s">
        <v>679</v>
      </c>
      <c r="AC243" s="5">
        <v>2</v>
      </c>
      <c r="AD243" t="s">
        <v>1148</v>
      </c>
      <c r="AE243" t="str">
        <f t="shared" si="18"/>
        <v>2025-04</v>
      </c>
      <c r="AF243" t="str">
        <f t="shared" si="19"/>
        <v>Q2-2025</v>
      </c>
    </row>
    <row r="244" spans="1:32" x14ac:dyDescent="0.3">
      <c r="A244" t="s">
        <v>1481</v>
      </c>
      <c r="B244" s="5">
        <v>5</v>
      </c>
      <c r="C244" s="4">
        <v>45674</v>
      </c>
      <c r="D244" s="4">
        <v>45679</v>
      </c>
      <c r="E244" t="s">
        <v>618</v>
      </c>
      <c r="F244" t="s">
        <v>122</v>
      </c>
      <c r="G244" t="s">
        <v>74</v>
      </c>
      <c r="H244" t="s">
        <v>31</v>
      </c>
      <c r="I244" t="s">
        <v>160</v>
      </c>
      <c r="J244" t="s">
        <v>1125</v>
      </c>
      <c r="K244" t="s">
        <v>1126</v>
      </c>
      <c r="L244" t="s">
        <v>983</v>
      </c>
      <c r="M244" t="s">
        <v>929</v>
      </c>
      <c r="N244" t="s">
        <v>971</v>
      </c>
      <c r="O244" t="s">
        <v>984</v>
      </c>
      <c r="P244" t="s">
        <v>29</v>
      </c>
      <c r="Q244" t="s">
        <v>30</v>
      </c>
      <c r="R244" t="s">
        <v>1088</v>
      </c>
      <c r="S244" t="s">
        <v>1109</v>
      </c>
      <c r="T244" s="5">
        <v>33</v>
      </c>
      <c r="U244" s="6">
        <v>216.79</v>
      </c>
      <c r="V244" s="6">
        <v>106.87</v>
      </c>
      <c r="W244" s="8">
        <v>0</v>
      </c>
      <c r="X244" s="6">
        <f t="shared" si="15"/>
        <v>7154.07</v>
      </c>
      <c r="Y244" s="6">
        <f t="shared" si="16"/>
        <v>3526.71</v>
      </c>
      <c r="Z244" s="6">
        <f t="shared" si="17"/>
        <v>3627.3599999999997</v>
      </c>
      <c r="AA244" t="s">
        <v>662</v>
      </c>
      <c r="AB244" t="s">
        <v>1122</v>
      </c>
      <c r="AC244" s="5"/>
      <c r="AD244" t="s">
        <v>1096</v>
      </c>
      <c r="AE244" t="str">
        <f t="shared" si="18"/>
        <v>2025-01</v>
      </c>
      <c r="AF244" t="str">
        <f t="shared" si="19"/>
        <v>Q1-2025</v>
      </c>
    </row>
    <row r="245" spans="1:32" x14ac:dyDescent="0.3">
      <c r="A245" t="s">
        <v>1482</v>
      </c>
      <c r="B245" s="5">
        <v>3</v>
      </c>
      <c r="C245" s="4">
        <v>45938</v>
      </c>
      <c r="D245" s="4">
        <v>45948</v>
      </c>
      <c r="E245" t="s">
        <v>291</v>
      </c>
      <c r="F245" t="s">
        <v>292</v>
      </c>
      <c r="G245" t="s">
        <v>65</v>
      </c>
      <c r="H245" t="s">
        <v>41</v>
      </c>
      <c r="I245" t="s">
        <v>86</v>
      </c>
      <c r="J245" t="s">
        <v>1107</v>
      </c>
      <c r="K245" t="s">
        <v>1230</v>
      </c>
      <c r="L245" t="s">
        <v>768</v>
      </c>
      <c r="M245" t="s">
        <v>659</v>
      </c>
      <c r="N245" t="s">
        <v>754</v>
      </c>
      <c r="O245" t="s">
        <v>769</v>
      </c>
      <c r="P245" t="s">
        <v>42</v>
      </c>
      <c r="Q245" t="s">
        <v>43</v>
      </c>
      <c r="R245" t="s">
        <v>1114</v>
      </c>
      <c r="S245" t="s">
        <v>1089</v>
      </c>
      <c r="T245" s="5">
        <v>10</v>
      </c>
      <c r="U245" s="6">
        <v>7.06</v>
      </c>
      <c r="V245" s="6">
        <v>5</v>
      </c>
      <c r="W245" s="8">
        <v>0.17810000000000001</v>
      </c>
      <c r="X245" s="6">
        <f t="shared" si="15"/>
        <v>58.026139999999991</v>
      </c>
      <c r="Y245" s="6">
        <f t="shared" si="16"/>
        <v>50</v>
      </c>
      <c r="Z245" s="6">
        <f t="shared" si="17"/>
        <v>8.0261399999999909</v>
      </c>
      <c r="AA245" t="s">
        <v>679</v>
      </c>
      <c r="AC245" s="5"/>
      <c r="AD245" t="s">
        <v>1184</v>
      </c>
      <c r="AE245" t="str">
        <f t="shared" si="18"/>
        <v>2025-10</v>
      </c>
      <c r="AF245" t="str">
        <f t="shared" si="19"/>
        <v>Q4-2025</v>
      </c>
    </row>
    <row r="246" spans="1:32" x14ac:dyDescent="0.3">
      <c r="A246" t="s">
        <v>1483</v>
      </c>
      <c r="B246" s="5">
        <v>2</v>
      </c>
      <c r="C246" s="4">
        <v>45960</v>
      </c>
      <c r="D246" s="4">
        <v>45964</v>
      </c>
      <c r="E246" t="s">
        <v>248</v>
      </c>
      <c r="F246" t="s">
        <v>249</v>
      </c>
      <c r="G246" t="s">
        <v>65</v>
      </c>
      <c r="H246" t="s">
        <v>20</v>
      </c>
      <c r="I246" t="s">
        <v>112</v>
      </c>
      <c r="J246" t="s">
        <v>1201</v>
      </c>
      <c r="K246" t="s">
        <v>1202</v>
      </c>
      <c r="L246" t="s">
        <v>735</v>
      </c>
      <c r="M246" t="s">
        <v>659</v>
      </c>
      <c r="N246" t="s">
        <v>713</v>
      </c>
      <c r="O246" t="s">
        <v>736</v>
      </c>
      <c r="P246" t="s">
        <v>21</v>
      </c>
      <c r="Q246" t="s">
        <v>22</v>
      </c>
      <c r="R246" t="s">
        <v>1094</v>
      </c>
      <c r="S246" t="s">
        <v>1095</v>
      </c>
      <c r="T246" s="5">
        <v>19</v>
      </c>
      <c r="U246" s="6">
        <v>122.62</v>
      </c>
      <c r="V246" s="6">
        <v>77.63</v>
      </c>
      <c r="W246" s="8">
        <v>0</v>
      </c>
      <c r="X246" s="6">
        <f t="shared" si="15"/>
        <v>2329.7800000000002</v>
      </c>
      <c r="Y246" s="6">
        <f t="shared" si="16"/>
        <v>1474.9699999999998</v>
      </c>
      <c r="Z246" s="6">
        <f t="shared" si="17"/>
        <v>854.8100000000004</v>
      </c>
      <c r="AA246" t="s">
        <v>679</v>
      </c>
      <c r="AC246" s="5">
        <v>1</v>
      </c>
      <c r="AD246" t="s">
        <v>1123</v>
      </c>
      <c r="AE246" t="str">
        <f t="shared" si="18"/>
        <v>2025-10</v>
      </c>
      <c r="AF246" t="str">
        <f t="shared" si="19"/>
        <v>Q4-2025</v>
      </c>
    </row>
    <row r="247" spans="1:32" x14ac:dyDescent="0.3">
      <c r="A247" t="s">
        <v>1484</v>
      </c>
      <c r="B247" s="5">
        <v>1</v>
      </c>
      <c r="C247" s="4">
        <v>45432</v>
      </c>
      <c r="D247" s="4">
        <v>45435</v>
      </c>
      <c r="E247" t="s">
        <v>354</v>
      </c>
      <c r="F247" t="s">
        <v>355</v>
      </c>
      <c r="G247" t="s">
        <v>84</v>
      </c>
      <c r="H247" t="s">
        <v>20</v>
      </c>
      <c r="I247" t="s">
        <v>71</v>
      </c>
      <c r="J247" t="s">
        <v>1166</v>
      </c>
      <c r="K247" t="s">
        <v>1436</v>
      </c>
      <c r="L247" t="s">
        <v>717</v>
      </c>
      <c r="M247" t="s">
        <v>659</v>
      </c>
      <c r="N247" t="s">
        <v>713</v>
      </c>
      <c r="O247" t="s">
        <v>718</v>
      </c>
      <c r="P247" t="s">
        <v>39</v>
      </c>
      <c r="Q247" t="s">
        <v>40</v>
      </c>
      <c r="R247" t="s">
        <v>1114</v>
      </c>
      <c r="S247" t="s">
        <v>1095</v>
      </c>
      <c r="T247" s="5">
        <v>23</v>
      </c>
      <c r="U247" s="6">
        <v>6.74</v>
      </c>
      <c r="V247" s="6">
        <v>5</v>
      </c>
      <c r="W247" s="8">
        <v>0</v>
      </c>
      <c r="X247" s="6">
        <f t="shared" si="15"/>
        <v>155.02000000000001</v>
      </c>
      <c r="Y247" s="6">
        <f t="shared" si="16"/>
        <v>115</v>
      </c>
      <c r="Z247" s="6">
        <f t="shared" si="17"/>
        <v>40.02000000000001</v>
      </c>
      <c r="AA247" t="s">
        <v>679</v>
      </c>
      <c r="AC247" s="5">
        <v>5</v>
      </c>
      <c r="AD247" t="s">
        <v>1140</v>
      </c>
      <c r="AE247" t="str">
        <f t="shared" si="18"/>
        <v>2024-05</v>
      </c>
      <c r="AF247" t="str">
        <f t="shared" si="19"/>
        <v>Q2-2024</v>
      </c>
    </row>
    <row r="248" spans="1:32" x14ac:dyDescent="0.3">
      <c r="A248" t="s">
        <v>1485</v>
      </c>
      <c r="B248" s="5">
        <v>1</v>
      </c>
      <c r="C248" s="4">
        <v>45402</v>
      </c>
      <c r="D248" s="4">
        <v>45410</v>
      </c>
      <c r="E248" t="s">
        <v>585</v>
      </c>
      <c r="F248" t="s">
        <v>238</v>
      </c>
      <c r="G248" t="s">
        <v>80</v>
      </c>
      <c r="H248" t="s">
        <v>41</v>
      </c>
      <c r="I248" t="s">
        <v>86</v>
      </c>
      <c r="J248" t="s">
        <v>1086</v>
      </c>
      <c r="K248" t="s">
        <v>1234</v>
      </c>
      <c r="L248" t="s">
        <v>673</v>
      </c>
      <c r="M248" t="s">
        <v>659</v>
      </c>
      <c r="N248" t="s">
        <v>660</v>
      </c>
      <c r="O248" t="s">
        <v>674</v>
      </c>
      <c r="P248" t="s">
        <v>27</v>
      </c>
      <c r="Q248" t="s">
        <v>28</v>
      </c>
      <c r="R248" t="s">
        <v>1094</v>
      </c>
      <c r="S248" t="s">
        <v>1109</v>
      </c>
      <c r="T248" s="5">
        <v>20</v>
      </c>
      <c r="U248" s="6">
        <v>8.02</v>
      </c>
      <c r="V248" s="6">
        <v>5</v>
      </c>
      <c r="W248" s="8">
        <v>0</v>
      </c>
      <c r="X248" s="6">
        <f t="shared" si="15"/>
        <v>160.39999999999998</v>
      </c>
      <c r="Y248" s="6">
        <f t="shared" si="16"/>
        <v>100</v>
      </c>
      <c r="Z248" s="6">
        <f t="shared" si="17"/>
        <v>60.399999999999977</v>
      </c>
      <c r="AA248" t="s">
        <v>679</v>
      </c>
      <c r="AC248" s="5">
        <v>2</v>
      </c>
      <c r="AD248" t="s">
        <v>1123</v>
      </c>
      <c r="AE248" t="str">
        <f t="shared" si="18"/>
        <v>2024-04</v>
      </c>
      <c r="AF248" t="str">
        <f t="shared" si="19"/>
        <v>Q2-2024</v>
      </c>
    </row>
    <row r="249" spans="1:32" x14ac:dyDescent="0.3">
      <c r="A249" t="s">
        <v>1486</v>
      </c>
      <c r="B249" s="5">
        <v>1</v>
      </c>
      <c r="C249" s="4">
        <v>45927</v>
      </c>
      <c r="D249" s="4">
        <v>45932</v>
      </c>
      <c r="E249" t="s">
        <v>171</v>
      </c>
      <c r="F249" t="s">
        <v>172</v>
      </c>
      <c r="G249" t="s">
        <v>104</v>
      </c>
      <c r="H249" t="s">
        <v>23</v>
      </c>
      <c r="I249" t="s">
        <v>81</v>
      </c>
      <c r="J249" t="s">
        <v>1119</v>
      </c>
      <c r="K249" t="s">
        <v>1120</v>
      </c>
      <c r="L249" t="s">
        <v>885</v>
      </c>
      <c r="M249" t="s">
        <v>795</v>
      </c>
      <c r="N249" t="s">
        <v>837</v>
      </c>
      <c r="O249" t="s">
        <v>886</v>
      </c>
      <c r="P249" t="s">
        <v>39</v>
      </c>
      <c r="Q249" t="s">
        <v>40</v>
      </c>
      <c r="R249" t="s">
        <v>1088</v>
      </c>
      <c r="S249" t="s">
        <v>1109</v>
      </c>
      <c r="T249" s="5">
        <v>11</v>
      </c>
      <c r="U249" s="6">
        <v>31.74</v>
      </c>
      <c r="V249" s="6">
        <v>22.38</v>
      </c>
      <c r="W249" s="8">
        <v>0</v>
      </c>
      <c r="X249" s="6">
        <f t="shared" si="15"/>
        <v>349.14</v>
      </c>
      <c r="Y249" s="6">
        <f t="shared" si="16"/>
        <v>246.17999999999998</v>
      </c>
      <c r="Z249" s="6">
        <f t="shared" si="17"/>
        <v>102.96000000000001</v>
      </c>
      <c r="AA249" t="s">
        <v>679</v>
      </c>
      <c r="AC249" s="5">
        <v>3</v>
      </c>
      <c r="AD249" t="s">
        <v>1123</v>
      </c>
      <c r="AE249" t="str">
        <f t="shared" si="18"/>
        <v>2025-09</v>
      </c>
      <c r="AF249" t="str">
        <f t="shared" si="19"/>
        <v>Q3-2025</v>
      </c>
    </row>
    <row r="250" spans="1:32" x14ac:dyDescent="0.3">
      <c r="A250" t="s">
        <v>1487</v>
      </c>
      <c r="B250" s="5">
        <v>2</v>
      </c>
      <c r="C250" s="4">
        <v>45968</v>
      </c>
      <c r="D250" s="4">
        <v>45970</v>
      </c>
      <c r="E250" t="s">
        <v>473</v>
      </c>
      <c r="F250" t="s">
        <v>474</v>
      </c>
      <c r="G250" t="s">
        <v>80</v>
      </c>
      <c r="H250" t="s">
        <v>41</v>
      </c>
      <c r="I250" t="s">
        <v>75</v>
      </c>
      <c r="J250" t="s">
        <v>1142</v>
      </c>
      <c r="K250" t="s">
        <v>1205</v>
      </c>
      <c r="L250" t="s">
        <v>964</v>
      </c>
      <c r="M250" t="s">
        <v>929</v>
      </c>
      <c r="N250" t="s">
        <v>930</v>
      </c>
      <c r="O250" t="s">
        <v>965</v>
      </c>
      <c r="P250" t="s">
        <v>34</v>
      </c>
      <c r="Q250" t="s">
        <v>35</v>
      </c>
      <c r="R250" t="s">
        <v>126</v>
      </c>
      <c r="S250" t="s">
        <v>1109</v>
      </c>
      <c r="T250" s="5">
        <v>3</v>
      </c>
      <c r="U250" s="6">
        <v>172.35</v>
      </c>
      <c r="V250" s="6">
        <v>101.47</v>
      </c>
      <c r="W250" s="8">
        <v>0</v>
      </c>
      <c r="X250" s="6">
        <f t="shared" si="15"/>
        <v>517.04999999999995</v>
      </c>
      <c r="Y250" s="6">
        <f t="shared" si="16"/>
        <v>304.40999999999997</v>
      </c>
      <c r="Z250" s="6">
        <f t="shared" si="17"/>
        <v>212.64</v>
      </c>
      <c r="AA250" t="s">
        <v>679</v>
      </c>
      <c r="AC250" s="5">
        <v>4</v>
      </c>
      <c r="AD250" t="s">
        <v>1096</v>
      </c>
      <c r="AE250" t="str">
        <f t="shared" si="18"/>
        <v>2025-11</v>
      </c>
      <c r="AF250" t="str">
        <f t="shared" si="19"/>
        <v>Q4-2025</v>
      </c>
    </row>
    <row r="251" spans="1:32" x14ac:dyDescent="0.3">
      <c r="A251" t="s">
        <v>1488</v>
      </c>
      <c r="B251" s="5">
        <v>2</v>
      </c>
      <c r="C251" s="4">
        <v>45689</v>
      </c>
      <c r="D251" s="4">
        <v>45695</v>
      </c>
      <c r="E251" t="s">
        <v>608</v>
      </c>
      <c r="F251" t="s">
        <v>609</v>
      </c>
      <c r="G251" t="s">
        <v>104</v>
      </c>
      <c r="H251" t="s">
        <v>41</v>
      </c>
      <c r="I251" t="s">
        <v>86</v>
      </c>
      <c r="J251" t="s">
        <v>1107</v>
      </c>
      <c r="K251" t="s">
        <v>1439</v>
      </c>
      <c r="L251" t="s">
        <v>966</v>
      </c>
      <c r="M251" t="s">
        <v>929</v>
      </c>
      <c r="N251" t="s">
        <v>930</v>
      </c>
      <c r="O251" t="s">
        <v>967</v>
      </c>
      <c r="P251" t="s">
        <v>46</v>
      </c>
      <c r="Q251" t="s">
        <v>47</v>
      </c>
      <c r="R251" t="s">
        <v>1094</v>
      </c>
      <c r="S251" t="s">
        <v>1156</v>
      </c>
      <c r="T251" s="5">
        <v>22</v>
      </c>
      <c r="U251" s="6">
        <v>127.22</v>
      </c>
      <c r="V251" s="6">
        <v>83.16</v>
      </c>
      <c r="W251" s="8">
        <v>0</v>
      </c>
      <c r="X251" s="6">
        <f t="shared" si="15"/>
        <v>2798.84</v>
      </c>
      <c r="Y251" s="6">
        <f t="shared" si="16"/>
        <v>1829.52</v>
      </c>
      <c r="Z251" s="6">
        <f t="shared" si="17"/>
        <v>969.32000000000016</v>
      </c>
      <c r="AA251" t="s">
        <v>679</v>
      </c>
      <c r="AC251" s="5">
        <v>2</v>
      </c>
      <c r="AD251" t="s">
        <v>1335</v>
      </c>
      <c r="AE251" t="str">
        <f t="shared" si="18"/>
        <v>2025-02</v>
      </c>
      <c r="AF251" t="str">
        <f t="shared" si="19"/>
        <v>Q1-2025</v>
      </c>
    </row>
    <row r="252" spans="1:32" x14ac:dyDescent="0.3">
      <c r="A252" t="s">
        <v>1489</v>
      </c>
      <c r="B252" s="5">
        <v>2</v>
      </c>
      <c r="C252" s="4">
        <v>45598</v>
      </c>
      <c r="D252" s="4">
        <v>45605</v>
      </c>
      <c r="E252" t="s">
        <v>619</v>
      </c>
      <c r="F252" t="s">
        <v>620</v>
      </c>
      <c r="G252" t="s">
        <v>74</v>
      </c>
      <c r="H252" t="s">
        <v>41</v>
      </c>
      <c r="I252" t="s">
        <v>86</v>
      </c>
      <c r="J252" t="s">
        <v>1086</v>
      </c>
      <c r="K252" t="s">
        <v>1234</v>
      </c>
      <c r="L252" t="s">
        <v>690</v>
      </c>
      <c r="M252" t="s">
        <v>659</v>
      </c>
      <c r="N252" t="s">
        <v>660</v>
      </c>
      <c r="O252" t="s">
        <v>691</v>
      </c>
      <c r="P252" t="s">
        <v>46</v>
      </c>
      <c r="Q252" t="s">
        <v>47</v>
      </c>
      <c r="R252" t="s">
        <v>1088</v>
      </c>
      <c r="S252" t="s">
        <v>1100</v>
      </c>
      <c r="T252" s="5">
        <v>23</v>
      </c>
      <c r="U252" s="6">
        <v>85.3</v>
      </c>
      <c r="V252" s="6">
        <v>57.12</v>
      </c>
      <c r="W252" s="8">
        <v>0</v>
      </c>
      <c r="X252" s="6">
        <f t="shared" si="15"/>
        <v>1961.8999999999999</v>
      </c>
      <c r="Y252" s="6">
        <f t="shared" si="16"/>
        <v>1313.76</v>
      </c>
      <c r="Z252" s="6">
        <f t="shared" si="17"/>
        <v>648.13999999999987</v>
      </c>
      <c r="AA252" t="s">
        <v>679</v>
      </c>
      <c r="AC252" s="5">
        <v>5</v>
      </c>
      <c r="AD252" t="s">
        <v>1123</v>
      </c>
      <c r="AE252" t="str">
        <f t="shared" si="18"/>
        <v>2024-11</v>
      </c>
      <c r="AF252" t="str">
        <f t="shared" si="19"/>
        <v>Q4-2024</v>
      </c>
    </row>
    <row r="253" spans="1:32" x14ac:dyDescent="0.3">
      <c r="A253" t="s">
        <v>1490</v>
      </c>
      <c r="B253" s="5">
        <v>2</v>
      </c>
      <c r="C253" s="4">
        <v>45327</v>
      </c>
      <c r="D253" s="4">
        <v>45329</v>
      </c>
      <c r="E253" t="s">
        <v>165</v>
      </c>
      <c r="F253" t="s">
        <v>166</v>
      </c>
      <c r="G253" t="s">
        <v>84</v>
      </c>
      <c r="H253" t="s">
        <v>20</v>
      </c>
      <c r="I253" t="s">
        <v>90</v>
      </c>
      <c r="J253" t="s">
        <v>1171</v>
      </c>
      <c r="K253" t="s">
        <v>1379</v>
      </c>
      <c r="L253" t="s">
        <v>879</v>
      </c>
      <c r="M253" t="s">
        <v>795</v>
      </c>
      <c r="N253" t="s">
        <v>837</v>
      </c>
      <c r="O253" t="s">
        <v>880</v>
      </c>
      <c r="P253" t="s">
        <v>24</v>
      </c>
      <c r="Q253" t="s">
        <v>25</v>
      </c>
      <c r="R253" t="s">
        <v>1114</v>
      </c>
      <c r="S253" t="s">
        <v>1095</v>
      </c>
      <c r="T253" s="5">
        <v>4</v>
      </c>
      <c r="U253" s="6">
        <v>161.46</v>
      </c>
      <c r="V253" s="6">
        <v>115.3</v>
      </c>
      <c r="W253" s="8">
        <v>0</v>
      </c>
      <c r="X253" s="6">
        <f t="shared" si="15"/>
        <v>645.84</v>
      </c>
      <c r="Y253" s="6">
        <f t="shared" si="16"/>
        <v>461.2</v>
      </c>
      <c r="Z253" s="6">
        <f t="shared" si="17"/>
        <v>184.64000000000004</v>
      </c>
      <c r="AA253" t="s">
        <v>679</v>
      </c>
      <c r="AC253" s="5"/>
      <c r="AE253" t="str">
        <f t="shared" si="18"/>
        <v>2024-02</v>
      </c>
      <c r="AF253" t="str">
        <f t="shared" si="19"/>
        <v>Q1-2024</v>
      </c>
    </row>
    <row r="254" spans="1:32" x14ac:dyDescent="0.3">
      <c r="A254" t="s">
        <v>1491</v>
      </c>
      <c r="B254" s="5">
        <v>2</v>
      </c>
      <c r="C254" s="4">
        <v>45812</v>
      </c>
      <c r="D254" s="4">
        <v>45814</v>
      </c>
      <c r="E254" t="s">
        <v>505</v>
      </c>
      <c r="F254" t="s">
        <v>506</v>
      </c>
      <c r="G254" t="s">
        <v>74</v>
      </c>
      <c r="H254" t="s">
        <v>41</v>
      </c>
      <c r="I254" t="s">
        <v>75</v>
      </c>
      <c r="J254" t="s">
        <v>1142</v>
      </c>
      <c r="K254" t="s">
        <v>1143</v>
      </c>
      <c r="L254" t="s">
        <v>780</v>
      </c>
      <c r="M254" t="s">
        <v>659</v>
      </c>
      <c r="N254" t="s">
        <v>754</v>
      </c>
      <c r="O254" t="s">
        <v>781</v>
      </c>
      <c r="P254" t="s">
        <v>34</v>
      </c>
      <c r="Q254" t="s">
        <v>35</v>
      </c>
      <c r="R254" t="s">
        <v>126</v>
      </c>
      <c r="S254" t="s">
        <v>1109</v>
      </c>
      <c r="T254" s="5">
        <v>3</v>
      </c>
      <c r="U254" s="6">
        <v>24.5</v>
      </c>
      <c r="V254" s="6">
        <v>18.48</v>
      </c>
      <c r="W254" s="8">
        <v>0.26519999999999999</v>
      </c>
      <c r="X254" s="6">
        <f t="shared" si="15"/>
        <v>54.007800000000003</v>
      </c>
      <c r="Y254" s="6">
        <f t="shared" si="16"/>
        <v>55.44</v>
      </c>
      <c r="Z254" s="6">
        <f t="shared" si="17"/>
        <v>-1.4321999999999946</v>
      </c>
      <c r="AA254" t="s">
        <v>679</v>
      </c>
      <c r="AC254" s="5">
        <v>2</v>
      </c>
      <c r="AD254" t="s">
        <v>1101</v>
      </c>
      <c r="AE254" t="str">
        <f t="shared" si="18"/>
        <v>2025-06</v>
      </c>
      <c r="AF254" t="str">
        <f t="shared" si="19"/>
        <v>Q2-2025</v>
      </c>
    </row>
    <row r="255" spans="1:32" x14ac:dyDescent="0.3">
      <c r="A255" t="s">
        <v>1492</v>
      </c>
      <c r="B255" s="5">
        <v>4</v>
      </c>
      <c r="C255" s="4">
        <v>45785</v>
      </c>
      <c r="D255" s="4">
        <v>45790</v>
      </c>
      <c r="E255" t="s">
        <v>488</v>
      </c>
      <c r="F255" t="s">
        <v>489</v>
      </c>
      <c r="G255" t="s">
        <v>74</v>
      </c>
      <c r="H255" t="s">
        <v>41</v>
      </c>
      <c r="I255" t="s">
        <v>86</v>
      </c>
      <c r="J255" t="s">
        <v>1086</v>
      </c>
      <c r="K255" t="s">
        <v>1087</v>
      </c>
      <c r="L255" t="s">
        <v>1001</v>
      </c>
      <c r="M255" t="s">
        <v>1002</v>
      </c>
      <c r="N255" t="s">
        <v>1003</v>
      </c>
      <c r="O255" t="s">
        <v>1004</v>
      </c>
      <c r="P255" t="s">
        <v>34</v>
      </c>
      <c r="Q255" t="s">
        <v>35</v>
      </c>
      <c r="R255" t="s">
        <v>1088</v>
      </c>
      <c r="S255" t="s">
        <v>1109</v>
      </c>
      <c r="T255" s="5">
        <v>3</v>
      </c>
      <c r="U255" s="6">
        <v>276.97000000000003</v>
      </c>
      <c r="V255" s="6">
        <v>146.71</v>
      </c>
      <c r="W255" s="8">
        <v>0</v>
      </c>
      <c r="X255" s="6">
        <f t="shared" si="15"/>
        <v>830.91000000000008</v>
      </c>
      <c r="Y255" s="6">
        <f t="shared" si="16"/>
        <v>440.13</v>
      </c>
      <c r="Z255" s="6">
        <f t="shared" si="17"/>
        <v>390.78000000000009</v>
      </c>
      <c r="AA255" t="s">
        <v>662</v>
      </c>
      <c r="AB255" t="s">
        <v>1327</v>
      </c>
      <c r="AC255" s="5">
        <v>2</v>
      </c>
      <c r="AD255" t="s">
        <v>1101</v>
      </c>
      <c r="AE255" t="str">
        <f t="shared" si="18"/>
        <v>2025-05</v>
      </c>
      <c r="AF255" t="str">
        <f t="shared" si="19"/>
        <v>Q2-2025</v>
      </c>
    </row>
    <row r="256" spans="1:32" x14ac:dyDescent="0.3">
      <c r="A256" t="s">
        <v>1493</v>
      </c>
      <c r="B256" s="5">
        <v>1</v>
      </c>
      <c r="C256" s="4">
        <v>45880</v>
      </c>
      <c r="D256" s="4">
        <v>45889</v>
      </c>
      <c r="E256" t="s">
        <v>560</v>
      </c>
      <c r="F256" t="s">
        <v>200</v>
      </c>
      <c r="G256" t="s">
        <v>65</v>
      </c>
      <c r="H256" t="s">
        <v>23</v>
      </c>
      <c r="I256" t="s">
        <v>93</v>
      </c>
      <c r="J256" t="s">
        <v>1103</v>
      </c>
      <c r="K256" t="s">
        <v>1104</v>
      </c>
      <c r="L256" t="s">
        <v>824</v>
      </c>
      <c r="M256" t="s">
        <v>795</v>
      </c>
      <c r="N256" t="s">
        <v>796</v>
      </c>
      <c r="O256" t="s">
        <v>825</v>
      </c>
      <c r="P256" t="s">
        <v>17</v>
      </c>
      <c r="Q256" t="s">
        <v>18</v>
      </c>
      <c r="R256" t="s">
        <v>126</v>
      </c>
      <c r="S256" t="s">
        <v>1089</v>
      </c>
      <c r="T256" s="5">
        <v>8</v>
      </c>
      <c r="U256" s="6">
        <v>131.68</v>
      </c>
      <c r="V256" s="6">
        <v>78.430000000000007</v>
      </c>
      <c r="W256" s="8">
        <v>0</v>
      </c>
      <c r="X256" s="6">
        <f t="shared" si="15"/>
        <v>1053.44</v>
      </c>
      <c r="Y256" s="6">
        <f t="shared" si="16"/>
        <v>627.44000000000005</v>
      </c>
      <c r="Z256" s="6">
        <f t="shared" si="17"/>
        <v>426</v>
      </c>
      <c r="AA256" t="s">
        <v>679</v>
      </c>
      <c r="AC256" s="5">
        <v>5</v>
      </c>
      <c r="AD256" t="s">
        <v>1123</v>
      </c>
      <c r="AE256" t="str">
        <f t="shared" si="18"/>
        <v>2025-08</v>
      </c>
      <c r="AF256" t="str">
        <f t="shared" si="19"/>
        <v>Q3-2025</v>
      </c>
    </row>
    <row r="257" spans="1:32" x14ac:dyDescent="0.3">
      <c r="A257" t="s">
        <v>1494</v>
      </c>
      <c r="B257" s="5">
        <v>1</v>
      </c>
      <c r="C257" s="4">
        <v>45898</v>
      </c>
      <c r="D257" s="4">
        <v>45910</v>
      </c>
      <c r="E257" t="s">
        <v>119</v>
      </c>
      <c r="F257" t="s">
        <v>120</v>
      </c>
      <c r="G257" t="s">
        <v>84</v>
      </c>
      <c r="H257" t="s">
        <v>31</v>
      </c>
      <c r="I257" t="s">
        <v>67</v>
      </c>
      <c r="J257" t="s">
        <v>1128</v>
      </c>
      <c r="K257" t="s">
        <v>1339</v>
      </c>
      <c r="L257" t="s">
        <v>904</v>
      </c>
      <c r="M257" t="s">
        <v>795</v>
      </c>
      <c r="N257" t="s">
        <v>898</v>
      </c>
      <c r="O257" t="s">
        <v>905</v>
      </c>
      <c r="P257" t="s">
        <v>21</v>
      </c>
      <c r="Q257" t="s">
        <v>22</v>
      </c>
      <c r="R257" t="s">
        <v>1114</v>
      </c>
      <c r="S257" t="s">
        <v>1109</v>
      </c>
      <c r="T257" s="5">
        <v>24</v>
      </c>
      <c r="U257" s="6">
        <v>310.14999999999998</v>
      </c>
      <c r="V257" s="6">
        <v>186.51</v>
      </c>
      <c r="W257" s="8">
        <v>0</v>
      </c>
      <c r="X257" s="6">
        <f t="shared" si="15"/>
        <v>7443.5999999999995</v>
      </c>
      <c r="Y257" s="6">
        <f t="shared" si="16"/>
        <v>4476.24</v>
      </c>
      <c r="Z257" s="6">
        <f t="shared" si="17"/>
        <v>2967.3599999999997</v>
      </c>
      <c r="AA257" t="s">
        <v>679</v>
      </c>
      <c r="AC257" s="5">
        <v>3</v>
      </c>
      <c r="AD257" t="s">
        <v>1136</v>
      </c>
      <c r="AE257" t="str">
        <f t="shared" si="18"/>
        <v>2025-08</v>
      </c>
      <c r="AF257" t="str">
        <f t="shared" si="19"/>
        <v>Q3-2025</v>
      </c>
    </row>
    <row r="258" spans="1:32" x14ac:dyDescent="0.3">
      <c r="A258" t="s">
        <v>1495</v>
      </c>
      <c r="B258" s="5">
        <v>1</v>
      </c>
      <c r="C258" s="4">
        <v>46026</v>
      </c>
      <c r="D258" s="4">
        <v>46038</v>
      </c>
      <c r="E258" t="s">
        <v>324</v>
      </c>
      <c r="F258" t="s">
        <v>325</v>
      </c>
      <c r="G258" t="s">
        <v>65</v>
      </c>
      <c r="H258" t="s">
        <v>20</v>
      </c>
      <c r="I258" t="s">
        <v>71</v>
      </c>
      <c r="J258" t="s">
        <v>1166</v>
      </c>
      <c r="K258" t="s">
        <v>1436</v>
      </c>
      <c r="L258" t="s">
        <v>960</v>
      </c>
      <c r="M258" t="s">
        <v>929</v>
      </c>
      <c r="N258" t="s">
        <v>930</v>
      </c>
      <c r="O258" t="s">
        <v>961</v>
      </c>
      <c r="P258" t="s">
        <v>44</v>
      </c>
      <c r="Q258" t="s">
        <v>45</v>
      </c>
      <c r="R258" t="s">
        <v>126</v>
      </c>
      <c r="S258" t="s">
        <v>1109</v>
      </c>
      <c r="T258" s="5">
        <v>1</v>
      </c>
      <c r="U258" s="6">
        <v>184.83</v>
      </c>
      <c r="V258" s="6">
        <v>139.97</v>
      </c>
      <c r="W258" s="8">
        <v>0</v>
      </c>
      <c r="X258" s="6">
        <f t="shared" ref="X258:X321" si="20">T258*U258*(1-IF(ISBLANK(W258),0,W258))</f>
        <v>184.83</v>
      </c>
      <c r="Y258" s="6">
        <f t="shared" ref="Y258:Y321" si="21">T258*V258</f>
        <v>139.97</v>
      </c>
      <c r="Z258" s="6">
        <f t="shared" ref="Z258:Z321" si="22">X258-Y258</f>
        <v>44.860000000000014</v>
      </c>
      <c r="AA258" t="s">
        <v>679</v>
      </c>
      <c r="AC258" s="5">
        <v>2</v>
      </c>
      <c r="AD258" t="s">
        <v>1496</v>
      </c>
      <c r="AE258" t="str">
        <f t="shared" ref="AE258:AE321" si="23">TEXT(C258,"yyyy-mm")</f>
        <v>2026-01</v>
      </c>
      <c r="AF258" t="str">
        <f t="shared" ref="AF258:AF321" si="24">"Q"&amp;ROUNDUP(MONTH(C258)/3,0)&amp;"-"&amp;YEAR(C258)</f>
        <v>Q1-2026</v>
      </c>
    </row>
    <row r="259" spans="1:32" x14ac:dyDescent="0.3">
      <c r="A259" t="s">
        <v>1497</v>
      </c>
      <c r="B259" s="5">
        <v>3</v>
      </c>
      <c r="C259" s="4">
        <v>45388</v>
      </c>
      <c r="D259" s="4">
        <v>45389</v>
      </c>
      <c r="E259" t="s">
        <v>538</v>
      </c>
      <c r="F259" t="s">
        <v>539</v>
      </c>
      <c r="G259" t="s">
        <v>74</v>
      </c>
      <c r="H259" t="s">
        <v>31</v>
      </c>
      <c r="I259" t="s">
        <v>127</v>
      </c>
      <c r="J259" t="s">
        <v>1098</v>
      </c>
      <c r="K259" t="s">
        <v>1099</v>
      </c>
      <c r="L259" t="s">
        <v>1005</v>
      </c>
      <c r="M259" t="s">
        <v>1002</v>
      </c>
      <c r="N259" t="s">
        <v>1003</v>
      </c>
      <c r="O259" t="s">
        <v>1006</v>
      </c>
      <c r="P259" t="s">
        <v>53</v>
      </c>
      <c r="Q259" t="s">
        <v>54</v>
      </c>
      <c r="R259" t="s">
        <v>1088</v>
      </c>
      <c r="S259" t="s">
        <v>1109</v>
      </c>
      <c r="T259" s="5">
        <v>16</v>
      </c>
      <c r="U259" s="6">
        <v>100.14</v>
      </c>
      <c r="V259" s="6">
        <v>76.489999999999995</v>
      </c>
      <c r="W259" s="8">
        <v>0</v>
      </c>
      <c r="X259" s="6">
        <f t="shared" si="20"/>
        <v>1602.24</v>
      </c>
      <c r="Y259" s="6">
        <f t="shared" si="21"/>
        <v>1223.8399999999999</v>
      </c>
      <c r="Z259" s="6">
        <f t="shared" si="22"/>
        <v>378.40000000000009</v>
      </c>
      <c r="AA259" t="s">
        <v>679</v>
      </c>
      <c r="AC259" s="5">
        <v>5</v>
      </c>
      <c r="AD259" t="s">
        <v>1136</v>
      </c>
      <c r="AE259" t="str">
        <f t="shared" si="23"/>
        <v>2024-04</v>
      </c>
      <c r="AF259" t="str">
        <f t="shared" si="24"/>
        <v>Q2-2024</v>
      </c>
    </row>
    <row r="260" spans="1:32" x14ac:dyDescent="0.3">
      <c r="A260" t="s">
        <v>1498</v>
      </c>
      <c r="B260" s="5">
        <v>5</v>
      </c>
      <c r="C260" s="4">
        <v>45757</v>
      </c>
      <c r="D260" s="4">
        <v>45761</v>
      </c>
      <c r="E260" t="s">
        <v>124</v>
      </c>
      <c r="F260" t="s">
        <v>125</v>
      </c>
      <c r="G260" t="s">
        <v>65</v>
      </c>
      <c r="H260" t="s">
        <v>23</v>
      </c>
      <c r="I260" t="s">
        <v>81</v>
      </c>
      <c r="J260" t="s">
        <v>1119</v>
      </c>
      <c r="K260" t="s">
        <v>1291</v>
      </c>
      <c r="L260" t="s">
        <v>956</v>
      </c>
      <c r="M260" t="s">
        <v>929</v>
      </c>
      <c r="N260" t="s">
        <v>930</v>
      </c>
      <c r="O260" t="s">
        <v>957</v>
      </c>
      <c r="P260" t="s">
        <v>17</v>
      </c>
      <c r="Q260" t="s">
        <v>18</v>
      </c>
      <c r="R260" t="s">
        <v>1088</v>
      </c>
      <c r="S260" t="s">
        <v>1109</v>
      </c>
      <c r="T260" s="5">
        <v>10</v>
      </c>
      <c r="U260" s="6">
        <v>263.63</v>
      </c>
      <c r="V260" s="6">
        <v>190.78</v>
      </c>
      <c r="W260" s="8">
        <v>9.3600000000000003E-2</v>
      </c>
      <c r="X260" s="6">
        <f t="shared" si="20"/>
        <v>2389.54232</v>
      </c>
      <c r="Y260" s="6">
        <f t="shared" si="21"/>
        <v>1907.8</v>
      </c>
      <c r="Z260" s="6">
        <f t="shared" si="22"/>
        <v>481.74232000000006</v>
      </c>
      <c r="AA260" t="s">
        <v>679</v>
      </c>
      <c r="AC260" s="5">
        <v>4</v>
      </c>
      <c r="AD260" t="s">
        <v>1101</v>
      </c>
      <c r="AE260" t="str">
        <f t="shared" si="23"/>
        <v>2025-04</v>
      </c>
      <c r="AF260" t="str">
        <f t="shared" si="24"/>
        <v>Q2-2025</v>
      </c>
    </row>
    <row r="261" spans="1:32" x14ac:dyDescent="0.3">
      <c r="A261" t="s">
        <v>1499</v>
      </c>
      <c r="B261" s="5">
        <v>1</v>
      </c>
      <c r="C261" s="4">
        <v>45481</v>
      </c>
      <c r="D261" s="4">
        <v>45492</v>
      </c>
      <c r="E261" t="s">
        <v>481</v>
      </c>
      <c r="F261" t="s">
        <v>482</v>
      </c>
      <c r="G261" t="s">
        <v>104</v>
      </c>
      <c r="H261" t="s">
        <v>41</v>
      </c>
      <c r="I261" t="s">
        <v>86</v>
      </c>
      <c r="J261" t="s">
        <v>1107</v>
      </c>
      <c r="K261" t="s">
        <v>1230</v>
      </c>
      <c r="L261" t="s">
        <v>694</v>
      </c>
      <c r="M261" t="s">
        <v>659</v>
      </c>
      <c r="N261" t="s">
        <v>660</v>
      </c>
      <c r="O261" t="s">
        <v>695</v>
      </c>
      <c r="P261" t="s">
        <v>32</v>
      </c>
      <c r="Q261" t="s">
        <v>33</v>
      </c>
      <c r="R261" t="s">
        <v>1088</v>
      </c>
      <c r="S261" t="s">
        <v>1156</v>
      </c>
      <c r="T261" s="5">
        <v>6</v>
      </c>
      <c r="U261" s="6">
        <v>161.47</v>
      </c>
      <c r="V261" s="6">
        <v>105.86</v>
      </c>
      <c r="W261" s="8">
        <v>0</v>
      </c>
      <c r="X261" s="6">
        <f t="shared" si="20"/>
        <v>968.81999999999994</v>
      </c>
      <c r="Y261" s="6">
        <f t="shared" si="21"/>
        <v>635.16</v>
      </c>
      <c r="Z261" s="6">
        <f t="shared" si="22"/>
        <v>333.65999999999997</v>
      </c>
      <c r="AA261" t="s">
        <v>679</v>
      </c>
      <c r="AC261" s="5">
        <v>1</v>
      </c>
      <c r="AD261" t="s">
        <v>1096</v>
      </c>
      <c r="AE261" t="str">
        <f t="shared" si="23"/>
        <v>2024-07</v>
      </c>
      <c r="AF261" t="str">
        <f t="shared" si="24"/>
        <v>Q3-2024</v>
      </c>
    </row>
    <row r="262" spans="1:32" x14ac:dyDescent="0.3">
      <c r="A262" t="s">
        <v>1500</v>
      </c>
      <c r="B262" s="5">
        <v>4</v>
      </c>
      <c r="C262" s="4">
        <v>45781</v>
      </c>
      <c r="D262" s="4">
        <v>45784</v>
      </c>
      <c r="E262" t="s">
        <v>100</v>
      </c>
      <c r="F262" t="s">
        <v>1501</v>
      </c>
      <c r="G262" t="s">
        <v>74</v>
      </c>
      <c r="H262" t="s">
        <v>41</v>
      </c>
      <c r="I262" t="s">
        <v>75</v>
      </c>
      <c r="J262" t="s">
        <v>1142</v>
      </c>
      <c r="K262" t="s">
        <v>1143</v>
      </c>
      <c r="L262" t="s">
        <v>753</v>
      </c>
      <c r="M262" t="s">
        <v>659</v>
      </c>
      <c r="N262" t="s">
        <v>754</v>
      </c>
      <c r="O262" t="s">
        <v>755</v>
      </c>
      <c r="P262" t="s">
        <v>21</v>
      </c>
      <c r="Q262" t="s">
        <v>22</v>
      </c>
      <c r="R262" t="s">
        <v>1088</v>
      </c>
      <c r="S262" t="s">
        <v>1109</v>
      </c>
      <c r="T262" s="5">
        <v>3</v>
      </c>
      <c r="U262" s="6">
        <v>7.69</v>
      </c>
      <c r="V262" s="6">
        <v>5</v>
      </c>
      <c r="W262" s="8">
        <v>0</v>
      </c>
      <c r="X262" s="6">
        <f t="shared" si="20"/>
        <v>23.07</v>
      </c>
      <c r="Y262" s="6">
        <f t="shared" si="21"/>
        <v>15</v>
      </c>
      <c r="Z262" s="6">
        <f t="shared" si="22"/>
        <v>8.07</v>
      </c>
      <c r="AA262" t="s">
        <v>679</v>
      </c>
      <c r="AC262" s="5"/>
      <c r="AE262" t="str">
        <f t="shared" si="23"/>
        <v>2025-05</v>
      </c>
      <c r="AF262" t="str">
        <f t="shared" si="24"/>
        <v>Q2-2025</v>
      </c>
    </row>
    <row r="263" spans="1:32" x14ac:dyDescent="0.3">
      <c r="A263" t="s">
        <v>1502</v>
      </c>
      <c r="B263" s="5">
        <v>3</v>
      </c>
      <c r="C263" s="4">
        <v>45601</v>
      </c>
      <c r="D263" s="4">
        <v>45603</v>
      </c>
      <c r="E263" t="s">
        <v>501</v>
      </c>
      <c r="F263" t="s">
        <v>502</v>
      </c>
      <c r="G263" t="s">
        <v>65</v>
      </c>
      <c r="H263" t="s">
        <v>41</v>
      </c>
      <c r="I263" t="s">
        <v>75</v>
      </c>
      <c r="J263" t="s">
        <v>1142</v>
      </c>
      <c r="K263" t="s">
        <v>1143</v>
      </c>
      <c r="L263" t="s">
        <v>889</v>
      </c>
      <c r="M263" t="s">
        <v>795</v>
      </c>
      <c r="N263" t="s">
        <v>837</v>
      </c>
      <c r="O263" t="s">
        <v>890</v>
      </c>
      <c r="P263" t="s">
        <v>32</v>
      </c>
      <c r="Q263" t="s">
        <v>33</v>
      </c>
      <c r="R263" t="s">
        <v>126</v>
      </c>
      <c r="S263" t="s">
        <v>1156</v>
      </c>
      <c r="T263" s="5">
        <v>34</v>
      </c>
      <c r="U263" s="6">
        <v>261.51</v>
      </c>
      <c r="V263" s="6">
        <v>145.66</v>
      </c>
      <c r="W263" s="8">
        <v>0</v>
      </c>
      <c r="X263" s="6">
        <f t="shared" si="20"/>
        <v>8891.34</v>
      </c>
      <c r="Y263" s="6">
        <f t="shared" si="21"/>
        <v>4952.4399999999996</v>
      </c>
      <c r="Z263" s="6">
        <f t="shared" si="22"/>
        <v>3938.9000000000005</v>
      </c>
      <c r="AA263" t="s">
        <v>679</v>
      </c>
      <c r="AC263" s="5"/>
      <c r="AD263" t="s">
        <v>1252</v>
      </c>
      <c r="AE263" t="str">
        <f t="shared" si="23"/>
        <v>2024-11</v>
      </c>
      <c r="AF263" t="str">
        <f t="shared" si="24"/>
        <v>Q4-2024</v>
      </c>
    </row>
    <row r="264" spans="1:32" x14ac:dyDescent="0.3">
      <c r="A264" t="s">
        <v>1503</v>
      </c>
      <c r="B264" s="5">
        <v>4</v>
      </c>
      <c r="C264" s="4">
        <v>45621</v>
      </c>
      <c r="D264" s="4">
        <v>45622</v>
      </c>
      <c r="E264" t="s">
        <v>490</v>
      </c>
      <c r="F264" t="s">
        <v>491</v>
      </c>
      <c r="G264" t="s">
        <v>65</v>
      </c>
      <c r="H264" t="s">
        <v>31</v>
      </c>
      <c r="I264" t="s">
        <v>160</v>
      </c>
      <c r="J264" t="s">
        <v>1125</v>
      </c>
      <c r="K264" t="s">
        <v>1126</v>
      </c>
      <c r="L264" t="s">
        <v>727</v>
      </c>
      <c r="M264" t="s">
        <v>659</v>
      </c>
      <c r="N264" t="s">
        <v>713</v>
      </c>
      <c r="O264" t="s">
        <v>728</v>
      </c>
      <c r="P264" t="s">
        <v>44</v>
      </c>
      <c r="Q264" t="s">
        <v>45</v>
      </c>
      <c r="R264" t="s">
        <v>1094</v>
      </c>
      <c r="S264" t="s">
        <v>1100</v>
      </c>
      <c r="T264" s="5">
        <v>3</v>
      </c>
      <c r="U264" s="6">
        <v>28.09</v>
      </c>
      <c r="V264" s="6">
        <v>13.85</v>
      </c>
      <c r="W264" s="8">
        <v>0</v>
      </c>
      <c r="X264" s="6">
        <f t="shared" si="20"/>
        <v>84.27</v>
      </c>
      <c r="Y264" s="6">
        <f t="shared" si="21"/>
        <v>41.55</v>
      </c>
      <c r="Z264" s="6">
        <f t="shared" si="22"/>
        <v>42.72</v>
      </c>
      <c r="AA264" t="s">
        <v>679</v>
      </c>
      <c r="AC264" s="5">
        <v>2</v>
      </c>
      <c r="AD264" t="s">
        <v>1148</v>
      </c>
      <c r="AE264" t="str">
        <f t="shared" si="23"/>
        <v>2024-11</v>
      </c>
      <c r="AF264" t="str">
        <f t="shared" si="24"/>
        <v>Q4-2024</v>
      </c>
    </row>
    <row r="265" spans="1:32" x14ac:dyDescent="0.3">
      <c r="A265" t="s">
        <v>1504</v>
      </c>
      <c r="B265" s="5">
        <v>1</v>
      </c>
      <c r="C265" s="4">
        <v>45676</v>
      </c>
      <c r="D265" s="4">
        <v>45689</v>
      </c>
      <c r="E265" t="s">
        <v>387</v>
      </c>
      <c r="F265" t="s">
        <v>388</v>
      </c>
      <c r="G265" t="s">
        <v>65</v>
      </c>
      <c r="H265" t="s">
        <v>31</v>
      </c>
      <c r="I265" t="s">
        <v>160</v>
      </c>
      <c r="J265" t="s">
        <v>1125</v>
      </c>
      <c r="K265" t="s">
        <v>1132</v>
      </c>
      <c r="L265" t="s">
        <v>922</v>
      </c>
      <c r="M265" t="s">
        <v>795</v>
      </c>
      <c r="N265" t="s">
        <v>898</v>
      </c>
      <c r="O265" t="s">
        <v>923</v>
      </c>
      <c r="P265" t="s">
        <v>44</v>
      </c>
      <c r="Q265" t="s">
        <v>45</v>
      </c>
      <c r="R265" t="s">
        <v>126</v>
      </c>
      <c r="S265" t="s">
        <v>1095</v>
      </c>
      <c r="T265" s="5">
        <v>9</v>
      </c>
      <c r="U265" s="6">
        <v>287.10000000000002</v>
      </c>
      <c r="V265" s="6">
        <v>173.34</v>
      </c>
      <c r="W265" s="8">
        <v>0.32569999999999999</v>
      </c>
      <c r="X265" s="6">
        <f t="shared" si="20"/>
        <v>1742.3237700000002</v>
      </c>
      <c r="Y265" s="6">
        <f t="shared" si="21"/>
        <v>1560.06</v>
      </c>
      <c r="Z265" s="6">
        <f t="shared" si="22"/>
        <v>182.26377000000025</v>
      </c>
      <c r="AA265" t="s">
        <v>679</v>
      </c>
      <c r="AC265" s="5">
        <v>5</v>
      </c>
      <c r="AD265" t="s">
        <v>1110</v>
      </c>
      <c r="AE265" t="str">
        <f t="shared" si="23"/>
        <v>2025-01</v>
      </c>
      <c r="AF265" t="str">
        <f t="shared" si="24"/>
        <v>Q1-2025</v>
      </c>
    </row>
    <row r="266" spans="1:32" x14ac:dyDescent="0.3">
      <c r="A266" t="s">
        <v>1505</v>
      </c>
      <c r="B266" s="5">
        <v>4</v>
      </c>
      <c r="C266" s="4">
        <v>45946</v>
      </c>
      <c r="D266" s="4">
        <v>45950</v>
      </c>
      <c r="E266" t="s">
        <v>184</v>
      </c>
      <c r="F266" t="s">
        <v>185</v>
      </c>
      <c r="G266" t="s">
        <v>74</v>
      </c>
      <c r="H266" t="s">
        <v>23</v>
      </c>
      <c r="I266" t="s">
        <v>93</v>
      </c>
      <c r="J266" t="s">
        <v>1450</v>
      </c>
      <c r="K266" t="s">
        <v>1506</v>
      </c>
      <c r="L266" t="s">
        <v>669</v>
      </c>
      <c r="M266" t="s">
        <v>659</v>
      </c>
      <c r="N266" t="s">
        <v>660</v>
      </c>
      <c r="O266" t="s">
        <v>670</v>
      </c>
      <c r="P266" t="s">
        <v>42</v>
      </c>
      <c r="Q266" t="s">
        <v>43</v>
      </c>
      <c r="R266" t="s">
        <v>126</v>
      </c>
      <c r="S266" t="s">
        <v>1109</v>
      </c>
      <c r="T266" s="5">
        <v>26</v>
      </c>
      <c r="U266" s="6">
        <v>9.1</v>
      </c>
      <c r="V266" s="6">
        <v>5</v>
      </c>
      <c r="W266" s="8">
        <v>0</v>
      </c>
      <c r="X266" s="6">
        <f t="shared" si="20"/>
        <v>236.6</v>
      </c>
      <c r="Y266" s="6">
        <f t="shared" si="21"/>
        <v>130</v>
      </c>
      <c r="Z266" s="6">
        <f t="shared" si="22"/>
        <v>106.6</v>
      </c>
      <c r="AA266" t="s">
        <v>679</v>
      </c>
      <c r="AC266" s="5">
        <v>2</v>
      </c>
      <c r="AD266" t="s">
        <v>1148</v>
      </c>
      <c r="AE266" t="str">
        <f t="shared" si="23"/>
        <v>2025-10</v>
      </c>
      <c r="AF266" t="str">
        <f t="shared" si="24"/>
        <v>Q4-2025</v>
      </c>
    </row>
    <row r="267" spans="1:32" x14ac:dyDescent="0.3">
      <c r="A267" t="s">
        <v>1507</v>
      </c>
      <c r="B267" s="5">
        <v>1</v>
      </c>
      <c r="C267" s="4">
        <v>45497</v>
      </c>
      <c r="D267" s="4">
        <v>45510</v>
      </c>
      <c r="E267" t="s">
        <v>209</v>
      </c>
      <c r="F267" t="s">
        <v>210</v>
      </c>
      <c r="G267" t="s">
        <v>65</v>
      </c>
      <c r="H267" t="s">
        <v>31</v>
      </c>
      <c r="I267" t="s">
        <v>127</v>
      </c>
      <c r="J267" t="s">
        <v>1098</v>
      </c>
      <c r="K267" t="s">
        <v>1217</v>
      </c>
      <c r="L267" t="s">
        <v>1033</v>
      </c>
      <c r="M267" t="s">
        <v>1002</v>
      </c>
      <c r="N267" t="s">
        <v>1034</v>
      </c>
      <c r="O267" t="s">
        <v>1035</v>
      </c>
      <c r="P267" t="s">
        <v>48</v>
      </c>
      <c r="Q267" t="s">
        <v>49</v>
      </c>
      <c r="R267" t="s">
        <v>1114</v>
      </c>
      <c r="S267" t="s">
        <v>1109</v>
      </c>
      <c r="T267" s="5">
        <v>10</v>
      </c>
      <c r="U267" s="6">
        <v>194.62</v>
      </c>
      <c r="V267" s="6">
        <v>113.68</v>
      </c>
      <c r="W267" s="8">
        <v>0.29670000000000002</v>
      </c>
      <c r="X267" s="6">
        <f t="shared" si="20"/>
        <v>1368.7624600000001</v>
      </c>
      <c r="Y267" s="6">
        <f t="shared" si="21"/>
        <v>1136.8000000000002</v>
      </c>
      <c r="Z267" s="6">
        <f t="shared" si="22"/>
        <v>231.96245999999996</v>
      </c>
      <c r="AA267" t="s">
        <v>662</v>
      </c>
      <c r="AB267" t="s">
        <v>1508</v>
      </c>
      <c r="AC267" s="5">
        <v>1</v>
      </c>
      <c r="AE267" t="str">
        <f t="shared" si="23"/>
        <v>2024-07</v>
      </c>
      <c r="AF267" t="str">
        <f t="shared" si="24"/>
        <v>Q3-2024</v>
      </c>
    </row>
    <row r="268" spans="1:32" x14ac:dyDescent="0.3">
      <c r="A268" t="s">
        <v>1509</v>
      </c>
      <c r="B268" s="5">
        <v>5</v>
      </c>
      <c r="C268" s="4">
        <v>45911</v>
      </c>
      <c r="D268" s="4">
        <v>45916</v>
      </c>
      <c r="E268" t="s">
        <v>636</v>
      </c>
      <c r="F268" t="s">
        <v>236</v>
      </c>
      <c r="G268" t="s">
        <v>74</v>
      </c>
      <c r="H268" t="s">
        <v>41</v>
      </c>
      <c r="I268" t="s">
        <v>86</v>
      </c>
      <c r="J268" t="s">
        <v>1107</v>
      </c>
      <c r="K268" t="s">
        <v>1439</v>
      </c>
      <c r="L268" t="s">
        <v>985</v>
      </c>
      <c r="M268" t="s">
        <v>929</v>
      </c>
      <c r="N268" t="s">
        <v>971</v>
      </c>
      <c r="O268" t="s">
        <v>986</v>
      </c>
      <c r="P268" t="s">
        <v>44</v>
      </c>
      <c r="Q268" t="s">
        <v>45</v>
      </c>
      <c r="R268" t="s">
        <v>1088</v>
      </c>
      <c r="S268" t="s">
        <v>1109</v>
      </c>
      <c r="T268" s="5">
        <v>24</v>
      </c>
      <c r="U268" s="6">
        <v>98.97</v>
      </c>
      <c r="V268" s="6">
        <v>62.43</v>
      </c>
      <c r="W268" s="8">
        <v>0</v>
      </c>
      <c r="X268" s="6">
        <f t="shared" si="20"/>
        <v>2375.2799999999997</v>
      </c>
      <c r="Y268" s="6">
        <f t="shared" si="21"/>
        <v>1498.32</v>
      </c>
      <c r="Z268" s="6">
        <f t="shared" si="22"/>
        <v>876.95999999999981</v>
      </c>
      <c r="AA268" t="s">
        <v>679</v>
      </c>
      <c r="AC268" s="5">
        <v>5</v>
      </c>
      <c r="AD268" t="s">
        <v>1123</v>
      </c>
      <c r="AE268" t="str">
        <f t="shared" si="23"/>
        <v>2025-09</v>
      </c>
      <c r="AF268" t="str">
        <f t="shared" si="24"/>
        <v>Q3-2025</v>
      </c>
    </row>
    <row r="269" spans="1:32" x14ac:dyDescent="0.3">
      <c r="A269" t="s">
        <v>1510</v>
      </c>
      <c r="B269" s="5">
        <v>3</v>
      </c>
      <c r="C269" s="4">
        <v>45863</v>
      </c>
      <c r="D269" s="4">
        <v>45865</v>
      </c>
      <c r="E269" t="s">
        <v>289</v>
      </c>
      <c r="F269" t="s">
        <v>290</v>
      </c>
      <c r="G269" t="s">
        <v>84</v>
      </c>
      <c r="H269" t="s">
        <v>23</v>
      </c>
      <c r="I269" t="s">
        <v>93</v>
      </c>
      <c r="J269" t="s">
        <v>1450</v>
      </c>
      <c r="K269" t="s">
        <v>1451</v>
      </c>
      <c r="L269" t="s">
        <v>665</v>
      </c>
      <c r="M269" t="s">
        <v>659</v>
      </c>
      <c r="N269" t="s">
        <v>660</v>
      </c>
      <c r="O269" t="s">
        <v>666</v>
      </c>
      <c r="P269" t="s">
        <v>44</v>
      </c>
      <c r="Q269" t="s">
        <v>45</v>
      </c>
      <c r="R269" t="s">
        <v>1114</v>
      </c>
      <c r="S269" t="s">
        <v>1109</v>
      </c>
      <c r="T269" s="5">
        <v>18</v>
      </c>
      <c r="U269" s="6">
        <v>204.9</v>
      </c>
      <c r="V269" s="6">
        <v>134.65</v>
      </c>
      <c r="W269" s="8">
        <v>0.26229999999999998</v>
      </c>
      <c r="X269" s="6">
        <f t="shared" si="20"/>
        <v>2720.7851400000004</v>
      </c>
      <c r="Y269" s="6">
        <f t="shared" si="21"/>
        <v>2423.7000000000003</v>
      </c>
      <c r="Z269" s="6">
        <f t="shared" si="22"/>
        <v>297.08514000000014</v>
      </c>
      <c r="AA269" t="s">
        <v>679</v>
      </c>
      <c r="AC269" s="5">
        <v>2</v>
      </c>
      <c r="AD269" t="s">
        <v>1148</v>
      </c>
      <c r="AE269" t="str">
        <f t="shared" si="23"/>
        <v>2025-07</v>
      </c>
      <c r="AF269" t="str">
        <f t="shared" si="24"/>
        <v>Q3-2025</v>
      </c>
    </row>
    <row r="270" spans="1:32" x14ac:dyDescent="0.3">
      <c r="A270" t="s">
        <v>1511</v>
      </c>
      <c r="B270" s="5">
        <v>2</v>
      </c>
      <c r="C270" s="4">
        <v>45845</v>
      </c>
      <c r="D270" s="4">
        <v>45858</v>
      </c>
      <c r="E270" t="s">
        <v>461</v>
      </c>
      <c r="F270" t="s">
        <v>462</v>
      </c>
      <c r="G270" t="s">
        <v>65</v>
      </c>
      <c r="H270" t="s">
        <v>31</v>
      </c>
      <c r="I270" t="s">
        <v>160</v>
      </c>
      <c r="J270" t="s">
        <v>1125</v>
      </c>
      <c r="K270" t="s">
        <v>1126</v>
      </c>
      <c r="L270" t="s">
        <v>704</v>
      </c>
      <c r="M270" t="s">
        <v>659</v>
      </c>
      <c r="N270" t="s">
        <v>660</v>
      </c>
      <c r="O270" t="s">
        <v>705</v>
      </c>
      <c r="P270" t="s">
        <v>53</v>
      </c>
      <c r="Q270" t="s">
        <v>54</v>
      </c>
      <c r="R270" t="s">
        <v>1088</v>
      </c>
      <c r="S270" t="s">
        <v>1109</v>
      </c>
      <c r="T270" s="5">
        <v>4</v>
      </c>
      <c r="U270" s="6">
        <v>159.96</v>
      </c>
      <c r="V270" s="6">
        <v>88.5</v>
      </c>
      <c r="W270" s="8">
        <v>0</v>
      </c>
      <c r="X270" s="6">
        <f t="shared" si="20"/>
        <v>639.84</v>
      </c>
      <c r="Y270" s="6">
        <f t="shared" si="21"/>
        <v>354</v>
      </c>
      <c r="Z270" s="6">
        <f t="shared" si="22"/>
        <v>285.84000000000003</v>
      </c>
      <c r="AA270" t="s">
        <v>679</v>
      </c>
      <c r="AC270" s="5">
        <v>4</v>
      </c>
      <c r="AD270" t="s">
        <v>1136</v>
      </c>
      <c r="AE270" t="str">
        <f t="shared" si="23"/>
        <v>2025-07</v>
      </c>
      <c r="AF270" t="str">
        <f t="shared" si="24"/>
        <v>Q3-2025</v>
      </c>
    </row>
    <row r="271" spans="1:32" x14ac:dyDescent="0.3">
      <c r="A271" t="s">
        <v>1512</v>
      </c>
      <c r="B271" s="5">
        <v>1</v>
      </c>
      <c r="C271" s="4">
        <v>45799</v>
      </c>
      <c r="D271" s="4">
        <v>45811</v>
      </c>
      <c r="E271" t="s">
        <v>158</v>
      </c>
      <c r="F271" t="s">
        <v>159</v>
      </c>
      <c r="G271" t="s">
        <v>84</v>
      </c>
      <c r="H271" t="s">
        <v>41</v>
      </c>
      <c r="I271" t="s">
        <v>86</v>
      </c>
      <c r="J271" t="s">
        <v>1086</v>
      </c>
      <c r="K271" t="s">
        <v>1175</v>
      </c>
      <c r="L271" t="s">
        <v>881</v>
      </c>
      <c r="M271" t="s">
        <v>795</v>
      </c>
      <c r="N271" t="s">
        <v>837</v>
      </c>
      <c r="O271" t="s">
        <v>882</v>
      </c>
      <c r="P271" t="s">
        <v>34</v>
      </c>
      <c r="Q271" t="s">
        <v>35</v>
      </c>
      <c r="R271" t="s">
        <v>1114</v>
      </c>
      <c r="S271" t="s">
        <v>1156</v>
      </c>
      <c r="T271" s="5">
        <v>12</v>
      </c>
      <c r="U271" s="6">
        <v>243.34</v>
      </c>
      <c r="V271" s="6">
        <v>129.41999999999999</v>
      </c>
      <c r="W271" s="8">
        <v>0</v>
      </c>
      <c r="X271" s="6">
        <f t="shared" si="20"/>
        <v>2920.08</v>
      </c>
      <c r="Y271" s="6">
        <f t="shared" si="21"/>
        <v>1553.04</v>
      </c>
      <c r="Z271" s="6">
        <f t="shared" si="22"/>
        <v>1367.04</v>
      </c>
      <c r="AA271" t="s">
        <v>679</v>
      </c>
      <c r="AC271" s="5">
        <v>3</v>
      </c>
      <c r="AD271" t="s">
        <v>1090</v>
      </c>
      <c r="AE271" t="str">
        <f t="shared" si="23"/>
        <v>2025-05</v>
      </c>
      <c r="AF271" t="str">
        <f t="shared" si="24"/>
        <v>Q2-2025</v>
      </c>
    </row>
    <row r="272" spans="1:32" x14ac:dyDescent="0.3">
      <c r="A272" t="s">
        <v>1513</v>
      </c>
      <c r="B272" s="5">
        <v>1</v>
      </c>
      <c r="C272" s="4">
        <v>45459</v>
      </c>
      <c r="D272" s="4">
        <v>45467</v>
      </c>
      <c r="E272" t="s">
        <v>207</v>
      </c>
      <c r="F272" t="s">
        <v>208</v>
      </c>
      <c r="G272" t="s">
        <v>65</v>
      </c>
      <c r="H272" t="s">
        <v>20</v>
      </c>
      <c r="I272" t="s">
        <v>71</v>
      </c>
      <c r="J272" t="s">
        <v>1166</v>
      </c>
      <c r="K272" t="s">
        <v>1167</v>
      </c>
      <c r="L272" t="s">
        <v>671</v>
      </c>
      <c r="M272" t="s">
        <v>659</v>
      </c>
      <c r="N272" t="s">
        <v>660</v>
      </c>
      <c r="O272" t="s">
        <v>672</v>
      </c>
      <c r="P272" t="s">
        <v>39</v>
      </c>
      <c r="Q272" t="s">
        <v>40</v>
      </c>
      <c r="R272" t="s">
        <v>1094</v>
      </c>
      <c r="S272" t="s">
        <v>1109</v>
      </c>
      <c r="T272" s="5">
        <v>6</v>
      </c>
      <c r="U272" s="6">
        <v>13.18</v>
      </c>
      <c r="V272" s="6">
        <v>10.62</v>
      </c>
      <c r="W272" s="8">
        <v>0</v>
      </c>
      <c r="X272" s="6">
        <f t="shared" si="20"/>
        <v>79.08</v>
      </c>
      <c r="Y272" s="6">
        <f t="shared" si="21"/>
        <v>63.72</v>
      </c>
      <c r="Z272" s="6">
        <f t="shared" si="22"/>
        <v>15.36</v>
      </c>
      <c r="AA272" t="s">
        <v>679</v>
      </c>
      <c r="AC272" s="5">
        <v>1</v>
      </c>
      <c r="AD272" t="s">
        <v>1136</v>
      </c>
      <c r="AE272" t="str">
        <f t="shared" si="23"/>
        <v>2024-06</v>
      </c>
      <c r="AF272" t="str">
        <f t="shared" si="24"/>
        <v>Q2-2024</v>
      </c>
    </row>
    <row r="273" spans="1:32" x14ac:dyDescent="0.3">
      <c r="A273" t="s">
        <v>1514</v>
      </c>
      <c r="B273" s="5">
        <v>4</v>
      </c>
      <c r="C273" s="4">
        <v>45804</v>
      </c>
      <c r="D273" s="4">
        <v>45810</v>
      </c>
      <c r="E273" t="s">
        <v>483</v>
      </c>
      <c r="F273" t="s">
        <v>484</v>
      </c>
      <c r="G273" t="s">
        <v>84</v>
      </c>
      <c r="H273" t="s">
        <v>20</v>
      </c>
      <c r="I273" t="s">
        <v>112</v>
      </c>
      <c r="J273" t="s">
        <v>1201</v>
      </c>
      <c r="K273" t="s">
        <v>1202</v>
      </c>
      <c r="L273" t="s">
        <v>1023</v>
      </c>
      <c r="M273" t="s">
        <v>1002</v>
      </c>
      <c r="N273" t="s">
        <v>1003</v>
      </c>
      <c r="O273" t="s">
        <v>1024</v>
      </c>
      <c r="P273" t="s">
        <v>50</v>
      </c>
      <c r="Q273" t="s">
        <v>51</v>
      </c>
      <c r="R273" t="s">
        <v>1114</v>
      </c>
      <c r="S273" t="s">
        <v>1109</v>
      </c>
      <c r="T273" s="5">
        <v>10</v>
      </c>
      <c r="U273" s="6">
        <v>155.74</v>
      </c>
      <c r="V273" s="6">
        <v>91.3</v>
      </c>
      <c r="W273" s="8">
        <v>0.3347</v>
      </c>
      <c r="X273" s="6">
        <f t="shared" si="20"/>
        <v>1036.13822</v>
      </c>
      <c r="Y273" s="6">
        <f t="shared" si="21"/>
        <v>913</v>
      </c>
      <c r="Z273" s="6">
        <f t="shared" si="22"/>
        <v>123.13822000000005</v>
      </c>
      <c r="AA273" t="s">
        <v>679</v>
      </c>
      <c r="AC273" s="5">
        <v>5</v>
      </c>
      <c r="AD273" t="s">
        <v>1140</v>
      </c>
      <c r="AE273" t="str">
        <f t="shared" si="23"/>
        <v>2025-05</v>
      </c>
      <c r="AF273" t="str">
        <f t="shared" si="24"/>
        <v>Q2-2025</v>
      </c>
    </row>
    <row r="274" spans="1:32" x14ac:dyDescent="0.3">
      <c r="A274" t="s">
        <v>1515</v>
      </c>
      <c r="B274" s="5">
        <v>5</v>
      </c>
      <c r="C274" s="4">
        <v>45689</v>
      </c>
      <c r="D274" s="4">
        <v>45695</v>
      </c>
      <c r="E274" t="s">
        <v>438</v>
      </c>
      <c r="F274" t="s">
        <v>439</v>
      </c>
      <c r="G274" t="s">
        <v>74</v>
      </c>
      <c r="H274" t="s">
        <v>31</v>
      </c>
      <c r="I274" t="s">
        <v>160</v>
      </c>
      <c r="J274" t="s">
        <v>1125</v>
      </c>
      <c r="K274" t="s">
        <v>1126</v>
      </c>
      <c r="L274" t="s">
        <v>747</v>
      </c>
      <c r="M274" t="s">
        <v>659</v>
      </c>
      <c r="N274" t="s">
        <v>713</v>
      </c>
      <c r="O274" t="s">
        <v>748</v>
      </c>
      <c r="P274" t="s">
        <v>53</v>
      </c>
      <c r="Q274" t="s">
        <v>54</v>
      </c>
      <c r="R274" t="s">
        <v>1088</v>
      </c>
      <c r="S274" t="s">
        <v>1156</v>
      </c>
      <c r="T274" s="5">
        <v>17</v>
      </c>
      <c r="U274" s="6">
        <v>9.09</v>
      </c>
      <c r="V274" s="6">
        <v>5</v>
      </c>
      <c r="W274" s="8">
        <v>0</v>
      </c>
      <c r="X274" s="6">
        <f t="shared" si="20"/>
        <v>154.53</v>
      </c>
      <c r="Y274" s="6">
        <f t="shared" si="21"/>
        <v>85</v>
      </c>
      <c r="Z274" s="6">
        <f t="shared" si="22"/>
        <v>69.53</v>
      </c>
      <c r="AA274" t="s">
        <v>679</v>
      </c>
      <c r="AC274" s="5"/>
      <c r="AD274" t="s">
        <v>1136</v>
      </c>
      <c r="AE274" t="str">
        <f t="shared" si="23"/>
        <v>2025-02</v>
      </c>
      <c r="AF274" t="str">
        <f t="shared" si="24"/>
        <v>Q1-2025</v>
      </c>
    </row>
    <row r="275" spans="1:32" x14ac:dyDescent="0.3">
      <c r="A275" t="s">
        <v>1516</v>
      </c>
      <c r="B275" s="5">
        <v>2</v>
      </c>
      <c r="C275" s="4">
        <v>45371</v>
      </c>
      <c r="D275" s="4">
        <v>45374</v>
      </c>
      <c r="E275" t="s">
        <v>455</v>
      </c>
      <c r="F275" t="s">
        <v>456</v>
      </c>
      <c r="G275" t="s">
        <v>65</v>
      </c>
      <c r="H275" t="s">
        <v>20</v>
      </c>
      <c r="I275" t="s">
        <v>112</v>
      </c>
      <c r="J275" t="s">
        <v>1201</v>
      </c>
      <c r="K275" t="s">
        <v>1202</v>
      </c>
      <c r="L275" t="s">
        <v>828</v>
      </c>
      <c r="M275" t="s">
        <v>795</v>
      </c>
      <c r="N275" t="s">
        <v>796</v>
      </c>
      <c r="O275" t="s">
        <v>829</v>
      </c>
      <c r="P275" t="s">
        <v>46</v>
      </c>
      <c r="Q275" t="s">
        <v>47</v>
      </c>
      <c r="R275" t="s">
        <v>1088</v>
      </c>
      <c r="S275" t="s">
        <v>1109</v>
      </c>
      <c r="T275" s="5">
        <v>12</v>
      </c>
      <c r="U275" s="6">
        <v>178.33</v>
      </c>
      <c r="V275" s="6">
        <v>151.4</v>
      </c>
      <c r="W275" s="8">
        <v>0</v>
      </c>
      <c r="X275" s="6">
        <f t="shared" si="20"/>
        <v>2139.96</v>
      </c>
      <c r="Y275" s="6">
        <f t="shared" si="21"/>
        <v>1816.8000000000002</v>
      </c>
      <c r="Z275" s="6">
        <f t="shared" si="22"/>
        <v>323.15999999999985</v>
      </c>
      <c r="AA275" t="s">
        <v>679</v>
      </c>
      <c r="AC275" s="5">
        <v>5</v>
      </c>
      <c r="AD275" t="s">
        <v>1123</v>
      </c>
      <c r="AE275" t="str">
        <f t="shared" si="23"/>
        <v>2024-03</v>
      </c>
      <c r="AF275" t="str">
        <f t="shared" si="24"/>
        <v>Q1-2024</v>
      </c>
    </row>
    <row r="276" spans="1:32" x14ac:dyDescent="0.3">
      <c r="A276" t="s">
        <v>1517</v>
      </c>
      <c r="B276" s="5">
        <v>4</v>
      </c>
      <c r="C276" s="4">
        <v>45622</v>
      </c>
      <c r="D276" s="4">
        <v>45635</v>
      </c>
      <c r="E276" t="s">
        <v>281</v>
      </c>
      <c r="F276" t="s">
        <v>282</v>
      </c>
      <c r="G276" t="s">
        <v>80</v>
      </c>
      <c r="H276" t="s">
        <v>23</v>
      </c>
      <c r="I276" t="s">
        <v>109</v>
      </c>
      <c r="J276" t="s">
        <v>1138</v>
      </c>
      <c r="K276" t="s">
        <v>1255</v>
      </c>
      <c r="L276" t="s">
        <v>806</v>
      </c>
      <c r="M276" t="s">
        <v>795</v>
      </c>
      <c r="N276" t="s">
        <v>796</v>
      </c>
      <c r="O276" t="s">
        <v>807</v>
      </c>
      <c r="P276" t="s">
        <v>34</v>
      </c>
      <c r="Q276" t="s">
        <v>35</v>
      </c>
      <c r="R276" t="s">
        <v>1088</v>
      </c>
      <c r="S276" t="s">
        <v>1095</v>
      </c>
      <c r="T276" s="5">
        <v>17</v>
      </c>
      <c r="U276" s="6">
        <v>157.49</v>
      </c>
      <c r="V276" s="6">
        <v>129.12</v>
      </c>
      <c r="W276" s="8">
        <v>0</v>
      </c>
      <c r="X276" s="6">
        <f t="shared" si="20"/>
        <v>2677.33</v>
      </c>
      <c r="Y276" s="6">
        <f t="shared" si="21"/>
        <v>2195.04</v>
      </c>
      <c r="Z276" s="6">
        <f t="shared" si="22"/>
        <v>482.28999999999996</v>
      </c>
      <c r="AA276" t="s">
        <v>679</v>
      </c>
      <c r="AC276" s="5">
        <v>1</v>
      </c>
      <c r="AD276" t="s">
        <v>1090</v>
      </c>
      <c r="AE276" t="str">
        <f t="shared" si="23"/>
        <v>2024-11</v>
      </c>
      <c r="AF276" t="str">
        <f t="shared" si="24"/>
        <v>Q4-2024</v>
      </c>
    </row>
    <row r="277" spans="1:32" x14ac:dyDescent="0.3">
      <c r="A277" t="s">
        <v>1518</v>
      </c>
      <c r="B277" s="5">
        <v>4</v>
      </c>
      <c r="C277" s="4">
        <v>45334</v>
      </c>
      <c r="D277" s="4">
        <v>45348</v>
      </c>
      <c r="E277" t="s">
        <v>599</v>
      </c>
      <c r="F277" t="s">
        <v>600</v>
      </c>
      <c r="G277" t="s">
        <v>74</v>
      </c>
      <c r="H277" t="s">
        <v>23</v>
      </c>
      <c r="I277" t="s">
        <v>109</v>
      </c>
      <c r="J277" t="s">
        <v>1145</v>
      </c>
      <c r="K277" t="s">
        <v>1146</v>
      </c>
      <c r="L277" t="s">
        <v>696</v>
      </c>
      <c r="M277" t="s">
        <v>659</v>
      </c>
      <c r="N277" t="s">
        <v>660</v>
      </c>
      <c r="O277" t="s">
        <v>697</v>
      </c>
      <c r="P277" t="s">
        <v>37</v>
      </c>
      <c r="Q277" t="s">
        <v>38</v>
      </c>
      <c r="R277" t="s">
        <v>1088</v>
      </c>
      <c r="S277" t="s">
        <v>1089</v>
      </c>
      <c r="T277" s="5">
        <v>24</v>
      </c>
      <c r="U277" s="6">
        <v>78.08</v>
      </c>
      <c r="V277" s="6">
        <v>66.25</v>
      </c>
      <c r="W277" s="8">
        <v>0</v>
      </c>
      <c r="X277" s="6">
        <f t="shared" si="20"/>
        <v>1873.92</v>
      </c>
      <c r="Y277" s="6">
        <f t="shared" si="21"/>
        <v>1590</v>
      </c>
      <c r="Z277" s="6">
        <f t="shared" si="22"/>
        <v>283.92000000000007</v>
      </c>
      <c r="AA277" t="s">
        <v>679</v>
      </c>
      <c r="AC277" s="5">
        <v>4</v>
      </c>
      <c r="AD277" t="s">
        <v>1090</v>
      </c>
      <c r="AE277" t="str">
        <f t="shared" si="23"/>
        <v>2024-02</v>
      </c>
      <c r="AF277" t="str">
        <f t="shared" si="24"/>
        <v>Q1-2024</v>
      </c>
    </row>
    <row r="278" spans="1:32" x14ac:dyDescent="0.3">
      <c r="A278" t="s">
        <v>1519</v>
      </c>
      <c r="B278" s="5">
        <v>1</v>
      </c>
      <c r="C278" s="4">
        <v>45679</v>
      </c>
      <c r="D278" s="4">
        <v>45688</v>
      </c>
      <c r="E278" t="s">
        <v>309</v>
      </c>
      <c r="F278" t="s">
        <v>1520</v>
      </c>
      <c r="G278" t="s">
        <v>74</v>
      </c>
      <c r="H278" t="s">
        <v>23</v>
      </c>
      <c r="I278" t="s">
        <v>93</v>
      </c>
      <c r="J278" t="s">
        <v>1278</v>
      </c>
      <c r="K278" t="s">
        <v>1521</v>
      </c>
      <c r="L278" t="s">
        <v>830</v>
      </c>
      <c r="M278" t="s">
        <v>795</v>
      </c>
      <c r="N278" t="s">
        <v>796</v>
      </c>
      <c r="O278" t="s">
        <v>831</v>
      </c>
      <c r="P278" t="s">
        <v>50</v>
      </c>
      <c r="Q278" t="s">
        <v>51</v>
      </c>
      <c r="R278" t="s">
        <v>1114</v>
      </c>
      <c r="S278" t="s">
        <v>1095</v>
      </c>
      <c r="T278" s="5">
        <v>5</v>
      </c>
      <c r="U278" s="6">
        <v>192.17</v>
      </c>
      <c r="V278" s="6">
        <v>121.11</v>
      </c>
      <c r="W278" s="8">
        <v>0</v>
      </c>
      <c r="X278" s="6">
        <f t="shared" si="20"/>
        <v>960.84999999999991</v>
      </c>
      <c r="Y278" s="6">
        <f t="shared" si="21"/>
        <v>605.54999999999995</v>
      </c>
      <c r="Z278" s="6">
        <f t="shared" si="22"/>
        <v>355.29999999999995</v>
      </c>
      <c r="AA278" t="s">
        <v>679</v>
      </c>
      <c r="AC278" s="5">
        <v>3</v>
      </c>
      <c r="AE278" t="str">
        <f t="shared" si="23"/>
        <v>2025-01</v>
      </c>
      <c r="AF278" t="str">
        <f t="shared" si="24"/>
        <v>Q1-2025</v>
      </c>
    </row>
    <row r="279" spans="1:32" x14ac:dyDescent="0.3">
      <c r="A279" t="s">
        <v>1522</v>
      </c>
      <c r="B279" s="5">
        <v>1</v>
      </c>
      <c r="C279" s="4">
        <v>45567</v>
      </c>
      <c r="D279" s="4">
        <v>45572</v>
      </c>
      <c r="E279" t="s">
        <v>463</v>
      </c>
      <c r="F279" t="s">
        <v>464</v>
      </c>
      <c r="G279" t="s">
        <v>104</v>
      </c>
      <c r="H279" t="s">
        <v>31</v>
      </c>
      <c r="I279" t="s">
        <v>160</v>
      </c>
      <c r="J279" t="s">
        <v>1125</v>
      </c>
      <c r="K279" t="s">
        <v>1386</v>
      </c>
      <c r="L279" t="s">
        <v>968</v>
      </c>
      <c r="M279" t="s">
        <v>929</v>
      </c>
      <c r="N279" t="s">
        <v>930</v>
      </c>
      <c r="O279" t="s">
        <v>969</v>
      </c>
      <c r="P279" t="s">
        <v>37</v>
      </c>
      <c r="Q279" t="s">
        <v>38</v>
      </c>
      <c r="R279" t="s">
        <v>1088</v>
      </c>
      <c r="S279" t="s">
        <v>1109</v>
      </c>
      <c r="T279" s="5">
        <v>5</v>
      </c>
      <c r="U279" s="6">
        <v>204.7</v>
      </c>
      <c r="V279" s="6">
        <v>133.06</v>
      </c>
      <c r="W279" s="8">
        <v>0</v>
      </c>
      <c r="X279" s="6">
        <f t="shared" si="20"/>
        <v>1023.5</v>
      </c>
      <c r="Y279" s="6">
        <f t="shared" si="21"/>
        <v>665.3</v>
      </c>
      <c r="Z279" s="6">
        <f t="shared" si="22"/>
        <v>358.20000000000005</v>
      </c>
      <c r="AA279" t="s">
        <v>679</v>
      </c>
      <c r="AC279" s="5">
        <v>3</v>
      </c>
      <c r="AD279" t="s">
        <v>1136</v>
      </c>
      <c r="AE279" t="str">
        <f t="shared" si="23"/>
        <v>2024-10</v>
      </c>
      <c r="AF279" t="str">
        <f t="shared" si="24"/>
        <v>Q4-2024</v>
      </c>
    </row>
    <row r="280" spans="1:32" x14ac:dyDescent="0.3">
      <c r="A280" t="s">
        <v>1523</v>
      </c>
      <c r="B280" s="5">
        <v>1</v>
      </c>
      <c r="C280" s="4">
        <v>45567</v>
      </c>
      <c r="D280" s="4">
        <v>45579</v>
      </c>
      <c r="E280" t="s">
        <v>169</v>
      </c>
      <c r="F280" t="s">
        <v>170</v>
      </c>
      <c r="G280" t="s">
        <v>65</v>
      </c>
      <c r="H280" t="s">
        <v>31</v>
      </c>
      <c r="I280" t="s">
        <v>160</v>
      </c>
      <c r="J280" t="s">
        <v>1125</v>
      </c>
      <c r="K280" t="s">
        <v>1132</v>
      </c>
      <c r="L280" t="s">
        <v>1001</v>
      </c>
      <c r="M280" t="s">
        <v>1002</v>
      </c>
      <c r="N280" t="s">
        <v>1003</v>
      </c>
      <c r="O280" t="s">
        <v>1004</v>
      </c>
      <c r="P280" t="s">
        <v>46</v>
      </c>
      <c r="Q280" t="s">
        <v>47</v>
      </c>
      <c r="R280" t="s">
        <v>1114</v>
      </c>
      <c r="S280" t="s">
        <v>1156</v>
      </c>
      <c r="T280" s="5">
        <v>3</v>
      </c>
      <c r="U280" s="6">
        <v>242.18</v>
      </c>
      <c r="V280" s="6">
        <v>146.71</v>
      </c>
      <c r="W280" s="8">
        <v>0.24129999999999999</v>
      </c>
      <c r="X280" s="6">
        <f t="shared" si="20"/>
        <v>551.22589800000003</v>
      </c>
      <c r="Y280" s="6">
        <f t="shared" si="21"/>
        <v>440.13</v>
      </c>
      <c r="Z280" s="6">
        <f t="shared" si="22"/>
        <v>111.09589800000003</v>
      </c>
      <c r="AA280" t="s">
        <v>679</v>
      </c>
      <c r="AC280" s="5">
        <v>1</v>
      </c>
      <c r="AD280" t="s">
        <v>1524</v>
      </c>
      <c r="AE280" t="str">
        <f t="shared" si="23"/>
        <v>2024-10</v>
      </c>
      <c r="AF280" t="str">
        <f t="shared" si="24"/>
        <v>Q4-2024</v>
      </c>
    </row>
    <row r="281" spans="1:32" x14ac:dyDescent="0.3">
      <c r="A281" t="s">
        <v>1525</v>
      </c>
      <c r="B281" s="5">
        <v>5</v>
      </c>
      <c r="C281" s="4">
        <v>45617</v>
      </c>
      <c r="D281" s="4">
        <v>45629</v>
      </c>
      <c r="E281" t="s">
        <v>532</v>
      </c>
      <c r="F281" t="s">
        <v>533</v>
      </c>
      <c r="G281" t="s">
        <v>80</v>
      </c>
      <c r="H281" t="s">
        <v>20</v>
      </c>
      <c r="I281" t="s">
        <v>71</v>
      </c>
      <c r="J281" t="s">
        <v>1166</v>
      </c>
      <c r="K281" t="s">
        <v>1436</v>
      </c>
      <c r="L281" t="s">
        <v>776</v>
      </c>
      <c r="M281" t="s">
        <v>659</v>
      </c>
      <c r="N281" t="s">
        <v>754</v>
      </c>
      <c r="O281" t="s">
        <v>777</v>
      </c>
      <c r="P281" t="s">
        <v>53</v>
      </c>
      <c r="Q281" t="s">
        <v>54</v>
      </c>
      <c r="R281" t="s">
        <v>1088</v>
      </c>
      <c r="S281" t="s">
        <v>1100</v>
      </c>
      <c r="T281" s="5">
        <v>8</v>
      </c>
      <c r="U281" s="6">
        <v>59.36</v>
      </c>
      <c r="V281" s="6">
        <v>38.229999999999997</v>
      </c>
      <c r="W281" s="8">
        <v>0</v>
      </c>
      <c r="X281" s="6">
        <f t="shared" si="20"/>
        <v>474.88</v>
      </c>
      <c r="Y281" s="6">
        <f t="shared" si="21"/>
        <v>305.83999999999997</v>
      </c>
      <c r="Z281" s="6">
        <f t="shared" si="22"/>
        <v>169.04000000000002</v>
      </c>
      <c r="AA281" t="s">
        <v>679</v>
      </c>
      <c r="AC281" s="5">
        <v>4</v>
      </c>
      <c r="AD281" t="s">
        <v>1110</v>
      </c>
      <c r="AE281" t="str">
        <f t="shared" si="23"/>
        <v>2024-11</v>
      </c>
      <c r="AF281" t="str">
        <f t="shared" si="24"/>
        <v>Q4-2024</v>
      </c>
    </row>
    <row r="282" spans="1:32" x14ac:dyDescent="0.3">
      <c r="A282" t="s">
        <v>1526</v>
      </c>
      <c r="B282" s="5">
        <v>5</v>
      </c>
      <c r="C282" s="4">
        <v>45760</v>
      </c>
      <c r="D282" s="4">
        <v>45765</v>
      </c>
      <c r="E282" t="s">
        <v>618</v>
      </c>
      <c r="F282" t="s">
        <v>122</v>
      </c>
      <c r="G282" t="s">
        <v>74</v>
      </c>
      <c r="H282" t="s">
        <v>23</v>
      </c>
      <c r="I282" t="s">
        <v>109</v>
      </c>
      <c r="J282" t="s">
        <v>1138</v>
      </c>
      <c r="K282" t="s">
        <v>1255</v>
      </c>
      <c r="L282" t="s">
        <v>739</v>
      </c>
      <c r="M282" t="s">
        <v>659</v>
      </c>
      <c r="N282" t="s">
        <v>713</v>
      </c>
      <c r="O282" t="s">
        <v>740</v>
      </c>
      <c r="P282" t="s">
        <v>34</v>
      </c>
      <c r="Q282" t="s">
        <v>35</v>
      </c>
      <c r="R282" t="s">
        <v>1094</v>
      </c>
      <c r="S282" t="s">
        <v>1156</v>
      </c>
      <c r="T282" s="5">
        <v>2</v>
      </c>
      <c r="U282" s="6">
        <v>187.13</v>
      </c>
      <c r="V282" s="6">
        <v>158.27000000000001</v>
      </c>
      <c r="W282" s="8">
        <v>0.23400000000000001</v>
      </c>
      <c r="X282" s="6">
        <f t="shared" si="20"/>
        <v>286.68315999999999</v>
      </c>
      <c r="Y282" s="6">
        <f t="shared" si="21"/>
        <v>316.54000000000002</v>
      </c>
      <c r="Z282" s="6">
        <f t="shared" si="22"/>
        <v>-29.856840000000034</v>
      </c>
      <c r="AA282" t="s">
        <v>679</v>
      </c>
      <c r="AC282" s="5">
        <v>2</v>
      </c>
      <c r="AD282" t="s">
        <v>1096</v>
      </c>
      <c r="AE282" t="str">
        <f t="shared" si="23"/>
        <v>2025-04</v>
      </c>
      <c r="AF282" t="str">
        <f t="shared" si="24"/>
        <v>Q2-2025</v>
      </c>
    </row>
    <row r="283" spans="1:32" x14ac:dyDescent="0.3">
      <c r="A283" t="s">
        <v>1527</v>
      </c>
      <c r="B283" s="5">
        <v>5</v>
      </c>
      <c r="C283" s="4">
        <v>45740</v>
      </c>
      <c r="D283" s="4">
        <v>45741</v>
      </c>
      <c r="E283" t="s">
        <v>334</v>
      </c>
      <c r="F283" t="s">
        <v>335</v>
      </c>
      <c r="G283" t="s">
        <v>84</v>
      </c>
      <c r="H283" t="s">
        <v>23</v>
      </c>
      <c r="I283" t="s">
        <v>93</v>
      </c>
      <c r="J283" t="s">
        <v>1450</v>
      </c>
      <c r="K283" t="s">
        <v>1528</v>
      </c>
      <c r="L283" t="s">
        <v>680</v>
      </c>
      <c r="M283" t="s">
        <v>659</v>
      </c>
      <c r="N283" t="s">
        <v>660</v>
      </c>
      <c r="O283" t="s">
        <v>681</v>
      </c>
      <c r="P283" t="s">
        <v>42</v>
      </c>
      <c r="Q283" t="s">
        <v>43</v>
      </c>
      <c r="R283" t="s">
        <v>1088</v>
      </c>
      <c r="S283" t="s">
        <v>1109</v>
      </c>
      <c r="T283" s="5">
        <v>3</v>
      </c>
      <c r="U283" s="6">
        <v>46.73</v>
      </c>
      <c r="V283" s="6">
        <v>36.96</v>
      </c>
      <c r="W283" s="8">
        <v>0</v>
      </c>
      <c r="X283" s="6">
        <f t="shared" si="20"/>
        <v>140.19</v>
      </c>
      <c r="Y283" s="6">
        <f t="shared" si="21"/>
        <v>110.88</v>
      </c>
      <c r="Z283" s="6">
        <f t="shared" si="22"/>
        <v>29.310000000000002</v>
      </c>
      <c r="AA283" t="s">
        <v>679</v>
      </c>
      <c r="AC283" s="5">
        <v>2</v>
      </c>
      <c r="AD283" t="s">
        <v>1136</v>
      </c>
      <c r="AE283" t="str">
        <f t="shared" si="23"/>
        <v>2025-03</v>
      </c>
      <c r="AF283" t="str">
        <f t="shared" si="24"/>
        <v>Q1-2025</v>
      </c>
    </row>
    <row r="284" spans="1:32" x14ac:dyDescent="0.3">
      <c r="A284" t="s">
        <v>1529</v>
      </c>
      <c r="B284" s="5">
        <v>3</v>
      </c>
      <c r="C284" s="4">
        <v>45300</v>
      </c>
      <c r="D284" s="4">
        <v>45301</v>
      </c>
      <c r="E284" t="s">
        <v>554</v>
      </c>
      <c r="F284" t="s">
        <v>555</v>
      </c>
      <c r="G284" t="s">
        <v>74</v>
      </c>
      <c r="H284" t="s">
        <v>31</v>
      </c>
      <c r="I284" t="s">
        <v>160</v>
      </c>
      <c r="J284" t="s">
        <v>1125</v>
      </c>
      <c r="K284" t="s">
        <v>1386</v>
      </c>
      <c r="L284" t="s">
        <v>826</v>
      </c>
      <c r="M284" t="s">
        <v>795</v>
      </c>
      <c r="N284" t="s">
        <v>796</v>
      </c>
      <c r="O284" t="s">
        <v>827</v>
      </c>
      <c r="P284" t="s">
        <v>44</v>
      </c>
      <c r="Q284" t="s">
        <v>45</v>
      </c>
      <c r="R284" t="s">
        <v>1088</v>
      </c>
      <c r="S284" t="s">
        <v>1109</v>
      </c>
      <c r="T284" s="5">
        <v>1</v>
      </c>
      <c r="U284" s="6">
        <v>166.14</v>
      </c>
      <c r="V284" s="6">
        <v>127.08</v>
      </c>
      <c r="W284" s="8">
        <v>0</v>
      </c>
      <c r="X284" s="6">
        <f t="shared" si="20"/>
        <v>166.14</v>
      </c>
      <c r="Y284" s="6">
        <f t="shared" si="21"/>
        <v>127.08</v>
      </c>
      <c r="Z284" s="6">
        <f t="shared" si="22"/>
        <v>39.059999999999988</v>
      </c>
      <c r="AA284" t="s">
        <v>679</v>
      </c>
      <c r="AC284" s="5"/>
      <c r="AE284" t="str">
        <f t="shared" si="23"/>
        <v>2024-01</v>
      </c>
      <c r="AF284" t="str">
        <f t="shared" si="24"/>
        <v>Q1-2024</v>
      </c>
    </row>
    <row r="285" spans="1:32" x14ac:dyDescent="0.3">
      <c r="A285" t="s">
        <v>1530</v>
      </c>
      <c r="B285" s="5">
        <v>4</v>
      </c>
      <c r="C285" s="4">
        <v>45894</v>
      </c>
      <c r="D285" s="4">
        <v>45894</v>
      </c>
      <c r="E285" t="s">
        <v>332</v>
      </c>
      <c r="F285" t="s">
        <v>333</v>
      </c>
      <c r="G285" t="s">
        <v>84</v>
      </c>
      <c r="H285" t="s">
        <v>41</v>
      </c>
      <c r="I285" t="s">
        <v>86</v>
      </c>
      <c r="J285" t="s">
        <v>1086</v>
      </c>
      <c r="K285" t="s">
        <v>1234</v>
      </c>
      <c r="L285" t="s">
        <v>960</v>
      </c>
      <c r="M285" t="s">
        <v>929</v>
      </c>
      <c r="N285" t="s">
        <v>930</v>
      </c>
      <c r="O285" t="s">
        <v>961</v>
      </c>
      <c r="P285" t="s">
        <v>44</v>
      </c>
      <c r="Q285" t="s">
        <v>45</v>
      </c>
      <c r="R285" t="s">
        <v>126</v>
      </c>
      <c r="S285" t="s">
        <v>1089</v>
      </c>
      <c r="T285" s="5">
        <v>14</v>
      </c>
      <c r="U285" s="6">
        <v>220.14</v>
      </c>
      <c r="V285" s="6">
        <v>139.97</v>
      </c>
      <c r="W285" s="8">
        <v>0.26290000000000002</v>
      </c>
      <c r="X285" s="6">
        <f t="shared" si="20"/>
        <v>2271.712716</v>
      </c>
      <c r="Y285" s="6">
        <f t="shared" si="21"/>
        <v>1959.58</v>
      </c>
      <c r="Z285" s="6">
        <f t="shared" si="22"/>
        <v>312.13271600000007</v>
      </c>
      <c r="AA285" t="s">
        <v>679</v>
      </c>
      <c r="AC285" s="5">
        <v>5</v>
      </c>
      <c r="AD285" t="s">
        <v>1140</v>
      </c>
      <c r="AE285" t="str">
        <f t="shared" si="23"/>
        <v>2025-08</v>
      </c>
      <c r="AF285" t="str">
        <f t="shared" si="24"/>
        <v>Q3-2025</v>
      </c>
    </row>
    <row r="286" spans="1:32" x14ac:dyDescent="0.3">
      <c r="A286" t="s">
        <v>1531</v>
      </c>
      <c r="B286" s="5">
        <v>4</v>
      </c>
      <c r="C286" s="4">
        <v>45310</v>
      </c>
      <c r="D286" s="4">
        <v>45323</v>
      </c>
      <c r="E286" t="s">
        <v>418</v>
      </c>
      <c r="F286" t="s">
        <v>419</v>
      </c>
      <c r="G286" t="s">
        <v>74</v>
      </c>
      <c r="H286" t="s">
        <v>41</v>
      </c>
      <c r="I286" t="s">
        <v>86</v>
      </c>
      <c r="J286" t="s">
        <v>1107</v>
      </c>
      <c r="K286" t="s">
        <v>1108</v>
      </c>
      <c r="L286" t="s">
        <v>934</v>
      </c>
      <c r="M286" t="s">
        <v>929</v>
      </c>
      <c r="N286" t="s">
        <v>930</v>
      </c>
      <c r="O286" t="s">
        <v>935</v>
      </c>
      <c r="P286" t="s">
        <v>46</v>
      </c>
      <c r="Q286" t="s">
        <v>47</v>
      </c>
      <c r="R286" t="s">
        <v>1114</v>
      </c>
      <c r="S286" t="s">
        <v>1109</v>
      </c>
      <c r="T286" s="5">
        <v>11</v>
      </c>
      <c r="U286" s="6">
        <v>225.5</v>
      </c>
      <c r="V286" s="6">
        <v>147.27000000000001</v>
      </c>
      <c r="W286" s="8">
        <v>0</v>
      </c>
      <c r="X286" s="6">
        <f t="shared" si="20"/>
        <v>2480.5</v>
      </c>
      <c r="Y286" s="6">
        <f t="shared" si="21"/>
        <v>1619.97</v>
      </c>
      <c r="Z286" s="6">
        <f t="shared" si="22"/>
        <v>860.53</v>
      </c>
      <c r="AA286" t="s">
        <v>679</v>
      </c>
      <c r="AC286" s="5">
        <v>4</v>
      </c>
      <c r="AD286" t="s">
        <v>1136</v>
      </c>
      <c r="AE286" t="str">
        <f t="shared" si="23"/>
        <v>2024-01</v>
      </c>
      <c r="AF286" t="str">
        <f t="shared" si="24"/>
        <v>Q1-2024</v>
      </c>
    </row>
    <row r="287" spans="1:32" x14ac:dyDescent="0.3">
      <c r="A287" t="s">
        <v>1532</v>
      </c>
      <c r="B287" s="5">
        <v>4</v>
      </c>
      <c r="C287" s="4">
        <v>45951</v>
      </c>
      <c r="D287" s="4">
        <v>45952</v>
      </c>
      <c r="E287" t="s">
        <v>614</v>
      </c>
      <c r="F287" t="s">
        <v>615</v>
      </c>
      <c r="G287" t="s">
        <v>104</v>
      </c>
      <c r="H287" t="s">
        <v>41</v>
      </c>
      <c r="I287" t="s">
        <v>86</v>
      </c>
      <c r="J287" t="s">
        <v>1107</v>
      </c>
      <c r="K287" t="s">
        <v>1108</v>
      </c>
      <c r="L287" t="s">
        <v>845</v>
      </c>
      <c r="M287" t="s">
        <v>795</v>
      </c>
      <c r="N287" t="s">
        <v>837</v>
      </c>
      <c r="O287" t="s">
        <v>846</v>
      </c>
      <c r="P287" t="s">
        <v>53</v>
      </c>
      <c r="Q287" t="s">
        <v>54</v>
      </c>
      <c r="R287" t="s">
        <v>1088</v>
      </c>
      <c r="S287" t="s">
        <v>1156</v>
      </c>
      <c r="T287" s="5">
        <v>6</v>
      </c>
      <c r="U287" s="6">
        <v>131.21</v>
      </c>
      <c r="V287" s="6">
        <v>89.19</v>
      </c>
      <c r="W287" s="8">
        <v>0</v>
      </c>
      <c r="X287" s="6">
        <f t="shared" si="20"/>
        <v>787.26</v>
      </c>
      <c r="Y287" s="6">
        <f t="shared" si="21"/>
        <v>535.14</v>
      </c>
      <c r="Z287" s="6">
        <f t="shared" si="22"/>
        <v>252.12</v>
      </c>
      <c r="AA287" t="s">
        <v>679</v>
      </c>
      <c r="AC287" s="5">
        <v>4</v>
      </c>
      <c r="AD287" t="s">
        <v>1110</v>
      </c>
      <c r="AE287" t="str">
        <f t="shared" si="23"/>
        <v>2025-10</v>
      </c>
      <c r="AF287" t="str">
        <f t="shared" si="24"/>
        <v>Q4-2025</v>
      </c>
    </row>
    <row r="288" spans="1:32" x14ac:dyDescent="0.3">
      <c r="A288" t="s">
        <v>1533</v>
      </c>
      <c r="B288" s="5">
        <v>3</v>
      </c>
      <c r="C288" s="4">
        <v>45935</v>
      </c>
      <c r="D288" s="4">
        <v>45943</v>
      </c>
      <c r="E288" t="s">
        <v>389</v>
      </c>
      <c r="F288" t="s">
        <v>390</v>
      </c>
      <c r="G288" t="s">
        <v>84</v>
      </c>
      <c r="H288" t="s">
        <v>41</v>
      </c>
      <c r="I288" t="s">
        <v>75</v>
      </c>
      <c r="J288" t="s">
        <v>1142</v>
      </c>
      <c r="K288" t="s">
        <v>1198</v>
      </c>
      <c r="L288" t="s">
        <v>667</v>
      </c>
      <c r="M288" t="s">
        <v>659</v>
      </c>
      <c r="N288" t="s">
        <v>660</v>
      </c>
      <c r="O288" t="s">
        <v>668</v>
      </c>
      <c r="P288" t="s">
        <v>37</v>
      </c>
      <c r="Q288" t="s">
        <v>38</v>
      </c>
      <c r="R288" t="s">
        <v>1088</v>
      </c>
      <c r="S288" t="s">
        <v>1109</v>
      </c>
      <c r="T288" s="5">
        <v>17</v>
      </c>
      <c r="U288" s="6">
        <v>7.48</v>
      </c>
      <c r="V288" s="6">
        <v>5</v>
      </c>
      <c r="W288" s="8">
        <v>0</v>
      </c>
      <c r="X288" s="6">
        <f t="shared" si="20"/>
        <v>127.16000000000001</v>
      </c>
      <c r="Y288" s="6">
        <f t="shared" si="21"/>
        <v>85</v>
      </c>
      <c r="Z288" s="6">
        <f t="shared" si="22"/>
        <v>42.160000000000011</v>
      </c>
      <c r="AA288" t="s">
        <v>679</v>
      </c>
      <c r="AC288" s="5">
        <v>3</v>
      </c>
      <c r="AD288" t="s">
        <v>1101</v>
      </c>
      <c r="AE288" t="str">
        <f t="shared" si="23"/>
        <v>2025-10</v>
      </c>
      <c r="AF288" t="str">
        <f t="shared" si="24"/>
        <v>Q4-2025</v>
      </c>
    </row>
    <row r="289" spans="1:32" x14ac:dyDescent="0.3">
      <c r="A289" t="s">
        <v>1534</v>
      </c>
      <c r="B289" s="5">
        <v>2</v>
      </c>
      <c r="C289" s="4">
        <v>45385</v>
      </c>
      <c r="D289" s="4">
        <v>45396</v>
      </c>
      <c r="E289" t="s">
        <v>281</v>
      </c>
      <c r="F289" t="s">
        <v>282</v>
      </c>
      <c r="G289" t="s">
        <v>80</v>
      </c>
      <c r="H289" t="s">
        <v>41</v>
      </c>
      <c r="I289" t="s">
        <v>86</v>
      </c>
      <c r="J289" t="s">
        <v>1107</v>
      </c>
      <c r="K289" t="s">
        <v>1439</v>
      </c>
      <c r="L289" t="s">
        <v>677</v>
      </c>
      <c r="M289" t="s">
        <v>659</v>
      </c>
      <c r="N289" t="s">
        <v>660</v>
      </c>
      <c r="O289" t="s">
        <v>678</v>
      </c>
      <c r="P289" t="s">
        <v>37</v>
      </c>
      <c r="Q289" t="s">
        <v>38</v>
      </c>
      <c r="R289" t="s">
        <v>126</v>
      </c>
      <c r="S289" t="s">
        <v>1109</v>
      </c>
      <c r="T289" s="5">
        <v>21</v>
      </c>
      <c r="U289" s="6">
        <v>85.94</v>
      </c>
      <c r="V289" s="6">
        <v>53.6</v>
      </c>
      <c r="W289" s="8">
        <v>0</v>
      </c>
      <c r="X289" s="6">
        <f t="shared" si="20"/>
        <v>1804.74</v>
      </c>
      <c r="Y289" s="6">
        <f t="shared" si="21"/>
        <v>1125.6000000000001</v>
      </c>
      <c r="Z289" s="6">
        <f t="shared" si="22"/>
        <v>679.13999999999987</v>
      </c>
      <c r="AA289" t="s">
        <v>679</v>
      </c>
      <c r="AC289" s="5">
        <v>3</v>
      </c>
      <c r="AD289" t="s">
        <v>1535</v>
      </c>
      <c r="AE289" t="str">
        <f t="shared" si="23"/>
        <v>2024-04</v>
      </c>
      <c r="AF289" t="str">
        <f t="shared" si="24"/>
        <v>Q2-2024</v>
      </c>
    </row>
    <row r="290" spans="1:32" x14ac:dyDescent="0.3">
      <c r="A290" t="s">
        <v>1536</v>
      </c>
      <c r="B290" s="5">
        <v>4</v>
      </c>
      <c r="C290" s="4">
        <v>45864</v>
      </c>
      <c r="D290" s="4">
        <v>45867</v>
      </c>
      <c r="E290" t="s">
        <v>171</v>
      </c>
      <c r="F290" t="s">
        <v>172</v>
      </c>
      <c r="G290" t="s">
        <v>104</v>
      </c>
      <c r="H290" t="s">
        <v>31</v>
      </c>
      <c r="I290" t="s">
        <v>160</v>
      </c>
      <c r="J290" t="s">
        <v>1092</v>
      </c>
      <c r="K290" t="s">
        <v>1150</v>
      </c>
      <c r="L290" t="s">
        <v>756</v>
      </c>
      <c r="M290" t="s">
        <v>659</v>
      </c>
      <c r="N290" t="s">
        <v>754</v>
      </c>
      <c r="O290" t="s">
        <v>757</v>
      </c>
      <c r="P290" t="s">
        <v>34</v>
      </c>
      <c r="Q290" t="s">
        <v>35</v>
      </c>
      <c r="R290" t="s">
        <v>1114</v>
      </c>
      <c r="S290" t="s">
        <v>1089</v>
      </c>
      <c r="T290" s="5">
        <v>3</v>
      </c>
      <c r="U290" s="6">
        <v>8.0299999999999994</v>
      </c>
      <c r="V290" s="6">
        <v>5</v>
      </c>
      <c r="W290" s="8">
        <v>0</v>
      </c>
      <c r="X290" s="6">
        <f t="shared" si="20"/>
        <v>24.089999999999996</v>
      </c>
      <c r="Y290" s="6">
        <f t="shared" si="21"/>
        <v>15</v>
      </c>
      <c r="Z290" s="6">
        <f t="shared" si="22"/>
        <v>9.0899999999999963</v>
      </c>
      <c r="AA290" t="s">
        <v>679</v>
      </c>
      <c r="AC290" s="5">
        <v>4</v>
      </c>
      <c r="AD290" t="s">
        <v>1105</v>
      </c>
      <c r="AE290" t="str">
        <f t="shared" si="23"/>
        <v>2025-07</v>
      </c>
      <c r="AF290" t="str">
        <f t="shared" si="24"/>
        <v>Q3-2025</v>
      </c>
    </row>
    <row r="291" spans="1:32" x14ac:dyDescent="0.3">
      <c r="A291" t="s">
        <v>1537</v>
      </c>
      <c r="B291" s="5">
        <v>1</v>
      </c>
      <c r="C291" s="4">
        <v>45728</v>
      </c>
      <c r="D291" s="4">
        <v>45729</v>
      </c>
      <c r="E291" t="s">
        <v>387</v>
      </c>
      <c r="F291" t="s">
        <v>388</v>
      </c>
      <c r="G291" t="s">
        <v>65</v>
      </c>
      <c r="H291" t="s">
        <v>20</v>
      </c>
      <c r="I291" t="s">
        <v>71</v>
      </c>
      <c r="J291" t="s">
        <v>1112</v>
      </c>
      <c r="K291" t="s">
        <v>1113</v>
      </c>
      <c r="L291" t="s">
        <v>987</v>
      </c>
      <c r="M291" t="s">
        <v>929</v>
      </c>
      <c r="N291" t="s">
        <v>971</v>
      </c>
      <c r="O291" t="s">
        <v>988</v>
      </c>
      <c r="P291" t="s">
        <v>39</v>
      </c>
      <c r="Q291" t="s">
        <v>40</v>
      </c>
      <c r="R291" t="s">
        <v>1114</v>
      </c>
      <c r="S291" t="s">
        <v>1089</v>
      </c>
      <c r="T291" s="5">
        <v>2</v>
      </c>
      <c r="U291" s="6">
        <v>234.79</v>
      </c>
      <c r="V291" s="6">
        <v>181.22</v>
      </c>
      <c r="W291" s="8">
        <v>0.27179999999999999</v>
      </c>
      <c r="X291" s="6">
        <f t="shared" si="20"/>
        <v>341.94815599999998</v>
      </c>
      <c r="Y291" s="6">
        <f t="shared" si="21"/>
        <v>362.44</v>
      </c>
      <c r="Z291" s="6">
        <f t="shared" si="22"/>
        <v>-20.491844000000015</v>
      </c>
      <c r="AA291" t="s">
        <v>679</v>
      </c>
      <c r="AC291" s="5">
        <v>3</v>
      </c>
      <c r="AD291" t="s">
        <v>1123</v>
      </c>
      <c r="AE291" t="str">
        <f t="shared" si="23"/>
        <v>2025-03</v>
      </c>
      <c r="AF291" t="str">
        <f t="shared" si="24"/>
        <v>Q1-2025</v>
      </c>
    </row>
    <row r="292" spans="1:32" x14ac:dyDescent="0.3">
      <c r="A292" t="s">
        <v>1538</v>
      </c>
      <c r="B292" s="5">
        <v>5</v>
      </c>
      <c r="C292" s="4">
        <v>45790</v>
      </c>
      <c r="D292" s="4">
        <v>45801</v>
      </c>
      <c r="E292" t="s">
        <v>146</v>
      </c>
      <c r="F292" t="s">
        <v>147</v>
      </c>
      <c r="G292" t="s">
        <v>74</v>
      </c>
      <c r="H292" t="s">
        <v>23</v>
      </c>
      <c r="I292" t="s">
        <v>81</v>
      </c>
      <c r="J292" t="s">
        <v>1119</v>
      </c>
      <c r="K292" t="s">
        <v>1291</v>
      </c>
      <c r="L292" t="s">
        <v>768</v>
      </c>
      <c r="M292" t="s">
        <v>659</v>
      </c>
      <c r="N292" t="s">
        <v>754</v>
      </c>
      <c r="O292" t="s">
        <v>769</v>
      </c>
      <c r="P292" t="s">
        <v>39</v>
      </c>
      <c r="Q292" t="s">
        <v>40</v>
      </c>
      <c r="R292" t="s">
        <v>1088</v>
      </c>
      <c r="S292" t="s">
        <v>1156</v>
      </c>
      <c r="T292" s="5">
        <v>13</v>
      </c>
      <c r="U292" s="6">
        <v>6.79</v>
      </c>
      <c r="V292" s="6">
        <v>5</v>
      </c>
      <c r="W292" s="8">
        <v>0</v>
      </c>
      <c r="X292" s="6">
        <f t="shared" si="20"/>
        <v>88.27</v>
      </c>
      <c r="Y292" s="6">
        <f t="shared" si="21"/>
        <v>65</v>
      </c>
      <c r="Z292" s="6">
        <f t="shared" si="22"/>
        <v>23.269999999999996</v>
      </c>
      <c r="AA292" t="s">
        <v>679</v>
      </c>
      <c r="AC292" s="5">
        <v>1</v>
      </c>
      <c r="AD292" t="s">
        <v>1090</v>
      </c>
      <c r="AE292" t="str">
        <f t="shared" si="23"/>
        <v>2025-05</v>
      </c>
      <c r="AF292" t="str">
        <f t="shared" si="24"/>
        <v>Q2-2025</v>
      </c>
    </row>
    <row r="293" spans="1:32" x14ac:dyDescent="0.3">
      <c r="A293" t="s">
        <v>1539</v>
      </c>
      <c r="B293" s="5">
        <v>1</v>
      </c>
      <c r="C293" s="4">
        <v>45297</v>
      </c>
      <c r="D293" s="4">
        <v>45299</v>
      </c>
      <c r="E293" t="s">
        <v>205</v>
      </c>
      <c r="F293" t="s">
        <v>206</v>
      </c>
      <c r="G293" t="s">
        <v>74</v>
      </c>
      <c r="H293" t="s">
        <v>23</v>
      </c>
      <c r="I293" t="s">
        <v>93</v>
      </c>
      <c r="J293" t="s">
        <v>1278</v>
      </c>
      <c r="K293" t="s">
        <v>1521</v>
      </c>
      <c r="L293" t="s">
        <v>910</v>
      </c>
      <c r="M293" t="s">
        <v>795</v>
      </c>
      <c r="N293" t="s">
        <v>898</v>
      </c>
      <c r="O293" t="s">
        <v>911</v>
      </c>
      <c r="P293" t="s">
        <v>17</v>
      </c>
      <c r="Q293" t="s">
        <v>18</v>
      </c>
      <c r="R293" t="s">
        <v>1114</v>
      </c>
      <c r="S293" t="s">
        <v>1095</v>
      </c>
      <c r="T293" s="5">
        <v>2</v>
      </c>
      <c r="U293" s="6">
        <v>230.75</v>
      </c>
      <c r="V293" s="6">
        <v>109.34</v>
      </c>
      <c r="W293" s="8">
        <v>0</v>
      </c>
      <c r="X293" s="6">
        <f t="shared" si="20"/>
        <v>461.5</v>
      </c>
      <c r="Y293" s="6">
        <f t="shared" si="21"/>
        <v>218.68</v>
      </c>
      <c r="Z293" s="6">
        <f t="shared" si="22"/>
        <v>242.82</v>
      </c>
      <c r="AA293" t="s">
        <v>679</v>
      </c>
      <c r="AC293" s="5"/>
      <c r="AD293" t="s">
        <v>1535</v>
      </c>
      <c r="AE293" t="str">
        <f t="shared" si="23"/>
        <v>2024-01</v>
      </c>
      <c r="AF293" t="str">
        <f t="shared" si="24"/>
        <v>Q1-2024</v>
      </c>
    </row>
    <row r="294" spans="1:32" x14ac:dyDescent="0.3">
      <c r="A294" t="s">
        <v>1540</v>
      </c>
      <c r="B294" s="5">
        <v>2</v>
      </c>
      <c r="C294" s="4">
        <v>45442</v>
      </c>
      <c r="D294" s="4">
        <v>45455</v>
      </c>
      <c r="E294" t="s">
        <v>326</v>
      </c>
      <c r="F294" t="s">
        <v>327</v>
      </c>
      <c r="G294" t="s">
        <v>65</v>
      </c>
      <c r="H294" t="s">
        <v>20</v>
      </c>
      <c r="I294" t="s">
        <v>71</v>
      </c>
      <c r="J294" t="s">
        <v>1166</v>
      </c>
      <c r="K294" t="s">
        <v>1196</v>
      </c>
      <c r="L294" t="s">
        <v>912</v>
      </c>
      <c r="M294" t="s">
        <v>795</v>
      </c>
      <c r="N294" t="s">
        <v>898</v>
      </c>
      <c r="O294" t="s">
        <v>913</v>
      </c>
      <c r="P294" t="s">
        <v>29</v>
      </c>
      <c r="Q294" t="s">
        <v>30</v>
      </c>
      <c r="R294" t="s">
        <v>1088</v>
      </c>
      <c r="S294" t="s">
        <v>1109</v>
      </c>
      <c r="T294" s="5">
        <v>17</v>
      </c>
      <c r="U294" s="6">
        <v>224.52</v>
      </c>
      <c r="V294" s="6">
        <v>136.19999999999999</v>
      </c>
      <c r="W294" s="8">
        <v>0</v>
      </c>
      <c r="X294" s="6">
        <f t="shared" si="20"/>
        <v>3816.84</v>
      </c>
      <c r="Y294" s="6">
        <f t="shared" si="21"/>
        <v>2315.3999999999996</v>
      </c>
      <c r="Z294" s="6">
        <f t="shared" si="22"/>
        <v>1501.4400000000005</v>
      </c>
      <c r="AA294" t="s">
        <v>679</v>
      </c>
      <c r="AC294" s="5">
        <v>2</v>
      </c>
      <c r="AE294" t="str">
        <f t="shared" si="23"/>
        <v>2024-05</v>
      </c>
      <c r="AF294" t="str">
        <f t="shared" si="24"/>
        <v>Q2-2024</v>
      </c>
    </row>
    <row r="295" spans="1:32" x14ac:dyDescent="0.3">
      <c r="A295" t="s">
        <v>1541</v>
      </c>
      <c r="B295" s="5">
        <v>1</v>
      </c>
      <c r="C295" s="4">
        <v>45874</v>
      </c>
      <c r="D295" s="4">
        <v>45880</v>
      </c>
      <c r="E295" t="s">
        <v>389</v>
      </c>
      <c r="F295" t="s">
        <v>390</v>
      </c>
      <c r="G295" t="s">
        <v>84</v>
      </c>
      <c r="H295" t="s">
        <v>23</v>
      </c>
      <c r="I295" t="s">
        <v>81</v>
      </c>
      <c r="J295" t="s">
        <v>1163</v>
      </c>
      <c r="K295" t="s">
        <v>1219</v>
      </c>
      <c r="L295" t="s">
        <v>847</v>
      </c>
      <c r="M295" t="s">
        <v>795</v>
      </c>
      <c r="N295" t="s">
        <v>837</v>
      </c>
      <c r="O295" t="s">
        <v>848</v>
      </c>
      <c r="P295" t="s">
        <v>24</v>
      </c>
      <c r="Q295" t="s">
        <v>25</v>
      </c>
      <c r="R295" t="s">
        <v>1094</v>
      </c>
      <c r="S295" t="s">
        <v>1156</v>
      </c>
      <c r="T295" s="5">
        <v>8</v>
      </c>
      <c r="U295" s="6">
        <v>256.88</v>
      </c>
      <c r="V295" s="6">
        <v>188.86</v>
      </c>
      <c r="W295" s="8">
        <v>0.1351</v>
      </c>
      <c r="X295" s="6">
        <f t="shared" si="20"/>
        <v>1777.404096</v>
      </c>
      <c r="Y295" s="6">
        <f t="shared" si="21"/>
        <v>1510.88</v>
      </c>
      <c r="Z295" s="6">
        <f t="shared" si="22"/>
        <v>266.52409599999987</v>
      </c>
      <c r="AA295" t="s">
        <v>679</v>
      </c>
      <c r="AC295" s="5">
        <v>2</v>
      </c>
      <c r="AD295" t="s">
        <v>1136</v>
      </c>
      <c r="AE295" t="str">
        <f t="shared" si="23"/>
        <v>2025-08</v>
      </c>
      <c r="AF295" t="str">
        <f t="shared" si="24"/>
        <v>Q3-2025</v>
      </c>
    </row>
    <row r="296" spans="1:32" x14ac:dyDescent="0.3">
      <c r="A296" t="s">
        <v>1542</v>
      </c>
      <c r="B296" s="5">
        <v>4</v>
      </c>
      <c r="C296" s="4">
        <v>45440</v>
      </c>
      <c r="D296" s="4">
        <v>45444</v>
      </c>
      <c r="E296" t="s">
        <v>389</v>
      </c>
      <c r="F296" t="s">
        <v>390</v>
      </c>
      <c r="G296" t="s">
        <v>84</v>
      </c>
      <c r="H296" t="s">
        <v>41</v>
      </c>
      <c r="I296" t="s">
        <v>86</v>
      </c>
      <c r="J296" t="s">
        <v>1107</v>
      </c>
      <c r="K296" t="s">
        <v>1230</v>
      </c>
      <c r="L296" t="s">
        <v>908</v>
      </c>
      <c r="M296" t="s">
        <v>795</v>
      </c>
      <c r="N296" t="s">
        <v>898</v>
      </c>
      <c r="O296" t="s">
        <v>909</v>
      </c>
      <c r="P296" t="s">
        <v>42</v>
      </c>
      <c r="Q296" t="s">
        <v>43</v>
      </c>
      <c r="R296" t="s">
        <v>1114</v>
      </c>
      <c r="S296" t="s">
        <v>1156</v>
      </c>
      <c r="T296" s="5">
        <v>14</v>
      </c>
      <c r="U296" s="6">
        <v>228.37</v>
      </c>
      <c r="V296" s="6">
        <v>145.38</v>
      </c>
      <c r="W296" s="8">
        <v>0</v>
      </c>
      <c r="X296" s="6">
        <f t="shared" si="20"/>
        <v>3197.1800000000003</v>
      </c>
      <c r="Y296" s="6">
        <f t="shared" si="21"/>
        <v>2035.32</v>
      </c>
      <c r="Z296" s="6">
        <f t="shared" si="22"/>
        <v>1161.8600000000004</v>
      </c>
      <c r="AA296" t="s">
        <v>679</v>
      </c>
      <c r="AC296" s="5">
        <v>1</v>
      </c>
      <c r="AE296" t="str">
        <f t="shared" si="23"/>
        <v>2024-05</v>
      </c>
      <c r="AF296" t="str">
        <f t="shared" si="24"/>
        <v>Q2-2024</v>
      </c>
    </row>
    <row r="297" spans="1:32" x14ac:dyDescent="0.3">
      <c r="A297" t="s">
        <v>1543</v>
      </c>
      <c r="B297" s="5">
        <v>2</v>
      </c>
      <c r="C297" s="4">
        <v>45534</v>
      </c>
      <c r="D297" s="4">
        <v>45535</v>
      </c>
      <c r="E297" t="s">
        <v>574</v>
      </c>
      <c r="F297" t="s">
        <v>400</v>
      </c>
      <c r="G297" t="s">
        <v>65</v>
      </c>
      <c r="H297" t="s">
        <v>41</v>
      </c>
      <c r="I297" t="s">
        <v>75</v>
      </c>
      <c r="J297" t="s">
        <v>1142</v>
      </c>
      <c r="K297" t="s">
        <v>1143</v>
      </c>
      <c r="L297" t="s">
        <v>784</v>
      </c>
      <c r="M297" t="s">
        <v>659</v>
      </c>
      <c r="N297" t="s">
        <v>754</v>
      </c>
      <c r="O297" t="s">
        <v>785</v>
      </c>
      <c r="P297" t="s">
        <v>21</v>
      </c>
      <c r="Q297" t="s">
        <v>22</v>
      </c>
      <c r="R297" t="s">
        <v>1114</v>
      </c>
      <c r="S297" t="s">
        <v>1109</v>
      </c>
      <c r="T297" s="5">
        <v>47</v>
      </c>
      <c r="U297" s="6">
        <v>87.21</v>
      </c>
      <c r="V297" s="6">
        <v>51.78</v>
      </c>
      <c r="W297" s="8">
        <v>0</v>
      </c>
      <c r="X297" s="6">
        <f t="shared" si="20"/>
        <v>4098.87</v>
      </c>
      <c r="Y297" s="6">
        <f t="shared" si="21"/>
        <v>2433.66</v>
      </c>
      <c r="Z297" s="6">
        <f t="shared" si="22"/>
        <v>1665.21</v>
      </c>
      <c r="AA297" t="s">
        <v>679</v>
      </c>
      <c r="AC297" s="5"/>
      <c r="AE297" t="str">
        <f t="shared" si="23"/>
        <v>2024-08</v>
      </c>
      <c r="AF297" t="str">
        <f t="shared" si="24"/>
        <v>Q3-2024</v>
      </c>
    </row>
    <row r="298" spans="1:32" x14ac:dyDescent="0.3">
      <c r="A298" t="s">
        <v>1544</v>
      </c>
      <c r="B298" s="5">
        <v>3</v>
      </c>
      <c r="C298" s="4">
        <v>45407</v>
      </c>
      <c r="D298" s="4">
        <v>45418</v>
      </c>
      <c r="E298" t="s">
        <v>219</v>
      </c>
      <c r="F298" t="s">
        <v>220</v>
      </c>
      <c r="G298" t="s">
        <v>84</v>
      </c>
      <c r="H298" t="s">
        <v>20</v>
      </c>
      <c r="I298" t="s">
        <v>90</v>
      </c>
      <c r="J298" t="s">
        <v>1262</v>
      </c>
      <c r="K298" t="s">
        <v>1263</v>
      </c>
      <c r="L298" t="s">
        <v>891</v>
      </c>
      <c r="M298" t="s">
        <v>795</v>
      </c>
      <c r="N298" t="s">
        <v>837</v>
      </c>
      <c r="O298" t="s">
        <v>892</v>
      </c>
      <c r="P298" t="s">
        <v>44</v>
      </c>
      <c r="Q298" t="s">
        <v>45</v>
      </c>
      <c r="R298" t="s">
        <v>1088</v>
      </c>
      <c r="S298" t="s">
        <v>1109</v>
      </c>
      <c r="T298" s="5">
        <v>5</v>
      </c>
      <c r="U298" s="6">
        <v>194.29</v>
      </c>
      <c r="V298" s="6">
        <v>101.69</v>
      </c>
      <c r="W298" s="8">
        <v>0</v>
      </c>
      <c r="X298" s="6">
        <f t="shared" si="20"/>
        <v>971.44999999999993</v>
      </c>
      <c r="Y298" s="6">
        <f t="shared" si="21"/>
        <v>508.45</v>
      </c>
      <c r="Z298" s="6">
        <f t="shared" si="22"/>
        <v>462.99999999999994</v>
      </c>
      <c r="AA298" t="s">
        <v>679</v>
      </c>
      <c r="AC298" s="5">
        <v>2</v>
      </c>
      <c r="AE298" t="str">
        <f t="shared" si="23"/>
        <v>2024-04</v>
      </c>
      <c r="AF298" t="str">
        <f t="shared" si="24"/>
        <v>Q2-2024</v>
      </c>
    </row>
    <row r="299" spans="1:32" x14ac:dyDescent="0.3">
      <c r="A299" t="s">
        <v>1545</v>
      </c>
      <c r="B299" s="5">
        <v>1</v>
      </c>
      <c r="C299" s="4">
        <v>45665</v>
      </c>
      <c r="D299" s="4">
        <v>45677</v>
      </c>
      <c r="E299" t="s">
        <v>616</v>
      </c>
      <c r="F299" t="s">
        <v>382</v>
      </c>
      <c r="G299" t="s">
        <v>84</v>
      </c>
      <c r="H299" t="s">
        <v>23</v>
      </c>
      <c r="I299" t="s">
        <v>109</v>
      </c>
      <c r="J299" t="s">
        <v>1300</v>
      </c>
      <c r="K299" t="s">
        <v>1360</v>
      </c>
      <c r="L299" t="s">
        <v>1046</v>
      </c>
      <c r="M299" t="s">
        <v>1002</v>
      </c>
      <c r="N299" t="s">
        <v>1034</v>
      </c>
      <c r="O299" t="s">
        <v>1047</v>
      </c>
      <c r="P299" t="s">
        <v>53</v>
      </c>
      <c r="Q299" t="s">
        <v>54</v>
      </c>
      <c r="R299" t="s">
        <v>1114</v>
      </c>
      <c r="S299" t="s">
        <v>1156</v>
      </c>
      <c r="T299" s="5">
        <v>6</v>
      </c>
      <c r="U299" s="6">
        <v>248.41</v>
      </c>
      <c r="V299" s="6">
        <v>153.29</v>
      </c>
      <c r="W299" s="8">
        <v>0</v>
      </c>
      <c r="X299" s="6">
        <f t="shared" si="20"/>
        <v>1490.46</v>
      </c>
      <c r="Y299" s="6">
        <f t="shared" si="21"/>
        <v>919.74</v>
      </c>
      <c r="Z299" s="6">
        <f t="shared" si="22"/>
        <v>570.72</v>
      </c>
      <c r="AA299" t="s">
        <v>679</v>
      </c>
      <c r="AC299" s="5"/>
      <c r="AD299" t="s">
        <v>1105</v>
      </c>
      <c r="AE299" t="str">
        <f t="shared" si="23"/>
        <v>2025-01</v>
      </c>
      <c r="AF299" t="str">
        <f t="shared" si="24"/>
        <v>Q1-2025</v>
      </c>
    </row>
    <row r="300" spans="1:32" x14ac:dyDescent="0.3">
      <c r="A300" t="s">
        <v>1546</v>
      </c>
      <c r="B300" s="5">
        <v>2</v>
      </c>
      <c r="C300" s="4">
        <v>45826</v>
      </c>
      <c r="D300" s="4">
        <v>45830</v>
      </c>
      <c r="E300" t="s">
        <v>574</v>
      </c>
      <c r="F300" t="s">
        <v>400</v>
      </c>
      <c r="G300" t="s">
        <v>65</v>
      </c>
      <c r="H300" t="s">
        <v>20</v>
      </c>
      <c r="I300" t="s">
        <v>90</v>
      </c>
      <c r="J300" t="s">
        <v>1262</v>
      </c>
      <c r="K300" t="s">
        <v>1274</v>
      </c>
      <c r="L300" t="s">
        <v>778</v>
      </c>
      <c r="M300" t="s">
        <v>659</v>
      </c>
      <c r="N300" t="s">
        <v>754</v>
      </c>
      <c r="O300" t="s">
        <v>779</v>
      </c>
      <c r="P300" t="s">
        <v>50</v>
      </c>
      <c r="Q300" t="s">
        <v>51</v>
      </c>
      <c r="R300" t="s">
        <v>126</v>
      </c>
      <c r="S300" t="s">
        <v>1100</v>
      </c>
      <c r="T300" s="5">
        <v>7</v>
      </c>
      <c r="U300" s="6">
        <v>123.14</v>
      </c>
      <c r="V300" s="6">
        <v>73.75</v>
      </c>
      <c r="W300" s="8">
        <v>0</v>
      </c>
      <c r="X300" s="6">
        <f t="shared" si="20"/>
        <v>861.98</v>
      </c>
      <c r="Y300" s="6">
        <f t="shared" si="21"/>
        <v>516.25</v>
      </c>
      <c r="Z300" s="6">
        <f t="shared" si="22"/>
        <v>345.73</v>
      </c>
      <c r="AA300" t="s">
        <v>679</v>
      </c>
      <c r="AC300" s="5"/>
      <c r="AD300" t="s">
        <v>1101</v>
      </c>
      <c r="AE300" t="str">
        <f t="shared" si="23"/>
        <v>2025-06</v>
      </c>
      <c r="AF300" t="str">
        <f t="shared" si="24"/>
        <v>Q2-2025</v>
      </c>
    </row>
    <row r="301" spans="1:32" x14ac:dyDescent="0.3">
      <c r="A301" t="s">
        <v>1547</v>
      </c>
      <c r="B301" s="5">
        <v>4</v>
      </c>
      <c r="C301" s="4">
        <v>45930</v>
      </c>
      <c r="D301" s="4">
        <v>45930</v>
      </c>
      <c r="E301" t="s">
        <v>196</v>
      </c>
      <c r="F301" t="s">
        <v>197</v>
      </c>
      <c r="G301" t="s">
        <v>65</v>
      </c>
      <c r="H301" t="s">
        <v>41</v>
      </c>
      <c r="I301" t="s">
        <v>75</v>
      </c>
      <c r="J301" t="s">
        <v>1142</v>
      </c>
      <c r="K301" t="s">
        <v>1205</v>
      </c>
      <c r="L301" t="s">
        <v>839</v>
      </c>
      <c r="M301" t="s">
        <v>795</v>
      </c>
      <c r="N301" t="s">
        <v>837</v>
      </c>
      <c r="O301" t="s">
        <v>840</v>
      </c>
      <c r="P301" t="s">
        <v>34</v>
      </c>
      <c r="Q301" t="s">
        <v>35</v>
      </c>
      <c r="R301" t="s">
        <v>1088</v>
      </c>
      <c r="S301" t="s">
        <v>1095</v>
      </c>
      <c r="T301" s="5">
        <v>15</v>
      </c>
      <c r="U301" s="6">
        <v>254.7</v>
      </c>
      <c r="V301" s="6">
        <v>161.93</v>
      </c>
      <c r="W301" s="8">
        <v>0</v>
      </c>
      <c r="X301" s="6">
        <f t="shared" si="20"/>
        <v>3820.5</v>
      </c>
      <c r="Y301" s="6">
        <f t="shared" si="21"/>
        <v>2428.9500000000003</v>
      </c>
      <c r="Z301" s="6">
        <f t="shared" si="22"/>
        <v>1391.5499999999997</v>
      </c>
      <c r="AA301" t="s">
        <v>679</v>
      </c>
      <c r="AC301" s="5">
        <v>5</v>
      </c>
      <c r="AE301" t="str">
        <f t="shared" si="23"/>
        <v>2025-09</v>
      </c>
      <c r="AF301" t="str">
        <f t="shared" si="24"/>
        <v>Q3-2025</v>
      </c>
    </row>
    <row r="302" spans="1:32" x14ac:dyDescent="0.3">
      <c r="A302" t="s">
        <v>1548</v>
      </c>
      <c r="B302" s="5">
        <v>1</v>
      </c>
      <c r="C302" s="4">
        <v>45723</v>
      </c>
      <c r="D302" s="4">
        <v>45732</v>
      </c>
      <c r="E302" t="s">
        <v>167</v>
      </c>
      <c r="F302" t="s">
        <v>168</v>
      </c>
      <c r="G302" t="s">
        <v>74</v>
      </c>
      <c r="H302" t="s">
        <v>41</v>
      </c>
      <c r="I302" t="s">
        <v>86</v>
      </c>
      <c r="J302" t="s">
        <v>1107</v>
      </c>
      <c r="K302" t="s">
        <v>1108</v>
      </c>
      <c r="L302" t="s">
        <v>682</v>
      </c>
      <c r="M302" t="s">
        <v>659</v>
      </c>
      <c r="N302" t="s">
        <v>660</v>
      </c>
      <c r="O302" t="s">
        <v>683</v>
      </c>
      <c r="P302" t="s">
        <v>21</v>
      </c>
      <c r="Q302" t="s">
        <v>22</v>
      </c>
      <c r="R302" t="s">
        <v>1088</v>
      </c>
      <c r="S302" t="s">
        <v>1156</v>
      </c>
      <c r="T302" s="5">
        <v>20</v>
      </c>
      <c r="U302" s="6">
        <v>6.66</v>
      </c>
      <c r="V302" s="6">
        <v>5</v>
      </c>
      <c r="W302" s="8">
        <v>0</v>
      </c>
      <c r="X302" s="6">
        <f t="shared" si="20"/>
        <v>133.19999999999999</v>
      </c>
      <c r="Y302" s="6">
        <f t="shared" si="21"/>
        <v>100</v>
      </c>
      <c r="Z302" s="6">
        <f t="shared" si="22"/>
        <v>33.199999999999989</v>
      </c>
      <c r="AA302" t="s">
        <v>679</v>
      </c>
      <c r="AC302" s="5"/>
      <c r="AD302" t="s">
        <v>1148</v>
      </c>
      <c r="AE302" t="str">
        <f t="shared" si="23"/>
        <v>2025-03</v>
      </c>
      <c r="AF302" t="str">
        <f t="shared" si="24"/>
        <v>Q1-2025</v>
      </c>
    </row>
    <row r="303" spans="1:32" x14ac:dyDescent="0.3">
      <c r="A303" t="s">
        <v>1549</v>
      </c>
      <c r="B303" s="5">
        <v>1</v>
      </c>
      <c r="C303" s="4">
        <v>45862</v>
      </c>
      <c r="D303" s="4">
        <v>45869</v>
      </c>
      <c r="E303" t="s">
        <v>461</v>
      </c>
      <c r="F303" t="s">
        <v>1550</v>
      </c>
      <c r="G303" t="s">
        <v>65</v>
      </c>
      <c r="H303" t="s">
        <v>20</v>
      </c>
      <c r="I303" t="s">
        <v>112</v>
      </c>
      <c r="J303" t="s">
        <v>1158</v>
      </c>
      <c r="K303" t="s">
        <v>1416</v>
      </c>
      <c r="L303" t="s">
        <v>733</v>
      </c>
      <c r="M303" t="s">
        <v>659</v>
      </c>
      <c r="N303" t="s">
        <v>713</v>
      </c>
      <c r="O303" t="s">
        <v>734</v>
      </c>
      <c r="P303" t="s">
        <v>21</v>
      </c>
      <c r="Q303" t="s">
        <v>22</v>
      </c>
      <c r="R303" t="s">
        <v>1094</v>
      </c>
      <c r="S303" t="s">
        <v>1089</v>
      </c>
      <c r="T303" s="5">
        <v>6</v>
      </c>
      <c r="U303" s="6">
        <v>8.51</v>
      </c>
      <c r="V303" s="6">
        <v>5</v>
      </c>
      <c r="W303" s="8">
        <v>0</v>
      </c>
      <c r="X303" s="6">
        <f t="shared" si="20"/>
        <v>51.06</v>
      </c>
      <c r="Y303" s="6">
        <f t="shared" si="21"/>
        <v>30</v>
      </c>
      <c r="Z303" s="6">
        <f t="shared" si="22"/>
        <v>21.060000000000002</v>
      </c>
      <c r="AA303" t="s">
        <v>662</v>
      </c>
      <c r="AB303" t="s">
        <v>1122</v>
      </c>
      <c r="AC303" s="5">
        <v>2</v>
      </c>
      <c r="AE303" t="str">
        <f t="shared" si="23"/>
        <v>2025-07</v>
      </c>
      <c r="AF303" t="str">
        <f t="shared" si="24"/>
        <v>Q3-2025</v>
      </c>
    </row>
    <row r="304" spans="1:32" x14ac:dyDescent="0.3">
      <c r="A304" t="s">
        <v>1551</v>
      </c>
      <c r="B304" s="5">
        <v>4</v>
      </c>
      <c r="C304" s="4">
        <v>45481</v>
      </c>
      <c r="D304" s="4">
        <v>45485</v>
      </c>
      <c r="E304" t="s">
        <v>436</v>
      </c>
      <c r="F304" t="s">
        <v>437</v>
      </c>
      <c r="G304" t="s">
        <v>65</v>
      </c>
      <c r="H304" t="s">
        <v>20</v>
      </c>
      <c r="I304" t="s">
        <v>112</v>
      </c>
      <c r="J304" t="s">
        <v>1201</v>
      </c>
      <c r="K304" t="s">
        <v>1221</v>
      </c>
      <c r="L304" t="s">
        <v>869</v>
      </c>
      <c r="M304" t="s">
        <v>795</v>
      </c>
      <c r="N304" t="s">
        <v>837</v>
      </c>
      <c r="O304" t="s">
        <v>870</v>
      </c>
      <c r="P304" t="s">
        <v>37</v>
      </c>
      <c r="Q304" t="s">
        <v>38</v>
      </c>
      <c r="R304" t="s">
        <v>1114</v>
      </c>
      <c r="S304" t="s">
        <v>1156</v>
      </c>
      <c r="T304" s="5">
        <v>3</v>
      </c>
      <c r="U304" s="6">
        <v>183.78</v>
      </c>
      <c r="V304" s="6">
        <v>107.53</v>
      </c>
      <c r="W304" s="8">
        <v>0</v>
      </c>
      <c r="X304" s="6">
        <f t="shared" si="20"/>
        <v>551.34</v>
      </c>
      <c r="Y304" s="6">
        <f t="shared" si="21"/>
        <v>322.59000000000003</v>
      </c>
      <c r="Z304" s="6">
        <f t="shared" si="22"/>
        <v>228.75</v>
      </c>
      <c r="AA304" t="s">
        <v>679</v>
      </c>
      <c r="AC304" s="5">
        <v>4</v>
      </c>
      <c r="AD304" t="s">
        <v>1140</v>
      </c>
      <c r="AE304" t="str">
        <f t="shared" si="23"/>
        <v>2024-07</v>
      </c>
      <c r="AF304" t="str">
        <f t="shared" si="24"/>
        <v>Q3-2024</v>
      </c>
    </row>
    <row r="305" spans="1:32" x14ac:dyDescent="0.3">
      <c r="A305" t="s">
        <v>1552</v>
      </c>
      <c r="B305" s="5">
        <v>3</v>
      </c>
      <c r="C305" s="4">
        <v>45966</v>
      </c>
      <c r="D305" s="4">
        <v>45969</v>
      </c>
      <c r="E305" t="s">
        <v>352</v>
      </c>
      <c r="F305" t="s">
        <v>353</v>
      </c>
      <c r="G305" t="s">
        <v>74</v>
      </c>
      <c r="H305" t="s">
        <v>31</v>
      </c>
      <c r="I305" t="s">
        <v>160</v>
      </c>
      <c r="J305" t="s">
        <v>1125</v>
      </c>
      <c r="K305" t="s">
        <v>1386</v>
      </c>
      <c r="L305" t="s">
        <v>843</v>
      </c>
      <c r="M305" t="s">
        <v>795</v>
      </c>
      <c r="N305" t="s">
        <v>837</v>
      </c>
      <c r="O305" t="s">
        <v>844</v>
      </c>
      <c r="P305" t="s">
        <v>53</v>
      </c>
      <c r="Q305" t="s">
        <v>54</v>
      </c>
      <c r="R305" t="s">
        <v>1094</v>
      </c>
      <c r="S305" t="s">
        <v>1100</v>
      </c>
      <c r="T305" s="5">
        <v>13</v>
      </c>
      <c r="U305" s="6">
        <v>266.04000000000002</v>
      </c>
      <c r="V305" s="6">
        <v>170.4</v>
      </c>
      <c r="W305" s="8">
        <v>0</v>
      </c>
      <c r="X305" s="6">
        <f t="shared" si="20"/>
        <v>3458.5200000000004</v>
      </c>
      <c r="Y305" s="6">
        <f t="shared" si="21"/>
        <v>2215.2000000000003</v>
      </c>
      <c r="Z305" s="6">
        <f t="shared" si="22"/>
        <v>1243.3200000000002</v>
      </c>
      <c r="AA305" t="s">
        <v>679</v>
      </c>
      <c r="AC305" s="5"/>
      <c r="AD305" t="s">
        <v>1553</v>
      </c>
      <c r="AE305" t="str">
        <f t="shared" si="23"/>
        <v>2025-11</v>
      </c>
      <c r="AF305" t="str">
        <f t="shared" si="24"/>
        <v>Q4-2025</v>
      </c>
    </row>
    <row r="306" spans="1:32" x14ac:dyDescent="0.3">
      <c r="A306" t="s">
        <v>1554</v>
      </c>
      <c r="B306" s="5">
        <v>4</v>
      </c>
      <c r="C306" s="4">
        <v>45413</v>
      </c>
      <c r="D306" s="4">
        <v>45413</v>
      </c>
      <c r="E306" t="s">
        <v>115</v>
      </c>
      <c r="F306" t="s">
        <v>116</v>
      </c>
      <c r="G306" t="s">
        <v>74</v>
      </c>
      <c r="H306" t="s">
        <v>31</v>
      </c>
      <c r="I306" t="s">
        <v>127</v>
      </c>
      <c r="J306" t="s">
        <v>1098</v>
      </c>
      <c r="K306" t="s">
        <v>1099</v>
      </c>
      <c r="L306" t="s">
        <v>704</v>
      </c>
      <c r="M306" t="s">
        <v>659</v>
      </c>
      <c r="N306" t="s">
        <v>660</v>
      </c>
      <c r="O306" t="s">
        <v>705</v>
      </c>
      <c r="P306" t="s">
        <v>17</v>
      </c>
      <c r="Q306" t="s">
        <v>18</v>
      </c>
      <c r="R306" t="s">
        <v>1088</v>
      </c>
      <c r="S306" t="s">
        <v>1156</v>
      </c>
      <c r="T306" s="5">
        <v>13</v>
      </c>
      <c r="U306" s="6">
        <v>148.09</v>
      </c>
      <c r="V306" s="6">
        <v>88.5</v>
      </c>
      <c r="W306" s="8">
        <v>0</v>
      </c>
      <c r="X306" s="6">
        <f t="shared" si="20"/>
        <v>1925.17</v>
      </c>
      <c r="Y306" s="6">
        <f t="shared" si="21"/>
        <v>1150.5</v>
      </c>
      <c r="Z306" s="6">
        <f t="shared" si="22"/>
        <v>774.67000000000007</v>
      </c>
      <c r="AA306" t="s">
        <v>679</v>
      </c>
      <c r="AC306" s="5">
        <v>5</v>
      </c>
      <c r="AE306" t="str">
        <f t="shared" si="23"/>
        <v>2024-05</v>
      </c>
      <c r="AF306" t="str">
        <f t="shared" si="24"/>
        <v>Q2-2024</v>
      </c>
    </row>
    <row r="307" spans="1:32" x14ac:dyDescent="0.3">
      <c r="A307" t="s">
        <v>1555</v>
      </c>
      <c r="B307" s="5">
        <v>1</v>
      </c>
      <c r="C307" s="4">
        <v>45851</v>
      </c>
      <c r="D307" s="4">
        <v>45863</v>
      </c>
      <c r="E307" t="s">
        <v>105</v>
      </c>
      <c r="F307" t="s">
        <v>106</v>
      </c>
      <c r="G307" t="s">
        <v>74</v>
      </c>
      <c r="H307" t="s">
        <v>31</v>
      </c>
      <c r="I307" t="s">
        <v>127</v>
      </c>
      <c r="J307" t="s">
        <v>1116</v>
      </c>
      <c r="K307" t="s">
        <v>1357</v>
      </c>
      <c r="L307" t="s">
        <v>841</v>
      </c>
      <c r="M307" t="s">
        <v>795</v>
      </c>
      <c r="N307" t="s">
        <v>837</v>
      </c>
      <c r="O307" t="s">
        <v>842</v>
      </c>
      <c r="P307" t="s">
        <v>46</v>
      </c>
      <c r="Q307" t="s">
        <v>47</v>
      </c>
      <c r="R307" t="s">
        <v>1114</v>
      </c>
      <c r="S307" t="s">
        <v>1095</v>
      </c>
      <c r="T307" s="5">
        <v>11</v>
      </c>
      <c r="U307" s="6">
        <v>8.16</v>
      </c>
      <c r="V307" s="6">
        <v>5</v>
      </c>
      <c r="W307" s="8">
        <v>0</v>
      </c>
      <c r="X307" s="6">
        <f t="shared" si="20"/>
        <v>89.76</v>
      </c>
      <c r="Y307" s="6">
        <f t="shared" si="21"/>
        <v>55</v>
      </c>
      <c r="Z307" s="6">
        <f t="shared" si="22"/>
        <v>34.760000000000005</v>
      </c>
      <c r="AA307" t="s">
        <v>679</v>
      </c>
      <c r="AC307" s="5">
        <v>4</v>
      </c>
      <c r="AD307" t="s">
        <v>1105</v>
      </c>
      <c r="AE307" t="str">
        <f t="shared" si="23"/>
        <v>2025-07</v>
      </c>
      <c r="AF307" t="str">
        <f t="shared" si="24"/>
        <v>Q3-2025</v>
      </c>
    </row>
    <row r="308" spans="1:32" x14ac:dyDescent="0.3">
      <c r="A308" t="s">
        <v>1556</v>
      </c>
      <c r="B308" s="5">
        <v>5</v>
      </c>
      <c r="C308" s="4">
        <v>45563</v>
      </c>
      <c r="D308" s="4">
        <v>45565</v>
      </c>
      <c r="E308" t="s">
        <v>546</v>
      </c>
      <c r="F308" t="s">
        <v>547</v>
      </c>
      <c r="G308" t="s">
        <v>65</v>
      </c>
      <c r="H308" t="s">
        <v>20</v>
      </c>
      <c r="I308" t="s">
        <v>90</v>
      </c>
      <c r="J308" t="s">
        <v>1171</v>
      </c>
      <c r="K308" t="s">
        <v>1183</v>
      </c>
      <c r="L308" t="s">
        <v>1021</v>
      </c>
      <c r="M308" t="s">
        <v>1002</v>
      </c>
      <c r="N308" t="s">
        <v>1003</v>
      </c>
      <c r="O308" t="s">
        <v>1022</v>
      </c>
      <c r="P308" t="s">
        <v>29</v>
      </c>
      <c r="Q308" t="s">
        <v>30</v>
      </c>
      <c r="R308" t="s">
        <v>1088</v>
      </c>
      <c r="S308" t="s">
        <v>1109</v>
      </c>
      <c r="T308" s="5">
        <v>15</v>
      </c>
      <c r="U308" s="6">
        <v>218.06</v>
      </c>
      <c r="V308" s="6">
        <v>154.5</v>
      </c>
      <c r="W308" s="8">
        <v>0</v>
      </c>
      <c r="X308" s="6">
        <f t="shared" si="20"/>
        <v>3270.9</v>
      </c>
      <c r="Y308" s="6">
        <f t="shared" si="21"/>
        <v>2317.5</v>
      </c>
      <c r="Z308" s="6">
        <f t="shared" si="22"/>
        <v>953.40000000000009</v>
      </c>
      <c r="AA308" t="s">
        <v>679</v>
      </c>
      <c r="AC308" s="5"/>
      <c r="AD308" t="s">
        <v>1557</v>
      </c>
      <c r="AE308" t="str">
        <f t="shared" si="23"/>
        <v>2024-09</v>
      </c>
      <c r="AF308" t="str">
        <f t="shared" si="24"/>
        <v>Q3-2024</v>
      </c>
    </row>
    <row r="309" spans="1:32" x14ac:dyDescent="0.3">
      <c r="A309" t="s">
        <v>1558</v>
      </c>
      <c r="B309" s="5">
        <v>3</v>
      </c>
      <c r="C309" s="4">
        <v>45567</v>
      </c>
      <c r="D309" s="4">
        <v>45580</v>
      </c>
      <c r="E309" t="s">
        <v>540</v>
      </c>
      <c r="F309" t="s">
        <v>541</v>
      </c>
      <c r="G309" t="s">
        <v>65</v>
      </c>
      <c r="H309" t="s">
        <v>23</v>
      </c>
      <c r="I309" t="s">
        <v>109</v>
      </c>
      <c r="J309" t="s">
        <v>1300</v>
      </c>
      <c r="K309" t="s">
        <v>1429</v>
      </c>
      <c r="L309" t="s">
        <v>680</v>
      </c>
      <c r="M309" t="s">
        <v>659</v>
      </c>
      <c r="N309" t="s">
        <v>660</v>
      </c>
      <c r="O309" t="s">
        <v>681</v>
      </c>
      <c r="P309" t="s">
        <v>32</v>
      </c>
      <c r="Q309" t="s">
        <v>33</v>
      </c>
      <c r="R309" t="s">
        <v>1094</v>
      </c>
      <c r="S309" t="s">
        <v>1089</v>
      </c>
      <c r="T309" s="5">
        <v>6</v>
      </c>
      <c r="U309" s="6">
        <v>46.68</v>
      </c>
      <c r="V309" s="6">
        <v>36.96</v>
      </c>
      <c r="W309" s="8">
        <v>0</v>
      </c>
      <c r="X309" s="6">
        <f t="shared" si="20"/>
        <v>280.08</v>
      </c>
      <c r="Y309" s="6">
        <f t="shared" si="21"/>
        <v>221.76</v>
      </c>
      <c r="Z309" s="6">
        <f t="shared" si="22"/>
        <v>58.319999999999993</v>
      </c>
      <c r="AA309" t="s">
        <v>679</v>
      </c>
      <c r="AC309" s="5"/>
      <c r="AD309" t="s">
        <v>1140</v>
      </c>
      <c r="AE309" t="str">
        <f t="shared" si="23"/>
        <v>2024-10</v>
      </c>
      <c r="AF309" t="str">
        <f t="shared" si="24"/>
        <v>Q4-2024</v>
      </c>
    </row>
    <row r="310" spans="1:32" x14ac:dyDescent="0.3">
      <c r="A310" t="s">
        <v>1559</v>
      </c>
      <c r="B310" s="5">
        <v>2</v>
      </c>
      <c r="C310" s="4">
        <v>45942</v>
      </c>
      <c r="D310" s="4">
        <v>45944</v>
      </c>
      <c r="E310" t="s">
        <v>134</v>
      </c>
      <c r="F310" t="s">
        <v>135</v>
      </c>
      <c r="G310" t="s">
        <v>80</v>
      </c>
      <c r="H310" t="s">
        <v>20</v>
      </c>
      <c r="I310" t="s">
        <v>90</v>
      </c>
      <c r="J310" t="s">
        <v>1171</v>
      </c>
      <c r="K310" t="s">
        <v>1172</v>
      </c>
      <c r="L310" t="s">
        <v>1023</v>
      </c>
      <c r="M310" t="s">
        <v>1002</v>
      </c>
      <c r="N310" t="s">
        <v>1003</v>
      </c>
      <c r="O310" t="s">
        <v>1024</v>
      </c>
      <c r="P310" t="s">
        <v>39</v>
      </c>
      <c r="Q310" t="s">
        <v>40</v>
      </c>
      <c r="R310" t="s">
        <v>1114</v>
      </c>
      <c r="S310" t="s">
        <v>1156</v>
      </c>
      <c r="T310" s="5">
        <v>2</v>
      </c>
      <c r="U310" s="6">
        <v>182.4</v>
      </c>
      <c r="V310" s="6">
        <v>91.3</v>
      </c>
      <c r="W310" s="8">
        <v>0</v>
      </c>
      <c r="X310" s="6">
        <f t="shared" si="20"/>
        <v>364.8</v>
      </c>
      <c r="Y310" s="6">
        <f t="shared" si="21"/>
        <v>182.6</v>
      </c>
      <c r="Z310" s="6">
        <f t="shared" si="22"/>
        <v>182.20000000000002</v>
      </c>
      <c r="AA310" t="s">
        <v>662</v>
      </c>
      <c r="AB310" t="s">
        <v>1327</v>
      </c>
      <c r="AC310" s="5">
        <v>5</v>
      </c>
      <c r="AE310" t="str">
        <f t="shared" si="23"/>
        <v>2025-10</v>
      </c>
      <c r="AF310" t="str">
        <f t="shared" si="24"/>
        <v>Q4-2025</v>
      </c>
    </row>
    <row r="311" spans="1:32" x14ac:dyDescent="0.3">
      <c r="A311" t="s">
        <v>1560</v>
      </c>
      <c r="B311" s="5">
        <v>3</v>
      </c>
      <c r="C311" s="4">
        <v>45408</v>
      </c>
      <c r="D311" s="4">
        <v>45409</v>
      </c>
      <c r="E311" t="s">
        <v>198</v>
      </c>
      <c r="F311" t="s">
        <v>1561</v>
      </c>
      <c r="G311" t="s">
        <v>104</v>
      </c>
      <c r="H311" t="s">
        <v>23</v>
      </c>
      <c r="I311" t="s">
        <v>93</v>
      </c>
      <c r="J311" t="s">
        <v>1278</v>
      </c>
      <c r="K311" t="s">
        <v>1351</v>
      </c>
      <c r="L311" t="s">
        <v>962</v>
      </c>
      <c r="M311" t="s">
        <v>929</v>
      </c>
      <c r="N311" t="s">
        <v>930</v>
      </c>
      <c r="O311" t="s">
        <v>963</v>
      </c>
      <c r="P311" t="s">
        <v>32</v>
      </c>
      <c r="Q311" t="s">
        <v>33</v>
      </c>
      <c r="R311" t="s">
        <v>1114</v>
      </c>
      <c r="S311" t="s">
        <v>1156</v>
      </c>
      <c r="T311" s="5">
        <v>3</v>
      </c>
      <c r="U311" s="6">
        <v>189.37</v>
      </c>
      <c r="V311" s="6">
        <v>108.41</v>
      </c>
      <c r="W311" s="8">
        <v>0.1389</v>
      </c>
      <c r="X311" s="6">
        <f t="shared" si="20"/>
        <v>489.199521</v>
      </c>
      <c r="Y311" s="6">
        <f t="shared" si="21"/>
        <v>325.23</v>
      </c>
      <c r="Z311" s="6">
        <f t="shared" si="22"/>
        <v>163.96952099999999</v>
      </c>
      <c r="AA311" t="s">
        <v>679</v>
      </c>
      <c r="AC311" s="5">
        <v>3</v>
      </c>
      <c r="AD311" t="s">
        <v>1557</v>
      </c>
      <c r="AE311" t="str">
        <f t="shared" si="23"/>
        <v>2024-04</v>
      </c>
      <c r="AF311" t="str">
        <f t="shared" si="24"/>
        <v>Q2-2024</v>
      </c>
    </row>
    <row r="312" spans="1:32" x14ac:dyDescent="0.3">
      <c r="A312" t="s">
        <v>1562</v>
      </c>
      <c r="B312" s="5">
        <v>5</v>
      </c>
      <c r="C312" s="4">
        <v>45323</v>
      </c>
      <c r="D312" s="4">
        <v>45324</v>
      </c>
      <c r="E312" t="s">
        <v>399</v>
      </c>
      <c r="F312" t="s">
        <v>400</v>
      </c>
      <c r="G312" t="s">
        <v>65</v>
      </c>
      <c r="H312" t="s">
        <v>31</v>
      </c>
      <c r="I312" t="s">
        <v>67</v>
      </c>
      <c r="J312" t="s">
        <v>1304</v>
      </c>
      <c r="K312" t="s">
        <v>1342</v>
      </c>
      <c r="L312" t="s">
        <v>677</v>
      </c>
      <c r="M312" t="s">
        <v>659</v>
      </c>
      <c r="N312" t="s">
        <v>660</v>
      </c>
      <c r="O312" t="s">
        <v>678</v>
      </c>
      <c r="P312" t="s">
        <v>44</v>
      </c>
      <c r="Q312" t="s">
        <v>45</v>
      </c>
      <c r="R312" t="s">
        <v>1114</v>
      </c>
      <c r="S312" t="s">
        <v>1095</v>
      </c>
      <c r="T312" s="5">
        <v>3</v>
      </c>
      <c r="U312" s="6">
        <v>76.7</v>
      </c>
      <c r="V312" s="6">
        <v>53.6</v>
      </c>
      <c r="W312" s="8">
        <v>0.1862</v>
      </c>
      <c r="X312" s="6">
        <f t="shared" si="20"/>
        <v>187.25538</v>
      </c>
      <c r="Y312" s="6">
        <f t="shared" si="21"/>
        <v>160.80000000000001</v>
      </c>
      <c r="Z312" s="6">
        <f t="shared" si="22"/>
        <v>26.455379999999991</v>
      </c>
      <c r="AA312" t="s">
        <v>679</v>
      </c>
      <c r="AC312" s="5">
        <v>5</v>
      </c>
      <c r="AE312" t="str">
        <f t="shared" si="23"/>
        <v>2024-02</v>
      </c>
      <c r="AF312" t="str">
        <f t="shared" si="24"/>
        <v>Q1-2024</v>
      </c>
    </row>
    <row r="313" spans="1:32" x14ac:dyDescent="0.3">
      <c r="A313" t="s">
        <v>1563</v>
      </c>
      <c r="B313" s="5">
        <v>5</v>
      </c>
      <c r="C313" s="4">
        <v>45829</v>
      </c>
      <c r="D313" s="4">
        <v>45836</v>
      </c>
      <c r="E313" t="s">
        <v>279</v>
      </c>
      <c r="F313" t="s">
        <v>280</v>
      </c>
      <c r="G313" t="s">
        <v>74</v>
      </c>
      <c r="H313" t="s">
        <v>31</v>
      </c>
      <c r="I313" t="s">
        <v>67</v>
      </c>
      <c r="J313" t="s">
        <v>1304</v>
      </c>
      <c r="K313" t="s">
        <v>1305</v>
      </c>
      <c r="L313" t="s">
        <v>851</v>
      </c>
      <c r="M313" t="s">
        <v>795</v>
      </c>
      <c r="N313" t="s">
        <v>837</v>
      </c>
      <c r="O313" t="s">
        <v>852</v>
      </c>
      <c r="P313" t="s">
        <v>27</v>
      </c>
      <c r="Q313" t="s">
        <v>28</v>
      </c>
      <c r="R313" t="s">
        <v>1094</v>
      </c>
      <c r="S313" t="s">
        <v>1156</v>
      </c>
      <c r="T313" s="5">
        <v>4</v>
      </c>
      <c r="U313" s="6">
        <v>352.66</v>
      </c>
      <c r="V313" s="6">
        <v>255.07</v>
      </c>
      <c r="W313" s="8">
        <v>0</v>
      </c>
      <c r="X313" s="6">
        <f t="shared" si="20"/>
        <v>1410.64</v>
      </c>
      <c r="Y313" s="6">
        <f t="shared" si="21"/>
        <v>1020.28</v>
      </c>
      <c r="Z313" s="6">
        <f t="shared" si="22"/>
        <v>390.36000000000013</v>
      </c>
      <c r="AA313" t="s">
        <v>679</v>
      </c>
      <c r="AC313" s="5">
        <v>5</v>
      </c>
      <c r="AD313" t="s">
        <v>1148</v>
      </c>
      <c r="AE313" t="str">
        <f t="shared" si="23"/>
        <v>2025-06</v>
      </c>
      <c r="AF313" t="str">
        <f t="shared" si="24"/>
        <v>Q2-2025</v>
      </c>
    </row>
    <row r="314" spans="1:32" x14ac:dyDescent="0.3">
      <c r="A314" t="s">
        <v>1564</v>
      </c>
      <c r="B314" s="5">
        <v>5</v>
      </c>
      <c r="C314" s="4">
        <v>45425</v>
      </c>
      <c r="D314" s="4">
        <v>45439</v>
      </c>
      <c r="E314" t="s">
        <v>490</v>
      </c>
      <c r="F314" t="s">
        <v>491</v>
      </c>
      <c r="G314" t="s">
        <v>65</v>
      </c>
      <c r="H314" t="s">
        <v>20</v>
      </c>
      <c r="I314" t="s">
        <v>71</v>
      </c>
      <c r="J314" t="s">
        <v>1112</v>
      </c>
      <c r="K314" t="s">
        <v>1178</v>
      </c>
      <c r="L314" t="s">
        <v>841</v>
      </c>
      <c r="M314" t="s">
        <v>795</v>
      </c>
      <c r="N314" t="s">
        <v>837</v>
      </c>
      <c r="O314" t="s">
        <v>842</v>
      </c>
      <c r="P314" t="s">
        <v>32</v>
      </c>
      <c r="Q314" t="s">
        <v>33</v>
      </c>
      <c r="R314" t="s">
        <v>1088</v>
      </c>
      <c r="S314" t="s">
        <v>1095</v>
      </c>
      <c r="T314" s="5">
        <v>14</v>
      </c>
      <c r="U314" s="6">
        <v>7.47</v>
      </c>
      <c r="V314" s="6">
        <v>5</v>
      </c>
      <c r="W314" s="8">
        <v>0</v>
      </c>
      <c r="X314" s="6">
        <f t="shared" si="20"/>
        <v>104.58</v>
      </c>
      <c r="Y314" s="6">
        <f t="shared" si="21"/>
        <v>70</v>
      </c>
      <c r="Z314" s="6">
        <f t="shared" si="22"/>
        <v>34.58</v>
      </c>
      <c r="AA314" t="s">
        <v>679</v>
      </c>
      <c r="AC314" s="5">
        <v>1</v>
      </c>
      <c r="AD314" t="s">
        <v>1565</v>
      </c>
      <c r="AE314" t="str">
        <f t="shared" si="23"/>
        <v>2024-05</v>
      </c>
      <c r="AF314" t="str">
        <f t="shared" si="24"/>
        <v>Q2-2024</v>
      </c>
    </row>
    <row r="315" spans="1:32" x14ac:dyDescent="0.3">
      <c r="A315" t="s">
        <v>1566</v>
      </c>
      <c r="B315" s="5">
        <v>4</v>
      </c>
      <c r="C315" s="4">
        <v>45400</v>
      </c>
      <c r="D315" s="4">
        <v>45402</v>
      </c>
      <c r="E315" t="s">
        <v>511</v>
      </c>
      <c r="F315" t="s">
        <v>77</v>
      </c>
      <c r="G315" t="s">
        <v>65</v>
      </c>
      <c r="H315" t="s">
        <v>23</v>
      </c>
      <c r="I315" t="s">
        <v>81</v>
      </c>
      <c r="J315" t="s">
        <v>1119</v>
      </c>
      <c r="K315" t="s">
        <v>1120</v>
      </c>
      <c r="L315" t="s">
        <v>729</v>
      </c>
      <c r="M315" t="s">
        <v>659</v>
      </c>
      <c r="N315" t="s">
        <v>713</v>
      </c>
      <c r="O315" t="s">
        <v>730</v>
      </c>
      <c r="P315" t="s">
        <v>39</v>
      </c>
      <c r="Q315" t="s">
        <v>40</v>
      </c>
      <c r="R315" t="s">
        <v>1114</v>
      </c>
      <c r="S315" t="s">
        <v>1100</v>
      </c>
      <c r="T315" s="5">
        <v>11</v>
      </c>
      <c r="U315" s="6">
        <v>96.34</v>
      </c>
      <c r="V315" s="6">
        <v>54.13</v>
      </c>
      <c r="W315" s="8">
        <v>0</v>
      </c>
      <c r="X315" s="6">
        <f t="shared" si="20"/>
        <v>1059.74</v>
      </c>
      <c r="Y315" s="6">
        <f t="shared" si="21"/>
        <v>595.43000000000006</v>
      </c>
      <c r="Z315" s="6">
        <f t="shared" si="22"/>
        <v>464.30999999999995</v>
      </c>
      <c r="AA315" t="s">
        <v>662</v>
      </c>
      <c r="AB315" t="s">
        <v>1122</v>
      </c>
      <c r="AC315" s="5">
        <v>3</v>
      </c>
      <c r="AD315" t="s">
        <v>1090</v>
      </c>
      <c r="AE315" t="str">
        <f t="shared" si="23"/>
        <v>2024-04</v>
      </c>
      <c r="AF315" t="str">
        <f t="shared" si="24"/>
        <v>Q2-2024</v>
      </c>
    </row>
    <row r="316" spans="1:32" x14ac:dyDescent="0.3">
      <c r="A316" t="s">
        <v>1567</v>
      </c>
      <c r="B316" s="5">
        <v>4</v>
      </c>
      <c r="C316" s="4">
        <v>45593</v>
      </c>
      <c r="D316" s="4">
        <v>45605</v>
      </c>
      <c r="E316" t="s">
        <v>219</v>
      </c>
      <c r="F316" t="s">
        <v>220</v>
      </c>
      <c r="G316" t="s">
        <v>84</v>
      </c>
      <c r="H316" t="s">
        <v>20</v>
      </c>
      <c r="I316" t="s">
        <v>71</v>
      </c>
      <c r="J316" t="s">
        <v>1166</v>
      </c>
      <c r="K316" t="s">
        <v>1436</v>
      </c>
      <c r="L316" t="s">
        <v>663</v>
      </c>
      <c r="M316" t="s">
        <v>659</v>
      </c>
      <c r="N316" t="s">
        <v>660</v>
      </c>
      <c r="O316" t="s">
        <v>664</v>
      </c>
      <c r="P316" t="s">
        <v>42</v>
      </c>
      <c r="Q316" t="s">
        <v>43</v>
      </c>
      <c r="R316" t="s">
        <v>1094</v>
      </c>
      <c r="S316" t="s">
        <v>1156</v>
      </c>
      <c r="T316" s="5">
        <v>12</v>
      </c>
      <c r="U316" s="6">
        <v>146.91999999999999</v>
      </c>
      <c r="V316" s="6">
        <v>92.23</v>
      </c>
      <c r="W316" s="8">
        <v>0</v>
      </c>
      <c r="X316" s="6">
        <f t="shared" si="20"/>
        <v>1763.04</v>
      </c>
      <c r="Y316" s="6">
        <f t="shared" si="21"/>
        <v>1106.76</v>
      </c>
      <c r="Z316" s="6">
        <f t="shared" si="22"/>
        <v>656.28</v>
      </c>
      <c r="AA316" t="s">
        <v>679</v>
      </c>
      <c r="AC316" s="5">
        <v>3</v>
      </c>
      <c r="AD316" t="s">
        <v>1090</v>
      </c>
      <c r="AE316" t="str">
        <f t="shared" si="23"/>
        <v>2024-10</v>
      </c>
      <c r="AF316" t="str">
        <f t="shared" si="24"/>
        <v>Q4-2024</v>
      </c>
    </row>
    <row r="317" spans="1:32" x14ac:dyDescent="0.3">
      <c r="A317" t="s">
        <v>1568</v>
      </c>
      <c r="B317" s="5">
        <v>5</v>
      </c>
      <c r="C317" s="4">
        <v>45890</v>
      </c>
      <c r="D317" s="4">
        <v>45898</v>
      </c>
      <c r="E317" t="s">
        <v>508</v>
      </c>
      <c r="F317" t="s">
        <v>131</v>
      </c>
      <c r="G317" t="s">
        <v>104</v>
      </c>
      <c r="H317" t="s">
        <v>31</v>
      </c>
      <c r="I317" t="s">
        <v>127</v>
      </c>
      <c r="J317" t="s">
        <v>1098</v>
      </c>
      <c r="K317" t="s">
        <v>1099</v>
      </c>
      <c r="L317" t="s">
        <v>1060</v>
      </c>
      <c r="M317" t="s">
        <v>1002</v>
      </c>
      <c r="N317" t="s">
        <v>1034</v>
      </c>
      <c r="O317" t="s">
        <v>1061</v>
      </c>
      <c r="P317" t="s">
        <v>24</v>
      </c>
      <c r="Q317" t="s">
        <v>25</v>
      </c>
      <c r="R317" t="s">
        <v>126</v>
      </c>
      <c r="S317" t="s">
        <v>1109</v>
      </c>
      <c r="T317" s="5">
        <v>24</v>
      </c>
      <c r="U317" s="6">
        <v>251.97</v>
      </c>
      <c r="V317" s="6">
        <v>144.19999999999999</v>
      </c>
      <c r="W317" s="8">
        <v>0</v>
      </c>
      <c r="X317" s="6">
        <f t="shared" si="20"/>
        <v>6047.28</v>
      </c>
      <c r="Y317" s="6">
        <f t="shared" si="21"/>
        <v>3460.7999999999997</v>
      </c>
      <c r="Z317" s="6">
        <f t="shared" si="22"/>
        <v>2586.48</v>
      </c>
      <c r="AA317" t="s">
        <v>679</v>
      </c>
      <c r="AC317" s="5">
        <v>4</v>
      </c>
      <c r="AD317" t="s">
        <v>1148</v>
      </c>
      <c r="AE317" t="str">
        <f t="shared" si="23"/>
        <v>2025-08</v>
      </c>
      <c r="AF317" t="str">
        <f t="shared" si="24"/>
        <v>Q3-2025</v>
      </c>
    </row>
    <row r="318" spans="1:32" x14ac:dyDescent="0.3">
      <c r="A318" t="s">
        <v>1569</v>
      </c>
      <c r="B318" s="5">
        <v>3</v>
      </c>
      <c r="C318" s="4">
        <v>45917</v>
      </c>
      <c r="D318" s="4">
        <v>45929</v>
      </c>
      <c r="E318" t="s">
        <v>316</v>
      </c>
      <c r="F318" t="s">
        <v>317</v>
      </c>
      <c r="G318" t="s">
        <v>74</v>
      </c>
      <c r="H318" t="s">
        <v>31</v>
      </c>
      <c r="I318" t="s">
        <v>67</v>
      </c>
      <c r="J318" t="s">
        <v>1128</v>
      </c>
      <c r="K318" t="s">
        <v>1181</v>
      </c>
      <c r="L318" t="s">
        <v>952</v>
      </c>
      <c r="M318" t="s">
        <v>929</v>
      </c>
      <c r="N318" t="s">
        <v>930</v>
      </c>
      <c r="O318" t="s">
        <v>953</v>
      </c>
      <c r="P318" t="s">
        <v>50</v>
      </c>
      <c r="Q318" t="s">
        <v>51</v>
      </c>
      <c r="R318" t="s">
        <v>1094</v>
      </c>
      <c r="S318" t="s">
        <v>1109</v>
      </c>
      <c r="T318" s="5">
        <v>17</v>
      </c>
      <c r="U318" s="6">
        <v>195.49</v>
      </c>
      <c r="V318" s="6">
        <v>139.97999999999999</v>
      </c>
      <c r="W318" s="8"/>
      <c r="X318" s="6">
        <f t="shared" si="20"/>
        <v>3323.33</v>
      </c>
      <c r="Y318" s="6">
        <f t="shared" si="21"/>
        <v>2379.66</v>
      </c>
      <c r="Z318" s="6">
        <f t="shared" si="22"/>
        <v>943.67000000000007</v>
      </c>
      <c r="AA318" t="s">
        <v>679</v>
      </c>
      <c r="AC318" s="5">
        <v>1</v>
      </c>
      <c r="AD318" t="s">
        <v>1524</v>
      </c>
      <c r="AE318" t="str">
        <f t="shared" si="23"/>
        <v>2025-09</v>
      </c>
      <c r="AF318" t="str">
        <f t="shared" si="24"/>
        <v>Q3-2025</v>
      </c>
    </row>
    <row r="319" spans="1:32" x14ac:dyDescent="0.3">
      <c r="A319" t="s">
        <v>1570</v>
      </c>
      <c r="B319" s="5">
        <v>4</v>
      </c>
      <c r="C319" s="4">
        <v>45830</v>
      </c>
      <c r="D319" s="4">
        <v>45832</v>
      </c>
      <c r="E319" t="s">
        <v>381</v>
      </c>
      <c r="F319" t="s">
        <v>382</v>
      </c>
      <c r="G319" t="s">
        <v>65</v>
      </c>
      <c r="H319" t="s">
        <v>23</v>
      </c>
      <c r="I319" t="s">
        <v>81</v>
      </c>
      <c r="J319" t="s">
        <v>1119</v>
      </c>
      <c r="K319" t="s">
        <v>1189</v>
      </c>
      <c r="L319" t="s">
        <v>887</v>
      </c>
      <c r="M319" t="s">
        <v>795</v>
      </c>
      <c r="N319" t="s">
        <v>837</v>
      </c>
      <c r="O319" t="s">
        <v>888</v>
      </c>
      <c r="P319" t="s">
        <v>37</v>
      </c>
      <c r="Q319" t="s">
        <v>38</v>
      </c>
      <c r="R319" t="s">
        <v>1088</v>
      </c>
      <c r="S319" t="s">
        <v>1089</v>
      </c>
      <c r="T319" s="5">
        <v>4</v>
      </c>
      <c r="U319" s="6">
        <v>154.9</v>
      </c>
      <c r="V319" s="6">
        <v>111.35</v>
      </c>
      <c r="W319" s="8">
        <v>0</v>
      </c>
      <c r="X319" s="6">
        <f t="shared" si="20"/>
        <v>619.6</v>
      </c>
      <c r="Y319" s="6">
        <f t="shared" si="21"/>
        <v>445.4</v>
      </c>
      <c r="Z319" s="6">
        <f t="shared" si="22"/>
        <v>174.20000000000005</v>
      </c>
      <c r="AA319" t="s">
        <v>679</v>
      </c>
      <c r="AC319" s="5">
        <v>5</v>
      </c>
      <c r="AD319" t="s">
        <v>1123</v>
      </c>
      <c r="AE319" t="str">
        <f t="shared" si="23"/>
        <v>2025-06</v>
      </c>
      <c r="AF319" t="str">
        <f t="shared" si="24"/>
        <v>Q2-2025</v>
      </c>
    </row>
    <row r="320" spans="1:32" x14ac:dyDescent="0.3">
      <c r="A320" t="s">
        <v>1571</v>
      </c>
      <c r="B320" s="5">
        <v>1</v>
      </c>
      <c r="C320" s="4">
        <v>45740</v>
      </c>
      <c r="D320" s="4">
        <v>45741</v>
      </c>
      <c r="E320" t="s">
        <v>592</v>
      </c>
      <c r="F320" t="s">
        <v>593</v>
      </c>
      <c r="G320" t="s">
        <v>74</v>
      </c>
      <c r="H320" t="s">
        <v>31</v>
      </c>
      <c r="I320" t="s">
        <v>67</v>
      </c>
      <c r="J320" t="s">
        <v>1207</v>
      </c>
      <c r="K320" t="s">
        <v>1368</v>
      </c>
      <c r="L320" t="s">
        <v>991</v>
      </c>
      <c r="M320" t="s">
        <v>929</v>
      </c>
      <c r="N320" t="s">
        <v>971</v>
      </c>
      <c r="O320" t="s">
        <v>992</v>
      </c>
      <c r="P320" t="s">
        <v>17</v>
      </c>
      <c r="Q320" t="s">
        <v>18</v>
      </c>
      <c r="R320" t="s">
        <v>126</v>
      </c>
      <c r="S320" t="s">
        <v>1156</v>
      </c>
      <c r="T320" s="5">
        <v>7</v>
      </c>
      <c r="U320" s="6">
        <v>253.11</v>
      </c>
      <c r="V320" s="6">
        <v>156.82</v>
      </c>
      <c r="W320" s="8">
        <v>0</v>
      </c>
      <c r="X320" s="6">
        <f t="shared" si="20"/>
        <v>1771.77</v>
      </c>
      <c r="Y320" s="6">
        <f t="shared" si="21"/>
        <v>1097.74</v>
      </c>
      <c r="Z320" s="6">
        <f t="shared" si="22"/>
        <v>674.03</v>
      </c>
      <c r="AA320" t="s">
        <v>679</v>
      </c>
      <c r="AC320" s="5"/>
      <c r="AD320" t="s">
        <v>1110</v>
      </c>
      <c r="AE320" t="str">
        <f t="shared" si="23"/>
        <v>2025-03</v>
      </c>
      <c r="AF320" t="str">
        <f t="shared" si="24"/>
        <v>Q1-2025</v>
      </c>
    </row>
    <row r="321" spans="1:32" x14ac:dyDescent="0.3">
      <c r="A321" t="s">
        <v>1572</v>
      </c>
      <c r="B321" s="5">
        <v>2</v>
      </c>
      <c r="C321" s="4">
        <v>45947</v>
      </c>
      <c r="D321" s="4">
        <v>45961</v>
      </c>
      <c r="E321" t="s">
        <v>590</v>
      </c>
      <c r="F321" t="s">
        <v>394</v>
      </c>
      <c r="G321" t="s">
        <v>84</v>
      </c>
      <c r="H321" t="s">
        <v>20</v>
      </c>
      <c r="I321" t="s">
        <v>90</v>
      </c>
      <c r="J321" t="s">
        <v>1262</v>
      </c>
      <c r="K321" t="s">
        <v>1274</v>
      </c>
      <c r="L321" t="s">
        <v>918</v>
      </c>
      <c r="M321" t="s">
        <v>795</v>
      </c>
      <c r="N321" t="s">
        <v>898</v>
      </c>
      <c r="O321" t="s">
        <v>919</v>
      </c>
      <c r="P321" t="s">
        <v>39</v>
      </c>
      <c r="Q321" t="s">
        <v>40</v>
      </c>
      <c r="R321" t="s">
        <v>1114</v>
      </c>
      <c r="S321" t="s">
        <v>1156</v>
      </c>
      <c r="T321" s="5">
        <v>2</v>
      </c>
      <c r="U321" s="6">
        <v>199.11</v>
      </c>
      <c r="V321" s="6">
        <v>157.71</v>
      </c>
      <c r="W321" s="8">
        <v>0</v>
      </c>
      <c r="X321" s="6">
        <f t="shared" si="20"/>
        <v>398.22</v>
      </c>
      <c r="Y321" s="6">
        <f t="shared" si="21"/>
        <v>315.42</v>
      </c>
      <c r="Z321" s="6">
        <f t="shared" si="22"/>
        <v>82.800000000000011</v>
      </c>
      <c r="AA321" t="s">
        <v>679</v>
      </c>
      <c r="AC321" s="5">
        <v>3</v>
      </c>
      <c r="AD321" t="s">
        <v>1090</v>
      </c>
      <c r="AE321" t="str">
        <f t="shared" si="23"/>
        <v>2025-10</v>
      </c>
      <c r="AF321" t="str">
        <f t="shared" si="24"/>
        <v>Q4-2025</v>
      </c>
    </row>
    <row r="322" spans="1:32" x14ac:dyDescent="0.3">
      <c r="A322" t="s">
        <v>1573</v>
      </c>
      <c r="B322" s="5">
        <v>5</v>
      </c>
      <c r="C322" s="4">
        <v>45662</v>
      </c>
      <c r="D322" s="4">
        <v>45670</v>
      </c>
      <c r="E322" t="s">
        <v>182</v>
      </c>
      <c r="F322" t="s">
        <v>183</v>
      </c>
      <c r="G322" t="s">
        <v>74</v>
      </c>
      <c r="H322" t="s">
        <v>20</v>
      </c>
      <c r="I322" t="s">
        <v>90</v>
      </c>
      <c r="J322" t="s">
        <v>1262</v>
      </c>
      <c r="K322" t="s">
        <v>1263</v>
      </c>
      <c r="L322" t="s">
        <v>895</v>
      </c>
      <c r="M322" t="s">
        <v>795</v>
      </c>
      <c r="N322" t="s">
        <v>837</v>
      </c>
      <c r="O322" t="s">
        <v>896</v>
      </c>
      <c r="P322" t="s">
        <v>32</v>
      </c>
      <c r="Q322" t="s">
        <v>33</v>
      </c>
      <c r="R322" t="s">
        <v>1088</v>
      </c>
      <c r="S322" t="s">
        <v>1095</v>
      </c>
      <c r="T322" s="5">
        <v>5</v>
      </c>
      <c r="U322" s="6">
        <v>170.12</v>
      </c>
      <c r="V322" s="6">
        <v>131.16</v>
      </c>
      <c r="W322" s="8">
        <v>0.13469999999999999</v>
      </c>
      <c r="X322" s="6">
        <f t="shared" ref="X322:X385" si="25">T322*U322*(1-IF(ISBLANK(W322),0,W322))</f>
        <v>736.02418</v>
      </c>
      <c r="Y322" s="6">
        <f t="shared" ref="Y322:Y385" si="26">T322*V322</f>
        <v>655.8</v>
      </c>
      <c r="Z322" s="6">
        <f t="shared" ref="Z322:Z385" si="27">X322-Y322</f>
        <v>80.224180000000047</v>
      </c>
      <c r="AA322" t="s">
        <v>679</v>
      </c>
      <c r="AC322" s="5">
        <v>4</v>
      </c>
      <c r="AD322" t="s">
        <v>1090</v>
      </c>
      <c r="AE322" t="str">
        <f t="shared" ref="AE322:AE385" si="28">TEXT(C322,"yyyy-mm")</f>
        <v>2025-01</v>
      </c>
      <c r="AF322" t="str">
        <f t="shared" ref="AF322:AF385" si="29">"Q"&amp;ROUNDUP(MONTH(C322)/3,0)&amp;"-"&amp;YEAR(C322)</f>
        <v>Q1-2025</v>
      </c>
    </row>
    <row r="323" spans="1:32" x14ac:dyDescent="0.3">
      <c r="A323" t="s">
        <v>1574</v>
      </c>
      <c r="B323" s="5">
        <v>1</v>
      </c>
      <c r="C323" s="4">
        <v>45594</v>
      </c>
      <c r="D323" s="4">
        <v>45598</v>
      </c>
      <c r="E323" t="s">
        <v>492</v>
      </c>
      <c r="F323" t="s">
        <v>493</v>
      </c>
      <c r="G323" t="s">
        <v>74</v>
      </c>
      <c r="H323" t="s">
        <v>23</v>
      </c>
      <c r="I323" t="s">
        <v>81</v>
      </c>
      <c r="J323" t="s">
        <v>1163</v>
      </c>
      <c r="K323" t="s">
        <v>1164</v>
      </c>
      <c r="L323" t="s">
        <v>1017</v>
      </c>
      <c r="M323" t="s">
        <v>1002</v>
      </c>
      <c r="N323" t="s">
        <v>1003</v>
      </c>
      <c r="O323" t="s">
        <v>1018</v>
      </c>
      <c r="P323" t="s">
        <v>32</v>
      </c>
      <c r="Q323" t="s">
        <v>33</v>
      </c>
      <c r="R323" t="s">
        <v>1094</v>
      </c>
      <c r="S323" t="s">
        <v>1089</v>
      </c>
      <c r="T323" s="5">
        <v>11</v>
      </c>
      <c r="U323" s="6">
        <v>200.61</v>
      </c>
      <c r="V323" s="6">
        <v>159.03</v>
      </c>
      <c r="W323" s="8">
        <v>0</v>
      </c>
      <c r="X323" s="6">
        <f t="shared" si="25"/>
        <v>2206.71</v>
      </c>
      <c r="Y323" s="6">
        <f t="shared" si="26"/>
        <v>1749.33</v>
      </c>
      <c r="Z323" s="6">
        <f t="shared" si="27"/>
        <v>457.38000000000011</v>
      </c>
      <c r="AA323" t="s">
        <v>679</v>
      </c>
      <c r="AC323" s="5">
        <v>5</v>
      </c>
      <c r="AD323" t="s">
        <v>1110</v>
      </c>
      <c r="AE323" t="str">
        <f t="shared" si="28"/>
        <v>2024-10</v>
      </c>
      <c r="AF323" t="str">
        <f t="shared" si="29"/>
        <v>Q4-2024</v>
      </c>
    </row>
    <row r="324" spans="1:32" x14ac:dyDescent="0.3">
      <c r="A324" t="s">
        <v>1575</v>
      </c>
      <c r="B324" s="5">
        <v>1</v>
      </c>
      <c r="C324" s="4">
        <v>45925</v>
      </c>
      <c r="D324" s="4">
        <v>45934</v>
      </c>
      <c r="E324" t="s">
        <v>610</v>
      </c>
      <c r="F324" t="s">
        <v>611</v>
      </c>
      <c r="G324" t="s">
        <v>74</v>
      </c>
      <c r="H324" t="s">
        <v>23</v>
      </c>
      <c r="I324" t="s">
        <v>81</v>
      </c>
      <c r="J324" t="s">
        <v>1119</v>
      </c>
      <c r="K324" t="s">
        <v>1189</v>
      </c>
      <c r="L324" t="s">
        <v>708</v>
      </c>
      <c r="M324" t="s">
        <v>659</v>
      </c>
      <c r="N324" t="s">
        <v>660</v>
      </c>
      <c r="O324" t="s">
        <v>709</v>
      </c>
      <c r="P324" t="s">
        <v>48</v>
      </c>
      <c r="Q324" t="s">
        <v>49</v>
      </c>
      <c r="R324" t="s">
        <v>1114</v>
      </c>
      <c r="S324" t="s">
        <v>1089</v>
      </c>
      <c r="T324" s="5">
        <v>27</v>
      </c>
      <c r="U324" s="6">
        <v>8.6300000000000008</v>
      </c>
      <c r="V324" s="6">
        <v>5</v>
      </c>
      <c r="W324" s="8">
        <v>0</v>
      </c>
      <c r="X324" s="6">
        <f t="shared" si="25"/>
        <v>233.01000000000002</v>
      </c>
      <c r="Y324" s="6">
        <f t="shared" si="26"/>
        <v>135</v>
      </c>
      <c r="Z324" s="6">
        <f t="shared" si="27"/>
        <v>98.010000000000019</v>
      </c>
      <c r="AA324" t="s">
        <v>679</v>
      </c>
      <c r="AC324" s="5"/>
      <c r="AD324" t="s">
        <v>1101</v>
      </c>
      <c r="AE324" t="str">
        <f t="shared" si="28"/>
        <v>2025-09</v>
      </c>
      <c r="AF324" t="str">
        <f t="shared" si="29"/>
        <v>Q3-2025</v>
      </c>
    </row>
    <row r="325" spans="1:32" x14ac:dyDescent="0.3">
      <c r="A325" t="s">
        <v>1576</v>
      </c>
      <c r="B325" s="5">
        <v>3</v>
      </c>
      <c r="C325" s="4">
        <v>45462</v>
      </c>
      <c r="D325" s="4">
        <v>45476</v>
      </c>
      <c r="E325" t="s">
        <v>496</v>
      </c>
      <c r="F325" t="s">
        <v>497</v>
      </c>
      <c r="G325" t="s">
        <v>84</v>
      </c>
      <c r="H325" t="s">
        <v>20</v>
      </c>
      <c r="I325" t="s">
        <v>71</v>
      </c>
      <c r="J325" t="s">
        <v>1166</v>
      </c>
      <c r="K325" t="s">
        <v>1436</v>
      </c>
      <c r="L325" t="s">
        <v>680</v>
      </c>
      <c r="M325" t="s">
        <v>659</v>
      </c>
      <c r="N325" t="s">
        <v>660</v>
      </c>
      <c r="O325" t="s">
        <v>681</v>
      </c>
      <c r="P325" t="s">
        <v>50</v>
      </c>
      <c r="Q325" t="s">
        <v>51</v>
      </c>
      <c r="R325" t="s">
        <v>1088</v>
      </c>
      <c r="S325" t="s">
        <v>1100</v>
      </c>
      <c r="T325" s="5">
        <v>4</v>
      </c>
      <c r="U325" s="6">
        <v>49.32</v>
      </c>
      <c r="V325" s="6">
        <v>36.96</v>
      </c>
      <c r="W325" s="8">
        <v>0</v>
      </c>
      <c r="X325" s="6">
        <f t="shared" si="25"/>
        <v>197.28</v>
      </c>
      <c r="Y325" s="6">
        <f t="shared" si="26"/>
        <v>147.84</v>
      </c>
      <c r="Z325" s="6">
        <f t="shared" si="27"/>
        <v>49.44</v>
      </c>
      <c r="AA325" t="s">
        <v>679</v>
      </c>
      <c r="AC325" s="5"/>
      <c r="AD325" t="s">
        <v>1105</v>
      </c>
      <c r="AE325" t="str">
        <f t="shared" si="28"/>
        <v>2024-06</v>
      </c>
      <c r="AF325" t="str">
        <f t="shared" si="29"/>
        <v>Q2-2024</v>
      </c>
    </row>
    <row r="326" spans="1:32" x14ac:dyDescent="0.3">
      <c r="A326" t="s">
        <v>1577</v>
      </c>
      <c r="B326" s="5">
        <v>3</v>
      </c>
      <c r="C326" s="4">
        <v>45383</v>
      </c>
      <c r="D326" s="4">
        <v>45384</v>
      </c>
      <c r="E326" t="s">
        <v>498</v>
      </c>
      <c r="F326" t="s">
        <v>499</v>
      </c>
      <c r="G326" t="s">
        <v>104</v>
      </c>
      <c r="H326" t="s">
        <v>23</v>
      </c>
      <c r="I326" t="s">
        <v>93</v>
      </c>
      <c r="J326" t="s">
        <v>1294</v>
      </c>
      <c r="K326" t="s">
        <v>1295</v>
      </c>
      <c r="L326" t="s">
        <v>739</v>
      </c>
      <c r="M326" t="s">
        <v>659</v>
      </c>
      <c r="N326" t="s">
        <v>713</v>
      </c>
      <c r="O326" t="s">
        <v>740</v>
      </c>
      <c r="P326" t="s">
        <v>21</v>
      </c>
      <c r="Q326" t="s">
        <v>22</v>
      </c>
      <c r="R326" t="s">
        <v>1114</v>
      </c>
      <c r="S326" t="s">
        <v>1089</v>
      </c>
      <c r="T326" s="5">
        <v>6</v>
      </c>
      <c r="U326" s="6">
        <v>215.93</v>
      </c>
      <c r="V326" s="6">
        <v>158.27000000000001</v>
      </c>
      <c r="W326" s="8">
        <v>0</v>
      </c>
      <c r="X326" s="6">
        <f t="shared" si="25"/>
        <v>1295.58</v>
      </c>
      <c r="Y326" s="6">
        <f t="shared" si="26"/>
        <v>949.62000000000012</v>
      </c>
      <c r="Z326" s="6">
        <f t="shared" si="27"/>
        <v>345.95999999999981</v>
      </c>
      <c r="AA326" t="s">
        <v>679</v>
      </c>
      <c r="AC326" s="5">
        <v>1</v>
      </c>
      <c r="AD326" t="s">
        <v>1140</v>
      </c>
      <c r="AE326" t="str">
        <f t="shared" si="28"/>
        <v>2024-04</v>
      </c>
      <c r="AF326" t="str">
        <f t="shared" si="29"/>
        <v>Q2-2024</v>
      </c>
    </row>
    <row r="327" spans="1:32" x14ac:dyDescent="0.3">
      <c r="A327" t="s">
        <v>1578</v>
      </c>
      <c r="B327" s="5">
        <v>4</v>
      </c>
      <c r="C327" s="4">
        <v>45595</v>
      </c>
      <c r="D327" s="4">
        <v>45601</v>
      </c>
      <c r="E327" t="s">
        <v>490</v>
      </c>
      <c r="F327" t="s">
        <v>491</v>
      </c>
      <c r="G327" t="s">
        <v>65</v>
      </c>
      <c r="H327" t="s">
        <v>31</v>
      </c>
      <c r="I327" t="s">
        <v>127</v>
      </c>
      <c r="J327" t="s">
        <v>1098</v>
      </c>
      <c r="K327" t="s">
        <v>1217</v>
      </c>
      <c r="L327" t="s">
        <v>942</v>
      </c>
      <c r="M327" t="s">
        <v>929</v>
      </c>
      <c r="N327" t="s">
        <v>930</v>
      </c>
      <c r="O327" t="s">
        <v>943</v>
      </c>
      <c r="P327" t="s">
        <v>39</v>
      </c>
      <c r="Q327" t="s">
        <v>40</v>
      </c>
      <c r="R327" t="s">
        <v>1088</v>
      </c>
      <c r="S327" t="s">
        <v>1109</v>
      </c>
      <c r="T327" s="5">
        <v>13</v>
      </c>
      <c r="U327" s="6">
        <v>224.61</v>
      </c>
      <c r="V327" s="6">
        <v>173.45</v>
      </c>
      <c r="W327" s="8">
        <v>0</v>
      </c>
      <c r="X327" s="6">
        <f t="shared" si="25"/>
        <v>2919.9300000000003</v>
      </c>
      <c r="Y327" s="6">
        <f t="shared" si="26"/>
        <v>2254.85</v>
      </c>
      <c r="Z327" s="6">
        <f t="shared" si="27"/>
        <v>665.08000000000038</v>
      </c>
      <c r="AA327" t="s">
        <v>679</v>
      </c>
      <c r="AC327" s="5">
        <v>3</v>
      </c>
      <c r="AD327" t="s">
        <v>1090</v>
      </c>
      <c r="AE327" t="str">
        <f t="shared" si="28"/>
        <v>2024-10</v>
      </c>
      <c r="AF327" t="str">
        <f t="shared" si="29"/>
        <v>Q4-2024</v>
      </c>
    </row>
    <row r="328" spans="1:32" x14ac:dyDescent="0.3">
      <c r="A328" t="s">
        <v>1579</v>
      </c>
      <c r="B328" s="5">
        <v>3</v>
      </c>
      <c r="C328" s="4">
        <v>45444</v>
      </c>
      <c r="D328" s="4">
        <v>45456</v>
      </c>
      <c r="E328" t="s">
        <v>169</v>
      </c>
      <c r="F328" t="s">
        <v>170</v>
      </c>
      <c r="G328" t="s">
        <v>65</v>
      </c>
      <c r="H328" t="s">
        <v>23</v>
      </c>
      <c r="I328" t="s">
        <v>81</v>
      </c>
      <c r="J328" t="s">
        <v>1119</v>
      </c>
      <c r="K328" t="s">
        <v>1120</v>
      </c>
      <c r="L328" t="s">
        <v>918</v>
      </c>
      <c r="M328" t="s">
        <v>795</v>
      </c>
      <c r="N328" t="s">
        <v>898</v>
      </c>
      <c r="O328" t="s">
        <v>919</v>
      </c>
      <c r="P328" t="s">
        <v>42</v>
      </c>
      <c r="Q328" t="s">
        <v>43</v>
      </c>
      <c r="R328" t="s">
        <v>1088</v>
      </c>
      <c r="S328" t="s">
        <v>1109</v>
      </c>
      <c r="T328" s="5">
        <v>18</v>
      </c>
      <c r="U328" s="6">
        <v>205.07</v>
      </c>
      <c r="V328" s="6">
        <v>157.71</v>
      </c>
      <c r="W328" s="8">
        <v>0</v>
      </c>
      <c r="X328" s="6">
        <f t="shared" si="25"/>
        <v>3691.2599999999998</v>
      </c>
      <c r="Y328" s="6">
        <f t="shared" si="26"/>
        <v>2838.78</v>
      </c>
      <c r="Z328" s="6">
        <f t="shared" si="27"/>
        <v>852.47999999999956</v>
      </c>
      <c r="AA328" t="s">
        <v>679</v>
      </c>
      <c r="AC328" s="5">
        <v>4</v>
      </c>
      <c r="AD328" t="s">
        <v>1140</v>
      </c>
      <c r="AE328" t="str">
        <f t="shared" si="28"/>
        <v>2024-06</v>
      </c>
      <c r="AF328" t="str">
        <f t="shared" si="29"/>
        <v>Q2-2024</v>
      </c>
    </row>
    <row r="329" spans="1:32" x14ac:dyDescent="0.3">
      <c r="A329" t="s">
        <v>1580</v>
      </c>
      <c r="B329" s="5">
        <v>1</v>
      </c>
      <c r="C329" s="4">
        <v>45626</v>
      </c>
      <c r="D329" s="4">
        <v>45637</v>
      </c>
      <c r="E329" t="s">
        <v>490</v>
      </c>
      <c r="F329" t="s">
        <v>491</v>
      </c>
      <c r="G329" t="s">
        <v>65</v>
      </c>
      <c r="H329" t="s">
        <v>23</v>
      </c>
      <c r="I329" t="s">
        <v>109</v>
      </c>
      <c r="J329" t="s">
        <v>1145</v>
      </c>
      <c r="K329" t="s">
        <v>1146</v>
      </c>
      <c r="L329" t="s">
        <v>1060</v>
      </c>
      <c r="M329" t="s">
        <v>1002</v>
      </c>
      <c r="N329" t="s">
        <v>1034</v>
      </c>
      <c r="O329" t="s">
        <v>1061</v>
      </c>
      <c r="P329" t="s">
        <v>39</v>
      </c>
      <c r="Q329" t="s">
        <v>40</v>
      </c>
      <c r="R329" t="s">
        <v>1114</v>
      </c>
      <c r="S329" t="s">
        <v>1156</v>
      </c>
      <c r="T329" s="5">
        <v>8</v>
      </c>
      <c r="U329" s="6">
        <v>233.96</v>
      </c>
      <c r="V329" s="6">
        <v>144.19999999999999</v>
      </c>
      <c r="W329" s="8">
        <v>0</v>
      </c>
      <c r="X329" s="6">
        <f t="shared" si="25"/>
        <v>1871.68</v>
      </c>
      <c r="Y329" s="6">
        <f t="shared" si="26"/>
        <v>1153.5999999999999</v>
      </c>
      <c r="Z329" s="6">
        <f t="shared" si="27"/>
        <v>718.08000000000015</v>
      </c>
      <c r="AA329" t="s">
        <v>679</v>
      </c>
      <c r="AC329" s="5">
        <v>1</v>
      </c>
      <c r="AD329" t="s">
        <v>1105</v>
      </c>
      <c r="AE329" t="str">
        <f t="shared" si="28"/>
        <v>2024-11</v>
      </c>
      <c r="AF329" t="str">
        <f t="shared" si="29"/>
        <v>Q4-2024</v>
      </c>
    </row>
    <row r="330" spans="1:32" x14ac:dyDescent="0.3">
      <c r="A330" t="s">
        <v>1581</v>
      </c>
      <c r="B330" s="5">
        <v>1</v>
      </c>
      <c r="C330" s="4">
        <v>45467</v>
      </c>
      <c r="D330" s="4">
        <v>45470</v>
      </c>
      <c r="E330" t="s">
        <v>199</v>
      </c>
      <c r="F330" t="s">
        <v>200</v>
      </c>
      <c r="G330" t="s">
        <v>74</v>
      </c>
      <c r="H330" t="s">
        <v>23</v>
      </c>
      <c r="I330" t="s">
        <v>109</v>
      </c>
      <c r="J330" t="s">
        <v>1138</v>
      </c>
      <c r="K330" t="s">
        <v>1255</v>
      </c>
      <c r="L330" t="s">
        <v>991</v>
      </c>
      <c r="M330" t="s">
        <v>929</v>
      </c>
      <c r="N330" t="s">
        <v>971</v>
      </c>
      <c r="O330" t="s">
        <v>992</v>
      </c>
      <c r="P330" t="s">
        <v>48</v>
      </c>
      <c r="Q330" t="s">
        <v>49</v>
      </c>
      <c r="R330" t="s">
        <v>1094</v>
      </c>
      <c r="S330" t="s">
        <v>1109</v>
      </c>
      <c r="T330" s="5">
        <v>9</v>
      </c>
      <c r="U330" s="6">
        <v>262.14</v>
      </c>
      <c r="V330" s="6">
        <v>156.82</v>
      </c>
      <c r="W330" s="8">
        <v>0</v>
      </c>
      <c r="X330" s="6">
        <f t="shared" si="25"/>
        <v>2359.2599999999998</v>
      </c>
      <c r="Y330" s="6">
        <f t="shared" si="26"/>
        <v>1411.3799999999999</v>
      </c>
      <c r="Z330" s="6">
        <f t="shared" si="27"/>
        <v>947.87999999999988</v>
      </c>
      <c r="AA330" t="s">
        <v>679</v>
      </c>
      <c r="AC330" s="5">
        <v>5</v>
      </c>
      <c r="AD330" t="s">
        <v>1136</v>
      </c>
      <c r="AE330" t="str">
        <f t="shared" si="28"/>
        <v>2024-06</v>
      </c>
      <c r="AF330" t="str">
        <f t="shared" si="29"/>
        <v>Q2-2024</v>
      </c>
    </row>
    <row r="331" spans="1:32" x14ac:dyDescent="0.3">
      <c r="A331" t="s">
        <v>1582</v>
      </c>
      <c r="B331" s="5">
        <v>4</v>
      </c>
      <c r="C331" s="4">
        <v>45512</v>
      </c>
      <c r="D331" s="4">
        <v>45526</v>
      </c>
      <c r="E331" t="s">
        <v>221</v>
      </c>
      <c r="F331" t="s">
        <v>222</v>
      </c>
      <c r="G331" t="s">
        <v>74</v>
      </c>
      <c r="H331" t="s">
        <v>20</v>
      </c>
      <c r="I331" t="s">
        <v>71</v>
      </c>
      <c r="J331" t="s">
        <v>1112</v>
      </c>
      <c r="K331" t="s">
        <v>1113</v>
      </c>
      <c r="L331" t="s">
        <v>828</v>
      </c>
      <c r="M331" t="s">
        <v>795</v>
      </c>
      <c r="N331" t="s">
        <v>796</v>
      </c>
      <c r="O331" t="s">
        <v>829</v>
      </c>
      <c r="P331" t="s">
        <v>34</v>
      </c>
      <c r="Q331" t="s">
        <v>35</v>
      </c>
      <c r="R331" t="s">
        <v>1088</v>
      </c>
      <c r="S331" t="s">
        <v>1095</v>
      </c>
      <c r="T331" s="5">
        <v>22</v>
      </c>
      <c r="U331" s="6">
        <v>185.76</v>
      </c>
      <c r="V331" s="6">
        <v>151.4</v>
      </c>
      <c r="W331" s="8">
        <v>0</v>
      </c>
      <c r="X331" s="6">
        <f t="shared" si="25"/>
        <v>4086.72</v>
      </c>
      <c r="Y331" s="6">
        <f t="shared" si="26"/>
        <v>3330.8</v>
      </c>
      <c r="Z331" s="6">
        <f t="shared" si="27"/>
        <v>755.91999999999962</v>
      </c>
      <c r="AA331" t="s">
        <v>679</v>
      </c>
      <c r="AC331" s="5">
        <v>2</v>
      </c>
      <c r="AD331" t="s">
        <v>1136</v>
      </c>
      <c r="AE331" t="str">
        <f t="shared" si="28"/>
        <v>2024-08</v>
      </c>
      <c r="AF331" t="str">
        <f t="shared" si="29"/>
        <v>Q3-2024</v>
      </c>
    </row>
    <row r="332" spans="1:32" x14ac:dyDescent="0.3">
      <c r="A332" t="s">
        <v>1583</v>
      </c>
      <c r="B332" s="5">
        <v>3</v>
      </c>
      <c r="C332" s="4">
        <v>45588</v>
      </c>
      <c r="D332" s="4">
        <v>45601</v>
      </c>
      <c r="E332" t="s">
        <v>508</v>
      </c>
      <c r="F332" t="s">
        <v>131</v>
      </c>
      <c r="G332" t="s">
        <v>104</v>
      </c>
      <c r="H332" t="s">
        <v>31</v>
      </c>
      <c r="I332" t="s">
        <v>127</v>
      </c>
      <c r="J332" t="s">
        <v>1098</v>
      </c>
      <c r="K332" t="s">
        <v>1099</v>
      </c>
      <c r="L332" t="s">
        <v>956</v>
      </c>
      <c r="M332" t="s">
        <v>929</v>
      </c>
      <c r="N332" t="s">
        <v>930</v>
      </c>
      <c r="O332" t="s">
        <v>957</v>
      </c>
      <c r="P332" t="s">
        <v>39</v>
      </c>
      <c r="Q332" t="s">
        <v>40</v>
      </c>
      <c r="R332" t="s">
        <v>1114</v>
      </c>
      <c r="S332" t="s">
        <v>1109</v>
      </c>
      <c r="T332" s="5">
        <v>17</v>
      </c>
      <c r="U332" s="6">
        <v>243.64</v>
      </c>
      <c r="V332" s="6">
        <v>190.78</v>
      </c>
      <c r="W332" s="8">
        <v>0</v>
      </c>
      <c r="X332" s="6">
        <f t="shared" si="25"/>
        <v>4141.88</v>
      </c>
      <c r="Y332" s="6">
        <f t="shared" si="26"/>
        <v>3243.26</v>
      </c>
      <c r="Z332" s="6">
        <f t="shared" si="27"/>
        <v>898.61999999999989</v>
      </c>
      <c r="AA332" t="s">
        <v>679</v>
      </c>
      <c r="AC332" s="5"/>
      <c r="AD332" t="s">
        <v>1105</v>
      </c>
      <c r="AE332" t="str">
        <f t="shared" si="28"/>
        <v>2024-10</v>
      </c>
      <c r="AF332" t="str">
        <f t="shared" si="29"/>
        <v>Q4-2024</v>
      </c>
    </row>
    <row r="333" spans="1:32" x14ac:dyDescent="0.3">
      <c r="A333" t="s">
        <v>1584</v>
      </c>
      <c r="B333" s="5">
        <v>5</v>
      </c>
      <c r="C333" s="4">
        <v>45916</v>
      </c>
      <c r="D333" s="4">
        <v>45920</v>
      </c>
      <c r="E333" t="s">
        <v>551</v>
      </c>
      <c r="F333" t="s">
        <v>552</v>
      </c>
      <c r="G333" t="s">
        <v>65</v>
      </c>
      <c r="H333" t="s">
        <v>20</v>
      </c>
      <c r="I333" t="s">
        <v>90</v>
      </c>
      <c r="J333" t="s">
        <v>1171</v>
      </c>
      <c r="K333" t="s">
        <v>1172</v>
      </c>
      <c r="L333" t="s">
        <v>774</v>
      </c>
      <c r="M333" t="s">
        <v>659</v>
      </c>
      <c r="N333" t="s">
        <v>754</v>
      </c>
      <c r="O333" t="s">
        <v>775</v>
      </c>
      <c r="P333" t="s">
        <v>21</v>
      </c>
      <c r="Q333" t="s">
        <v>22</v>
      </c>
      <c r="R333" t="s">
        <v>126</v>
      </c>
      <c r="S333" t="s">
        <v>1156</v>
      </c>
      <c r="T333" s="5">
        <v>139</v>
      </c>
      <c r="U333" s="6">
        <v>160.22</v>
      </c>
      <c r="V333" s="6">
        <v>103.88</v>
      </c>
      <c r="W333" s="8">
        <v>0.18890000000000001</v>
      </c>
      <c r="X333" s="6">
        <f t="shared" si="25"/>
        <v>18063.667437999997</v>
      </c>
      <c r="Y333" s="6">
        <f t="shared" si="26"/>
        <v>14439.32</v>
      </c>
      <c r="Z333" s="6">
        <f t="shared" si="27"/>
        <v>3624.3474379999971</v>
      </c>
      <c r="AA333" t="s">
        <v>679</v>
      </c>
      <c r="AC333" s="5">
        <v>3</v>
      </c>
      <c r="AD333" t="s">
        <v>1101</v>
      </c>
      <c r="AE333" t="str">
        <f t="shared" si="28"/>
        <v>2025-09</v>
      </c>
      <c r="AF333" t="str">
        <f t="shared" si="29"/>
        <v>Q3-2025</v>
      </c>
    </row>
    <row r="334" spans="1:32" x14ac:dyDescent="0.3">
      <c r="A334" t="s">
        <v>1585</v>
      </c>
      <c r="B334" s="5">
        <v>4</v>
      </c>
      <c r="C334" s="4">
        <v>45683</v>
      </c>
      <c r="D334" s="4">
        <v>45695</v>
      </c>
      <c r="E334" t="s">
        <v>551</v>
      </c>
      <c r="F334" t="s">
        <v>552</v>
      </c>
      <c r="G334" t="s">
        <v>65</v>
      </c>
      <c r="H334" t="s">
        <v>31</v>
      </c>
      <c r="I334" t="s">
        <v>127</v>
      </c>
      <c r="J334" t="s">
        <v>1098</v>
      </c>
      <c r="K334" t="s">
        <v>1217</v>
      </c>
      <c r="L334" t="s">
        <v>702</v>
      </c>
      <c r="M334" t="s">
        <v>659</v>
      </c>
      <c r="N334" t="s">
        <v>660</v>
      </c>
      <c r="O334" t="s">
        <v>703</v>
      </c>
      <c r="P334" t="s">
        <v>53</v>
      </c>
      <c r="Q334" t="s">
        <v>54</v>
      </c>
      <c r="R334" t="s">
        <v>1114</v>
      </c>
      <c r="S334" t="s">
        <v>1109</v>
      </c>
      <c r="T334" s="5">
        <v>5</v>
      </c>
      <c r="U334" s="6">
        <v>151.88</v>
      </c>
      <c r="V334" s="6">
        <v>92.37</v>
      </c>
      <c r="W334" s="8">
        <v>6.7199999999999996E-2</v>
      </c>
      <c r="X334" s="6">
        <f t="shared" si="25"/>
        <v>708.36831999999993</v>
      </c>
      <c r="Y334" s="6">
        <f t="shared" si="26"/>
        <v>461.85</v>
      </c>
      <c r="Z334" s="6">
        <f t="shared" si="27"/>
        <v>246.5183199999999</v>
      </c>
      <c r="AA334" t="s">
        <v>679</v>
      </c>
      <c r="AC334" s="5"/>
      <c r="AD334" t="s">
        <v>1140</v>
      </c>
      <c r="AE334" t="str">
        <f t="shared" si="28"/>
        <v>2025-01</v>
      </c>
      <c r="AF334" t="str">
        <f t="shared" si="29"/>
        <v>Q1-2025</v>
      </c>
    </row>
    <row r="335" spans="1:32" x14ac:dyDescent="0.3">
      <c r="A335" t="s">
        <v>1586</v>
      </c>
      <c r="B335" s="5">
        <v>4</v>
      </c>
      <c r="C335" s="4">
        <v>45964</v>
      </c>
      <c r="D335" s="4">
        <v>45969</v>
      </c>
      <c r="E335" t="s">
        <v>450</v>
      </c>
      <c r="F335" t="s">
        <v>292</v>
      </c>
      <c r="G335" t="s">
        <v>65</v>
      </c>
      <c r="H335" t="s">
        <v>41</v>
      </c>
      <c r="I335" t="s">
        <v>75</v>
      </c>
      <c r="J335" t="s">
        <v>1142</v>
      </c>
      <c r="K335" t="s">
        <v>1205</v>
      </c>
      <c r="L335" t="s">
        <v>985</v>
      </c>
      <c r="M335" t="s">
        <v>929</v>
      </c>
      <c r="N335" t="s">
        <v>971</v>
      </c>
      <c r="O335" t="s">
        <v>986</v>
      </c>
      <c r="P335" t="s">
        <v>39</v>
      </c>
      <c r="Q335" t="s">
        <v>40</v>
      </c>
      <c r="R335" t="s">
        <v>1114</v>
      </c>
      <c r="S335" t="s">
        <v>1100</v>
      </c>
      <c r="T335" s="5">
        <v>6</v>
      </c>
      <c r="U335" s="6">
        <v>108.88</v>
      </c>
      <c r="V335" s="6">
        <v>62.43</v>
      </c>
      <c r="W335" s="8"/>
      <c r="X335" s="6">
        <f t="shared" si="25"/>
        <v>653.28</v>
      </c>
      <c r="Y335" s="6">
        <f t="shared" si="26"/>
        <v>374.58</v>
      </c>
      <c r="Z335" s="6">
        <f t="shared" si="27"/>
        <v>278.7</v>
      </c>
      <c r="AA335" t="s">
        <v>679</v>
      </c>
      <c r="AC335" s="5">
        <v>1</v>
      </c>
      <c r="AD335" t="s">
        <v>1136</v>
      </c>
      <c r="AE335" t="str">
        <f t="shared" si="28"/>
        <v>2025-11</v>
      </c>
      <c r="AF335" t="str">
        <f t="shared" si="29"/>
        <v>Q4-2025</v>
      </c>
    </row>
    <row r="336" spans="1:32" x14ac:dyDescent="0.3">
      <c r="A336" t="s">
        <v>1587</v>
      </c>
      <c r="B336" s="5">
        <v>1</v>
      </c>
      <c r="C336" s="4">
        <v>45918</v>
      </c>
      <c r="D336" s="4">
        <v>45922</v>
      </c>
      <c r="E336" t="s">
        <v>360</v>
      </c>
      <c r="F336" t="s">
        <v>361</v>
      </c>
      <c r="G336" t="s">
        <v>65</v>
      </c>
      <c r="H336" t="s">
        <v>41</v>
      </c>
      <c r="I336" t="s">
        <v>75</v>
      </c>
      <c r="J336" t="s">
        <v>1142</v>
      </c>
      <c r="K336" t="s">
        <v>1143</v>
      </c>
      <c r="L336" t="s">
        <v>1033</v>
      </c>
      <c r="M336" t="s">
        <v>1002</v>
      </c>
      <c r="N336" t="s">
        <v>1034</v>
      </c>
      <c r="O336" t="s">
        <v>1035</v>
      </c>
      <c r="P336" t="s">
        <v>29</v>
      </c>
      <c r="Q336" t="s">
        <v>30</v>
      </c>
      <c r="R336" t="s">
        <v>1088</v>
      </c>
      <c r="S336" t="s">
        <v>1109</v>
      </c>
      <c r="T336" s="5">
        <v>16</v>
      </c>
      <c r="U336" s="6">
        <v>185.85</v>
      </c>
      <c r="V336" s="6">
        <v>113.68</v>
      </c>
      <c r="W336" s="8">
        <v>0.1754</v>
      </c>
      <c r="X336" s="6">
        <f t="shared" si="25"/>
        <v>2452.0305600000002</v>
      </c>
      <c r="Y336" s="6">
        <f t="shared" si="26"/>
        <v>1818.88</v>
      </c>
      <c r="Z336" s="6">
        <f t="shared" si="27"/>
        <v>633.15056000000004</v>
      </c>
      <c r="AA336" t="s">
        <v>679</v>
      </c>
      <c r="AC336" s="5"/>
      <c r="AD336" t="s">
        <v>1101</v>
      </c>
      <c r="AE336" t="str">
        <f t="shared" si="28"/>
        <v>2025-09</v>
      </c>
      <c r="AF336" t="str">
        <f t="shared" si="29"/>
        <v>Q3-2025</v>
      </c>
    </row>
    <row r="337" spans="1:32" x14ac:dyDescent="0.3">
      <c r="A337" t="s">
        <v>1588</v>
      </c>
      <c r="B337" s="5">
        <v>5</v>
      </c>
      <c r="C337" s="4">
        <v>46027</v>
      </c>
      <c r="D337" s="4">
        <v>46029</v>
      </c>
      <c r="E337" t="s">
        <v>261</v>
      </c>
      <c r="F337" t="s">
        <v>262</v>
      </c>
      <c r="G337" t="s">
        <v>80</v>
      </c>
      <c r="H337" t="s">
        <v>20</v>
      </c>
      <c r="I337" t="s">
        <v>90</v>
      </c>
      <c r="J337" t="s">
        <v>1262</v>
      </c>
      <c r="K337" t="s">
        <v>1274</v>
      </c>
      <c r="L337" t="s">
        <v>690</v>
      </c>
      <c r="M337" t="s">
        <v>659</v>
      </c>
      <c r="N337" t="s">
        <v>660</v>
      </c>
      <c r="O337" t="s">
        <v>691</v>
      </c>
      <c r="P337" t="s">
        <v>37</v>
      </c>
      <c r="Q337" t="s">
        <v>38</v>
      </c>
      <c r="R337" t="s">
        <v>1114</v>
      </c>
      <c r="S337" t="s">
        <v>1109</v>
      </c>
      <c r="T337" s="5">
        <v>3</v>
      </c>
      <c r="U337" s="6">
        <v>88.01</v>
      </c>
      <c r="V337" s="6">
        <v>57.12</v>
      </c>
      <c r="W337" s="8">
        <v>0</v>
      </c>
      <c r="X337" s="6">
        <f t="shared" si="25"/>
        <v>264.03000000000003</v>
      </c>
      <c r="Y337" s="6">
        <f t="shared" si="26"/>
        <v>171.35999999999999</v>
      </c>
      <c r="Z337" s="6">
        <f t="shared" si="27"/>
        <v>92.670000000000044</v>
      </c>
      <c r="AA337" t="s">
        <v>679</v>
      </c>
      <c r="AC337" s="5">
        <v>5</v>
      </c>
      <c r="AD337" t="s">
        <v>1136</v>
      </c>
      <c r="AE337" t="str">
        <f t="shared" si="28"/>
        <v>2026-01</v>
      </c>
      <c r="AF337" t="str">
        <f t="shared" si="29"/>
        <v>Q1-2026</v>
      </c>
    </row>
    <row r="338" spans="1:32" x14ac:dyDescent="0.3">
      <c r="A338" t="s">
        <v>1589</v>
      </c>
      <c r="B338" s="5">
        <v>4</v>
      </c>
      <c r="C338" s="4">
        <v>45723</v>
      </c>
      <c r="D338" s="4">
        <v>45736</v>
      </c>
      <c r="E338" t="s">
        <v>146</v>
      </c>
      <c r="F338" t="s">
        <v>147</v>
      </c>
      <c r="G338" t="s">
        <v>74</v>
      </c>
      <c r="H338" t="s">
        <v>23</v>
      </c>
      <c r="I338" t="s">
        <v>93</v>
      </c>
      <c r="J338" t="s">
        <v>1294</v>
      </c>
      <c r="K338" t="s">
        <v>1334</v>
      </c>
      <c r="L338" t="s">
        <v>1046</v>
      </c>
      <c r="M338" t="s">
        <v>1002</v>
      </c>
      <c r="N338" t="s">
        <v>1034</v>
      </c>
      <c r="O338" t="s">
        <v>1047</v>
      </c>
      <c r="P338" t="s">
        <v>29</v>
      </c>
      <c r="Q338" t="s">
        <v>30</v>
      </c>
      <c r="R338" t="s">
        <v>1088</v>
      </c>
      <c r="S338" t="s">
        <v>1095</v>
      </c>
      <c r="T338" s="5">
        <v>8</v>
      </c>
      <c r="U338" s="6">
        <v>296.43</v>
      </c>
      <c r="V338" s="6">
        <v>153.29</v>
      </c>
      <c r="W338" s="8">
        <v>0</v>
      </c>
      <c r="X338" s="6">
        <f t="shared" si="25"/>
        <v>2371.44</v>
      </c>
      <c r="Y338" s="6">
        <f t="shared" si="26"/>
        <v>1226.32</v>
      </c>
      <c r="Z338" s="6">
        <f t="shared" si="27"/>
        <v>1145.1200000000001</v>
      </c>
      <c r="AA338" t="s">
        <v>679</v>
      </c>
      <c r="AC338" s="5">
        <v>1</v>
      </c>
      <c r="AD338" t="s">
        <v>1136</v>
      </c>
      <c r="AE338" t="str">
        <f t="shared" si="28"/>
        <v>2025-03</v>
      </c>
      <c r="AF338" t="str">
        <f t="shared" si="29"/>
        <v>Q1-2025</v>
      </c>
    </row>
    <row r="339" spans="1:32" x14ac:dyDescent="0.3">
      <c r="A339" t="s">
        <v>1590</v>
      </c>
      <c r="B339" s="5">
        <v>1</v>
      </c>
      <c r="C339" s="4">
        <v>45876</v>
      </c>
      <c r="D339" s="4">
        <v>45890</v>
      </c>
      <c r="E339" t="s">
        <v>201</v>
      </c>
      <c r="F339" t="s">
        <v>202</v>
      </c>
      <c r="G339" t="s">
        <v>65</v>
      </c>
      <c r="H339" t="s">
        <v>23</v>
      </c>
      <c r="I339" t="s">
        <v>93</v>
      </c>
      <c r="J339" t="s">
        <v>1450</v>
      </c>
      <c r="K339" t="s">
        <v>1528</v>
      </c>
      <c r="L339" t="s">
        <v>828</v>
      </c>
      <c r="M339" t="s">
        <v>795</v>
      </c>
      <c r="N339" t="s">
        <v>796</v>
      </c>
      <c r="O339" t="s">
        <v>829</v>
      </c>
      <c r="P339" t="s">
        <v>42</v>
      </c>
      <c r="Q339" t="s">
        <v>43</v>
      </c>
      <c r="R339" t="s">
        <v>1114</v>
      </c>
      <c r="S339" t="s">
        <v>1109</v>
      </c>
      <c r="T339" s="5">
        <v>19</v>
      </c>
      <c r="U339" s="6">
        <v>204.77</v>
      </c>
      <c r="V339" s="6">
        <v>151.4</v>
      </c>
      <c r="W339" s="8">
        <v>0</v>
      </c>
      <c r="X339" s="6">
        <f t="shared" si="25"/>
        <v>3890.63</v>
      </c>
      <c r="Y339" s="6">
        <f t="shared" si="26"/>
        <v>2876.6</v>
      </c>
      <c r="Z339" s="6">
        <f t="shared" si="27"/>
        <v>1014.0300000000002</v>
      </c>
      <c r="AA339" t="s">
        <v>679</v>
      </c>
      <c r="AC339" s="5">
        <v>3</v>
      </c>
      <c r="AE339" t="str">
        <f t="shared" si="28"/>
        <v>2025-08</v>
      </c>
      <c r="AF339" t="str">
        <f t="shared" si="29"/>
        <v>Q3-2025</v>
      </c>
    </row>
    <row r="340" spans="1:32" x14ac:dyDescent="0.3">
      <c r="A340" t="s">
        <v>1591</v>
      </c>
      <c r="B340" s="5">
        <v>3</v>
      </c>
      <c r="C340" s="4">
        <v>45479</v>
      </c>
      <c r="D340" s="4">
        <v>45483</v>
      </c>
      <c r="E340" t="s">
        <v>401</v>
      </c>
      <c r="F340" t="s">
        <v>402</v>
      </c>
      <c r="G340" t="s">
        <v>74</v>
      </c>
      <c r="H340" t="s">
        <v>41</v>
      </c>
      <c r="I340" t="s">
        <v>86</v>
      </c>
      <c r="J340" t="s">
        <v>1086</v>
      </c>
      <c r="K340" t="s">
        <v>1087</v>
      </c>
      <c r="L340" t="s">
        <v>766</v>
      </c>
      <c r="M340" t="s">
        <v>659</v>
      </c>
      <c r="N340" t="s">
        <v>754</v>
      </c>
      <c r="O340" t="s">
        <v>767</v>
      </c>
      <c r="P340" t="s">
        <v>24</v>
      </c>
      <c r="Q340" t="s">
        <v>25</v>
      </c>
      <c r="R340" t="s">
        <v>126</v>
      </c>
      <c r="S340" t="s">
        <v>1109</v>
      </c>
      <c r="T340" s="5">
        <v>12</v>
      </c>
      <c r="U340" s="6">
        <v>171.67</v>
      </c>
      <c r="V340" s="6">
        <v>97.56</v>
      </c>
      <c r="W340" s="8">
        <v>0.14000000000000001</v>
      </c>
      <c r="X340" s="6">
        <f t="shared" si="25"/>
        <v>1771.6343999999999</v>
      </c>
      <c r="Y340" s="6">
        <f t="shared" si="26"/>
        <v>1170.72</v>
      </c>
      <c r="Z340" s="6">
        <f t="shared" si="27"/>
        <v>600.91439999999989</v>
      </c>
      <c r="AA340" t="s">
        <v>679</v>
      </c>
      <c r="AC340" s="5">
        <v>2</v>
      </c>
      <c r="AE340" t="str">
        <f t="shared" si="28"/>
        <v>2024-07</v>
      </c>
      <c r="AF340" t="str">
        <f t="shared" si="29"/>
        <v>Q3-2024</v>
      </c>
    </row>
    <row r="341" spans="1:32" x14ac:dyDescent="0.3">
      <c r="A341" t="s">
        <v>1592</v>
      </c>
      <c r="B341" s="5">
        <v>5</v>
      </c>
      <c r="C341" s="4">
        <v>45691</v>
      </c>
      <c r="D341" s="4">
        <v>45693</v>
      </c>
      <c r="E341" t="s">
        <v>295</v>
      </c>
      <c r="F341" t="s">
        <v>296</v>
      </c>
      <c r="G341" t="s">
        <v>74</v>
      </c>
      <c r="H341" t="s">
        <v>41</v>
      </c>
      <c r="I341" t="s">
        <v>75</v>
      </c>
      <c r="J341" t="s">
        <v>1142</v>
      </c>
      <c r="K341" t="s">
        <v>1205</v>
      </c>
      <c r="L341" t="s">
        <v>841</v>
      </c>
      <c r="M341" t="s">
        <v>795</v>
      </c>
      <c r="N341" t="s">
        <v>837</v>
      </c>
      <c r="O341" t="s">
        <v>842</v>
      </c>
      <c r="P341" t="s">
        <v>46</v>
      </c>
      <c r="Q341" t="s">
        <v>47</v>
      </c>
      <c r="R341" t="s">
        <v>126</v>
      </c>
      <c r="S341" t="s">
        <v>1156</v>
      </c>
      <c r="T341" s="5">
        <v>25</v>
      </c>
      <c r="U341" s="6">
        <v>7.99</v>
      </c>
      <c r="V341" s="6">
        <v>5</v>
      </c>
      <c r="W341" s="8">
        <v>0</v>
      </c>
      <c r="X341" s="6">
        <f t="shared" si="25"/>
        <v>199.75</v>
      </c>
      <c r="Y341" s="6">
        <f t="shared" si="26"/>
        <v>125</v>
      </c>
      <c r="Z341" s="6">
        <f t="shared" si="27"/>
        <v>74.75</v>
      </c>
      <c r="AA341" t="s">
        <v>679</v>
      </c>
      <c r="AC341" s="5">
        <v>4</v>
      </c>
      <c r="AD341" t="s">
        <v>1110</v>
      </c>
      <c r="AE341" t="str">
        <f t="shared" si="28"/>
        <v>2025-02</v>
      </c>
      <c r="AF341" t="str">
        <f t="shared" si="29"/>
        <v>Q1-2025</v>
      </c>
    </row>
    <row r="342" spans="1:32" x14ac:dyDescent="0.3">
      <c r="A342" t="s">
        <v>1593</v>
      </c>
      <c r="B342" s="5">
        <v>5</v>
      </c>
      <c r="C342" s="4">
        <v>45683</v>
      </c>
      <c r="D342" s="4">
        <v>45693</v>
      </c>
      <c r="E342" t="s">
        <v>115</v>
      </c>
      <c r="F342" t="s">
        <v>116</v>
      </c>
      <c r="G342" t="s">
        <v>74</v>
      </c>
      <c r="H342" t="s">
        <v>31</v>
      </c>
      <c r="I342" t="s">
        <v>160</v>
      </c>
      <c r="J342" t="s">
        <v>1125</v>
      </c>
      <c r="K342" t="s">
        <v>1132</v>
      </c>
      <c r="L342" t="s">
        <v>849</v>
      </c>
      <c r="M342" t="s">
        <v>795</v>
      </c>
      <c r="N342" t="s">
        <v>837</v>
      </c>
      <c r="O342" t="s">
        <v>850</v>
      </c>
      <c r="P342" t="s">
        <v>50</v>
      </c>
      <c r="Q342" t="s">
        <v>51</v>
      </c>
      <c r="R342" t="s">
        <v>126</v>
      </c>
      <c r="S342" t="s">
        <v>1109</v>
      </c>
      <c r="T342" s="5">
        <v>13</v>
      </c>
      <c r="U342" s="6">
        <v>110.95</v>
      </c>
      <c r="V342" s="6">
        <v>67.12</v>
      </c>
      <c r="W342" s="8">
        <v>0</v>
      </c>
      <c r="X342" s="6">
        <f t="shared" si="25"/>
        <v>1442.3500000000001</v>
      </c>
      <c r="Y342" s="6">
        <f t="shared" si="26"/>
        <v>872.56000000000006</v>
      </c>
      <c r="Z342" s="6">
        <f t="shared" si="27"/>
        <v>569.79000000000008</v>
      </c>
      <c r="AA342" t="s">
        <v>679</v>
      </c>
      <c r="AC342" s="5">
        <v>2</v>
      </c>
      <c r="AE342" t="str">
        <f t="shared" si="28"/>
        <v>2025-01</v>
      </c>
      <c r="AF342" t="str">
        <f t="shared" si="29"/>
        <v>Q1-2025</v>
      </c>
    </row>
    <row r="343" spans="1:32" x14ac:dyDescent="0.3">
      <c r="A343" t="s">
        <v>1594</v>
      </c>
      <c r="B343" s="5">
        <v>5</v>
      </c>
      <c r="C343" s="4">
        <v>45764</v>
      </c>
      <c r="D343" s="4">
        <v>45773</v>
      </c>
      <c r="E343" t="s">
        <v>514</v>
      </c>
      <c r="F343" t="s">
        <v>515</v>
      </c>
      <c r="G343" t="s">
        <v>74</v>
      </c>
      <c r="H343" t="s">
        <v>41</v>
      </c>
      <c r="I343" t="s">
        <v>75</v>
      </c>
      <c r="J343" t="s">
        <v>1142</v>
      </c>
      <c r="K343" t="s">
        <v>1198</v>
      </c>
      <c r="L343" t="s">
        <v>1044</v>
      </c>
      <c r="M343" t="s">
        <v>1002</v>
      </c>
      <c r="N343" t="s">
        <v>1034</v>
      </c>
      <c r="O343" t="s">
        <v>1045</v>
      </c>
      <c r="P343" t="s">
        <v>32</v>
      </c>
      <c r="Q343" t="s">
        <v>33</v>
      </c>
      <c r="R343" t="s">
        <v>1114</v>
      </c>
      <c r="S343" t="s">
        <v>1095</v>
      </c>
      <c r="T343" s="5">
        <v>11</v>
      </c>
      <c r="U343" s="6">
        <v>317.02</v>
      </c>
      <c r="V343" s="6">
        <v>175.12</v>
      </c>
      <c r="W343" s="8">
        <v>0</v>
      </c>
      <c r="X343" s="6">
        <f t="shared" si="25"/>
        <v>3487.22</v>
      </c>
      <c r="Y343" s="6">
        <f t="shared" si="26"/>
        <v>1926.3200000000002</v>
      </c>
      <c r="Z343" s="6">
        <f t="shared" si="27"/>
        <v>1560.8999999999996</v>
      </c>
      <c r="AA343" t="s">
        <v>679</v>
      </c>
      <c r="AC343" s="5">
        <v>5</v>
      </c>
      <c r="AD343" t="s">
        <v>1105</v>
      </c>
      <c r="AE343" t="str">
        <f t="shared" si="28"/>
        <v>2025-04</v>
      </c>
      <c r="AF343" t="str">
        <f t="shared" si="29"/>
        <v>Q2-2025</v>
      </c>
    </row>
    <row r="344" spans="1:32" x14ac:dyDescent="0.3">
      <c r="A344" t="s">
        <v>1595</v>
      </c>
      <c r="B344" s="5">
        <v>2</v>
      </c>
      <c r="C344" s="4">
        <v>45604</v>
      </c>
      <c r="D344" s="4">
        <v>45618</v>
      </c>
      <c r="E344" t="s">
        <v>596</v>
      </c>
      <c r="F344" t="s">
        <v>1596</v>
      </c>
      <c r="G344" t="s">
        <v>84</v>
      </c>
      <c r="H344" t="s">
        <v>20</v>
      </c>
      <c r="I344" t="s">
        <v>71</v>
      </c>
      <c r="J344" t="s">
        <v>1166</v>
      </c>
      <c r="K344" t="s">
        <v>1436</v>
      </c>
      <c r="L344" t="s">
        <v>1011</v>
      </c>
      <c r="M344" t="s">
        <v>1002</v>
      </c>
      <c r="N344" t="s">
        <v>1003</v>
      </c>
      <c r="O344" t="s">
        <v>1012</v>
      </c>
      <c r="P344" t="s">
        <v>32</v>
      </c>
      <c r="Q344" t="s">
        <v>33</v>
      </c>
      <c r="R344" t="s">
        <v>1114</v>
      </c>
      <c r="S344" t="s">
        <v>1109</v>
      </c>
      <c r="T344" s="5">
        <v>3</v>
      </c>
      <c r="U344" s="6">
        <v>7.77</v>
      </c>
      <c r="V344" s="6">
        <v>5</v>
      </c>
      <c r="W344" s="8">
        <v>0.13420000000000001</v>
      </c>
      <c r="X344" s="6">
        <f t="shared" si="25"/>
        <v>20.181798000000001</v>
      </c>
      <c r="Y344" s="6">
        <f t="shared" si="26"/>
        <v>15</v>
      </c>
      <c r="Z344" s="6">
        <f t="shared" si="27"/>
        <v>5.1817980000000006</v>
      </c>
      <c r="AA344" t="s">
        <v>662</v>
      </c>
      <c r="AB344" t="s">
        <v>1414</v>
      </c>
      <c r="AC344" s="5">
        <v>2</v>
      </c>
      <c r="AD344" t="s">
        <v>1110</v>
      </c>
      <c r="AE344" t="str">
        <f t="shared" si="28"/>
        <v>2024-11</v>
      </c>
      <c r="AF344" t="str">
        <f t="shared" si="29"/>
        <v>Q4-2024</v>
      </c>
    </row>
    <row r="345" spans="1:32" x14ac:dyDescent="0.3">
      <c r="A345" t="s">
        <v>1597</v>
      </c>
      <c r="B345" s="5">
        <v>2</v>
      </c>
      <c r="C345" s="4">
        <v>45744</v>
      </c>
      <c r="D345" s="4">
        <v>45745</v>
      </c>
      <c r="E345" t="s">
        <v>239</v>
      </c>
      <c r="F345" t="s">
        <v>240</v>
      </c>
      <c r="G345" t="s">
        <v>84</v>
      </c>
      <c r="H345" t="s">
        <v>31</v>
      </c>
      <c r="I345" t="s">
        <v>67</v>
      </c>
      <c r="J345" t="s">
        <v>1304</v>
      </c>
      <c r="K345" t="s">
        <v>1305</v>
      </c>
      <c r="L345" t="s">
        <v>843</v>
      </c>
      <c r="M345" t="s">
        <v>795</v>
      </c>
      <c r="N345" t="s">
        <v>837</v>
      </c>
      <c r="O345" t="s">
        <v>844</v>
      </c>
      <c r="P345" t="s">
        <v>21</v>
      </c>
      <c r="Q345" t="s">
        <v>22</v>
      </c>
      <c r="R345" t="s">
        <v>1094</v>
      </c>
      <c r="S345" t="s">
        <v>1156</v>
      </c>
      <c r="T345" s="5">
        <v>22</v>
      </c>
      <c r="U345" s="6">
        <v>268.19</v>
      </c>
      <c r="V345" s="6">
        <v>170.4</v>
      </c>
      <c r="W345" s="8">
        <v>0</v>
      </c>
      <c r="X345" s="6">
        <f t="shared" si="25"/>
        <v>5900.18</v>
      </c>
      <c r="Y345" s="6">
        <f t="shared" si="26"/>
        <v>3748.8</v>
      </c>
      <c r="Z345" s="6">
        <f t="shared" si="27"/>
        <v>2151.38</v>
      </c>
      <c r="AA345" t="s">
        <v>679</v>
      </c>
      <c r="AC345" s="5">
        <v>2</v>
      </c>
      <c r="AD345" t="s">
        <v>1105</v>
      </c>
      <c r="AE345" t="str">
        <f t="shared" si="28"/>
        <v>2025-03</v>
      </c>
      <c r="AF345" t="str">
        <f t="shared" si="29"/>
        <v>Q1-2025</v>
      </c>
    </row>
    <row r="346" spans="1:32" x14ac:dyDescent="0.3">
      <c r="A346" t="s">
        <v>1598</v>
      </c>
      <c r="B346" s="5">
        <v>4</v>
      </c>
      <c r="C346" s="4">
        <v>45908</v>
      </c>
      <c r="D346" s="4">
        <v>45914</v>
      </c>
      <c r="E346" t="s">
        <v>432</v>
      </c>
      <c r="F346" t="s">
        <v>433</v>
      </c>
      <c r="G346" t="s">
        <v>65</v>
      </c>
      <c r="H346" t="s">
        <v>41</v>
      </c>
      <c r="I346" t="s">
        <v>86</v>
      </c>
      <c r="J346" t="s">
        <v>1086</v>
      </c>
      <c r="K346" t="s">
        <v>1175</v>
      </c>
      <c r="L346" t="s">
        <v>753</v>
      </c>
      <c r="M346" t="s">
        <v>659</v>
      </c>
      <c r="N346" t="s">
        <v>754</v>
      </c>
      <c r="O346" t="s">
        <v>755</v>
      </c>
      <c r="P346" t="s">
        <v>48</v>
      </c>
      <c r="Q346" t="s">
        <v>49</v>
      </c>
      <c r="R346" t="s">
        <v>1088</v>
      </c>
      <c r="S346" t="s">
        <v>1095</v>
      </c>
      <c r="T346" s="5">
        <v>14</v>
      </c>
      <c r="U346" s="6">
        <v>6.66</v>
      </c>
      <c r="V346" s="6">
        <v>5</v>
      </c>
      <c r="W346" s="8">
        <v>0</v>
      </c>
      <c r="X346" s="6">
        <f t="shared" si="25"/>
        <v>93.240000000000009</v>
      </c>
      <c r="Y346" s="6">
        <f t="shared" si="26"/>
        <v>70</v>
      </c>
      <c r="Z346" s="6">
        <f t="shared" si="27"/>
        <v>23.240000000000009</v>
      </c>
      <c r="AA346" t="s">
        <v>679</v>
      </c>
      <c r="AC346" s="5">
        <v>2</v>
      </c>
      <c r="AE346" t="str">
        <f t="shared" si="28"/>
        <v>2025-09</v>
      </c>
      <c r="AF346" t="str">
        <f t="shared" si="29"/>
        <v>Q3-2025</v>
      </c>
    </row>
    <row r="347" spans="1:32" x14ac:dyDescent="0.3">
      <c r="A347" t="s">
        <v>1599</v>
      </c>
      <c r="B347" s="5">
        <v>4</v>
      </c>
      <c r="C347" s="4">
        <v>45392</v>
      </c>
      <c r="D347" s="4">
        <v>45397</v>
      </c>
      <c r="E347" t="s">
        <v>265</v>
      </c>
      <c r="F347" t="s">
        <v>266</v>
      </c>
      <c r="G347" t="s">
        <v>104</v>
      </c>
      <c r="H347" t="s">
        <v>41</v>
      </c>
      <c r="I347" t="s">
        <v>86</v>
      </c>
      <c r="J347" t="s">
        <v>1107</v>
      </c>
      <c r="K347" t="s">
        <v>1230</v>
      </c>
      <c r="L347" t="s">
        <v>865</v>
      </c>
      <c r="M347" t="s">
        <v>795</v>
      </c>
      <c r="N347" t="s">
        <v>837</v>
      </c>
      <c r="O347" t="s">
        <v>866</v>
      </c>
      <c r="P347" t="s">
        <v>44</v>
      </c>
      <c r="Q347" t="s">
        <v>45</v>
      </c>
      <c r="R347" t="s">
        <v>1114</v>
      </c>
      <c r="S347" t="s">
        <v>1109</v>
      </c>
      <c r="T347" s="5">
        <v>5</v>
      </c>
      <c r="U347" s="6">
        <v>26.72</v>
      </c>
      <c r="V347" s="6">
        <v>15.19</v>
      </c>
      <c r="W347" s="8">
        <v>0</v>
      </c>
      <c r="X347" s="6">
        <f t="shared" si="25"/>
        <v>133.6</v>
      </c>
      <c r="Y347" s="6">
        <f t="shared" si="26"/>
        <v>75.95</v>
      </c>
      <c r="Z347" s="6">
        <f t="shared" si="27"/>
        <v>57.649999999999991</v>
      </c>
      <c r="AA347" t="s">
        <v>679</v>
      </c>
      <c r="AC347" s="5"/>
      <c r="AE347" t="str">
        <f t="shared" si="28"/>
        <v>2024-04</v>
      </c>
      <c r="AF347" t="str">
        <f t="shared" si="29"/>
        <v>Q2-2024</v>
      </c>
    </row>
    <row r="348" spans="1:32" x14ac:dyDescent="0.3">
      <c r="A348" t="s">
        <v>1600</v>
      </c>
      <c r="B348" s="5">
        <v>2</v>
      </c>
      <c r="C348" s="4">
        <v>45885</v>
      </c>
      <c r="D348" s="4">
        <v>45893</v>
      </c>
      <c r="E348" t="s">
        <v>532</v>
      </c>
      <c r="F348" t="s">
        <v>533</v>
      </c>
      <c r="G348" t="s">
        <v>80</v>
      </c>
      <c r="H348" t="s">
        <v>23</v>
      </c>
      <c r="I348" t="s">
        <v>109</v>
      </c>
      <c r="J348" t="s">
        <v>1145</v>
      </c>
      <c r="K348" t="s">
        <v>1246</v>
      </c>
      <c r="L348" t="s">
        <v>871</v>
      </c>
      <c r="M348" t="s">
        <v>795</v>
      </c>
      <c r="N348" t="s">
        <v>837</v>
      </c>
      <c r="O348" t="s">
        <v>872</v>
      </c>
      <c r="P348" t="s">
        <v>34</v>
      </c>
      <c r="Q348" t="s">
        <v>35</v>
      </c>
      <c r="R348" t="s">
        <v>1114</v>
      </c>
      <c r="S348" t="s">
        <v>1109</v>
      </c>
      <c r="T348" s="5">
        <v>7</v>
      </c>
      <c r="U348" s="6">
        <v>137.57</v>
      </c>
      <c r="V348" s="6">
        <v>98.29</v>
      </c>
      <c r="W348" s="8">
        <v>0.2848</v>
      </c>
      <c r="X348" s="6">
        <f t="shared" si="25"/>
        <v>688.73044800000002</v>
      </c>
      <c r="Y348" s="6">
        <f t="shared" si="26"/>
        <v>688.03000000000009</v>
      </c>
      <c r="Z348" s="6">
        <f t="shared" si="27"/>
        <v>0.70044799999993757</v>
      </c>
      <c r="AA348" t="s">
        <v>679</v>
      </c>
      <c r="AC348" s="5"/>
      <c r="AD348" t="s">
        <v>1136</v>
      </c>
      <c r="AE348" t="str">
        <f t="shared" si="28"/>
        <v>2025-08</v>
      </c>
      <c r="AF348" t="str">
        <f t="shared" si="29"/>
        <v>Q3-2025</v>
      </c>
    </row>
    <row r="349" spans="1:32" x14ac:dyDescent="0.3">
      <c r="A349" t="s">
        <v>1601</v>
      </c>
      <c r="B349" s="5">
        <v>1</v>
      </c>
      <c r="C349" s="4">
        <v>45480</v>
      </c>
      <c r="D349" s="4">
        <v>45486</v>
      </c>
      <c r="E349" t="s">
        <v>467</v>
      </c>
      <c r="F349" t="s">
        <v>468</v>
      </c>
      <c r="G349" t="s">
        <v>80</v>
      </c>
      <c r="H349" t="s">
        <v>23</v>
      </c>
      <c r="I349" t="s">
        <v>93</v>
      </c>
      <c r="J349" t="s">
        <v>1450</v>
      </c>
      <c r="K349" t="s">
        <v>1451</v>
      </c>
      <c r="L349" t="s">
        <v>1036</v>
      </c>
      <c r="M349" t="s">
        <v>1002</v>
      </c>
      <c r="N349" t="s">
        <v>1034</v>
      </c>
      <c r="O349" t="s">
        <v>1037</v>
      </c>
      <c r="P349" t="s">
        <v>42</v>
      </c>
      <c r="Q349" t="s">
        <v>43</v>
      </c>
      <c r="R349" t="s">
        <v>1088</v>
      </c>
      <c r="S349" t="s">
        <v>1156</v>
      </c>
      <c r="T349" s="5">
        <v>18</v>
      </c>
      <c r="U349" s="6">
        <v>230.92</v>
      </c>
      <c r="V349" s="6">
        <v>171.54</v>
      </c>
      <c r="W349" s="8">
        <v>0.30640000000000001</v>
      </c>
      <c r="X349" s="6">
        <f t="shared" si="25"/>
        <v>2882.9900159999997</v>
      </c>
      <c r="Y349" s="6">
        <f t="shared" si="26"/>
        <v>3087.72</v>
      </c>
      <c r="Z349" s="6">
        <f t="shared" si="27"/>
        <v>-204.72998400000006</v>
      </c>
      <c r="AA349" t="s">
        <v>679</v>
      </c>
      <c r="AC349" s="5"/>
      <c r="AD349" t="s">
        <v>1136</v>
      </c>
      <c r="AE349" t="str">
        <f t="shared" si="28"/>
        <v>2024-07</v>
      </c>
      <c r="AF349" t="str">
        <f t="shared" si="29"/>
        <v>Q3-2024</v>
      </c>
    </row>
    <row r="350" spans="1:32" x14ac:dyDescent="0.3">
      <c r="A350" t="s">
        <v>1602</v>
      </c>
      <c r="B350" s="5">
        <v>3</v>
      </c>
      <c r="C350" s="4">
        <v>45321</v>
      </c>
      <c r="D350" s="4">
        <v>45329</v>
      </c>
      <c r="E350" t="s">
        <v>379</v>
      </c>
      <c r="F350" t="s">
        <v>380</v>
      </c>
      <c r="G350" t="s">
        <v>104</v>
      </c>
      <c r="H350" t="s">
        <v>31</v>
      </c>
      <c r="I350" t="s">
        <v>127</v>
      </c>
      <c r="J350" t="s">
        <v>1116</v>
      </c>
      <c r="K350" t="s">
        <v>1117</v>
      </c>
      <c r="L350" t="s">
        <v>832</v>
      </c>
      <c r="M350" t="s">
        <v>795</v>
      </c>
      <c r="N350" t="s">
        <v>796</v>
      </c>
      <c r="O350" t="s">
        <v>833</v>
      </c>
      <c r="P350" t="s">
        <v>29</v>
      </c>
      <c r="Q350" t="s">
        <v>30</v>
      </c>
      <c r="R350" t="s">
        <v>1114</v>
      </c>
      <c r="S350" t="s">
        <v>1156</v>
      </c>
      <c r="T350" s="5">
        <v>9</v>
      </c>
      <c r="U350" s="6">
        <v>209.21</v>
      </c>
      <c r="V350" s="6">
        <v>161.80000000000001</v>
      </c>
      <c r="W350" s="8">
        <v>0</v>
      </c>
      <c r="X350" s="6">
        <f t="shared" si="25"/>
        <v>1882.89</v>
      </c>
      <c r="Y350" s="6">
        <f t="shared" si="26"/>
        <v>1456.2</v>
      </c>
      <c r="Z350" s="6">
        <f t="shared" si="27"/>
        <v>426.69000000000005</v>
      </c>
      <c r="AA350" t="s">
        <v>679</v>
      </c>
      <c r="AC350" s="5">
        <v>2</v>
      </c>
      <c r="AD350" t="s">
        <v>1090</v>
      </c>
      <c r="AE350" t="str">
        <f t="shared" si="28"/>
        <v>2024-01</v>
      </c>
      <c r="AF350" t="str">
        <f t="shared" si="29"/>
        <v>Q1-2024</v>
      </c>
    </row>
    <row r="351" spans="1:32" x14ac:dyDescent="0.3">
      <c r="A351" t="s">
        <v>1603</v>
      </c>
      <c r="B351" s="5">
        <v>4</v>
      </c>
      <c r="C351" s="4">
        <v>46002</v>
      </c>
      <c r="D351" s="4">
        <v>46011</v>
      </c>
      <c r="E351" t="s">
        <v>596</v>
      </c>
      <c r="F351" t="s">
        <v>355</v>
      </c>
      <c r="G351" t="s">
        <v>84</v>
      </c>
      <c r="H351" t="s">
        <v>41</v>
      </c>
      <c r="I351" t="s">
        <v>86</v>
      </c>
      <c r="J351" t="s">
        <v>1086</v>
      </c>
      <c r="K351" t="s">
        <v>1087</v>
      </c>
      <c r="L351" t="s">
        <v>857</v>
      </c>
      <c r="M351" t="s">
        <v>795</v>
      </c>
      <c r="N351" t="s">
        <v>837</v>
      </c>
      <c r="O351" t="s">
        <v>858</v>
      </c>
      <c r="P351" t="s">
        <v>17</v>
      </c>
      <c r="Q351" t="s">
        <v>18</v>
      </c>
      <c r="R351" t="s">
        <v>1088</v>
      </c>
      <c r="S351" t="s">
        <v>1100</v>
      </c>
      <c r="T351" s="5">
        <v>19</v>
      </c>
      <c r="U351" s="6">
        <v>202.44</v>
      </c>
      <c r="V351" s="6">
        <v>111.57</v>
      </c>
      <c r="W351" s="8">
        <v>0</v>
      </c>
      <c r="X351" s="6">
        <f t="shared" si="25"/>
        <v>3846.36</v>
      </c>
      <c r="Y351" s="6">
        <f t="shared" si="26"/>
        <v>2119.83</v>
      </c>
      <c r="Z351" s="6">
        <f t="shared" si="27"/>
        <v>1726.5300000000002</v>
      </c>
      <c r="AA351" t="s">
        <v>662</v>
      </c>
      <c r="AB351" t="s">
        <v>1122</v>
      </c>
      <c r="AC351" s="5">
        <v>3</v>
      </c>
      <c r="AD351" t="s">
        <v>1123</v>
      </c>
      <c r="AE351" t="str">
        <f t="shared" si="28"/>
        <v>2025-12</v>
      </c>
      <c r="AF351" t="str">
        <f t="shared" si="29"/>
        <v>Q4-2025</v>
      </c>
    </row>
    <row r="352" spans="1:32" x14ac:dyDescent="0.3">
      <c r="A352" t="s">
        <v>1604</v>
      </c>
      <c r="B352" s="5">
        <v>1</v>
      </c>
      <c r="C352" s="4">
        <v>45493</v>
      </c>
      <c r="D352" s="4">
        <v>45502</v>
      </c>
      <c r="E352" t="s">
        <v>389</v>
      </c>
      <c r="F352" t="s">
        <v>390</v>
      </c>
      <c r="G352" t="s">
        <v>84</v>
      </c>
      <c r="H352" t="s">
        <v>20</v>
      </c>
      <c r="I352" t="s">
        <v>71</v>
      </c>
      <c r="J352" t="s">
        <v>1166</v>
      </c>
      <c r="K352" t="s">
        <v>1196</v>
      </c>
      <c r="L352" t="s">
        <v>962</v>
      </c>
      <c r="M352" t="s">
        <v>929</v>
      </c>
      <c r="N352" t="s">
        <v>930</v>
      </c>
      <c r="O352" t="s">
        <v>963</v>
      </c>
      <c r="P352" t="s">
        <v>37</v>
      </c>
      <c r="Q352" t="s">
        <v>38</v>
      </c>
      <c r="R352" t="s">
        <v>1088</v>
      </c>
      <c r="S352" t="s">
        <v>1100</v>
      </c>
      <c r="T352" s="5">
        <v>7</v>
      </c>
      <c r="U352" s="6">
        <v>170.23</v>
      </c>
      <c r="V352" s="6">
        <v>108.41</v>
      </c>
      <c r="W352" s="8">
        <v>0</v>
      </c>
      <c r="X352" s="6">
        <f t="shared" si="25"/>
        <v>1191.6099999999999</v>
      </c>
      <c r="Y352" s="6">
        <f t="shared" si="26"/>
        <v>758.87</v>
      </c>
      <c r="Z352" s="6">
        <f t="shared" si="27"/>
        <v>432.7399999999999</v>
      </c>
      <c r="AA352" t="s">
        <v>679</v>
      </c>
      <c r="AC352" s="5"/>
      <c r="AD352" t="s">
        <v>1140</v>
      </c>
      <c r="AE352" t="str">
        <f t="shared" si="28"/>
        <v>2024-07</v>
      </c>
      <c r="AF352" t="str">
        <f t="shared" si="29"/>
        <v>Q3-2024</v>
      </c>
    </row>
    <row r="353" spans="1:32" x14ac:dyDescent="0.3">
      <c r="A353" t="s">
        <v>1605</v>
      </c>
      <c r="B353" s="5">
        <v>1</v>
      </c>
      <c r="C353" s="4">
        <v>45721</v>
      </c>
      <c r="D353" s="4">
        <v>45731</v>
      </c>
      <c r="E353" t="s">
        <v>352</v>
      </c>
      <c r="F353" t="s">
        <v>353</v>
      </c>
      <c r="G353" t="s">
        <v>74</v>
      </c>
      <c r="H353" t="s">
        <v>41</v>
      </c>
      <c r="I353" t="s">
        <v>75</v>
      </c>
      <c r="J353" t="s">
        <v>1142</v>
      </c>
      <c r="K353" t="s">
        <v>1205</v>
      </c>
      <c r="L353" t="s">
        <v>778</v>
      </c>
      <c r="M353" t="s">
        <v>659</v>
      </c>
      <c r="N353" t="s">
        <v>754</v>
      </c>
      <c r="O353" t="s">
        <v>779</v>
      </c>
      <c r="P353" t="s">
        <v>17</v>
      </c>
      <c r="Q353" t="s">
        <v>18</v>
      </c>
      <c r="R353" t="s">
        <v>1114</v>
      </c>
      <c r="S353" t="s">
        <v>1109</v>
      </c>
      <c r="T353" s="5">
        <v>18</v>
      </c>
      <c r="U353" s="6">
        <v>113.2</v>
      </c>
      <c r="V353" s="6">
        <v>73.75</v>
      </c>
      <c r="W353" s="8">
        <v>0.21640000000000001</v>
      </c>
      <c r="X353" s="6">
        <f t="shared" si="25"/>
        <v>1596.66336</v>
      </c>
      <c r="Y353" s="6">
        <f t="shared" si="26"/>
        <v>1327.5</v>
      </c>
      <c r="Z353" s="6">
        <f t="shared" si="27"/>
        <v>269.16336000000001</v>
      </c>
      <c r="AA353" t="s">
        <v>679</v>
      </c>
      <c r="AC353" s="5">
        <v>3</v>
      </c>
      <c r="AD353" t="s">
        <v>1136</v>
      </c>
      <c r="AE353" t="str">
        <f t="shared" si="28"/>
        <v>2025-03</v>
      </c>
      <c r="AF353" t="str">
        <f t="shared" si="29"/>
        <v>Q1-2025</v>
      </c>
    </row>
    <row r="354" spans="1:32" x14ac:dyDescent="0.3">
      <c r="A354" t="s">
        <v>1606</v>
      </c>
      <c r="B354" s="5">
        <v>2</v>
      </c>
      <c r="C354" s="4">
        <v>45770</v>
      </c>
      <c r="D354" s="4">
        <v>45783</v>
      </c>
      <c r="E354" t="s">
        <v>295</v>
      </c>
      <c r="F354" t="s">
        <v>296</v>
      </c>
      <c r="G354" t="s">
        <v>74</v>
      </c>
      <c r="H354" t="s">
        <v>20</v>
      </c>
      <c r="I354" t="s">
        <v>71</v>
      </c>
      <c r="J354" t="s">
        <v>1112</v>
      </c>
      <c r="K354" t="s">
        <v>1178</v>
      </c>
      <c r="L354" t="s">
        <v>873</v>
      </c>
      <c r="M354" t="s">
        <v>795</v>
      </c>
      <c r="N354" t="s">
        <v>837</v>
      </c>
      <c r="O354" t="s">
        <v>874</v>
      </c>
      <c r="P354" t="s">
        <v>17</v>
      </c>
      <c r="Q354" t="s">
        <v>18</v>
      </c>
      <c r="R354" t="s">
        <v>1114</v>
      </c>
      <c r="S354" t="s">
        <v>1156</v>
      </c>
      <c r="T354" s="5">
        <v>3</v>
      </c>
      <c r="U354" s="6">
        <v>193.85</v>
      </c>
      <c r="V354" s="6">
        <v>121.31</v>
      </c>
      <c r="W354" s="8">
        <v>0</v>
      </c>
      <c r="X354" s="6">
        <f t="shared" si="25"/>
        <v>581.54999999999995</v>
      </c>
      <c r="Y354" s="6">
        <f t="shared" si="26"/>
        <v>363.93</v>
      </c>
      <c r="Z354" s="6">
        <f t="shared" si="27"/>
        <v>217.61999999999995</v>
      </c>
      <c r="AA354" t="s">
        <v>679</v>
      </c>
      <c r="AC354" s="5">
        <v>4</v>
      </c>
      <c r="AD354" t="s">
        <v>1225</v>
      </c>
      <c r="AE354" t="str">
        <f t="shared" si="28"/>
        <v>2025-04</v>
      </c>
      <c r="AF354" t="str">
        <f t="shared" si="29"/>
        <v>Q2-2025</v>
      </c>
    </row>
    <row r="355" spans="1:32" x14ac:dyDescent="0.3">
      <c r="A355" t="s">
        <v>1607</v>
      </c>
      <c r="B355" s="5">
        <v>5</v>
      </c>
      <c r="C355" s="4">
        <v>45657</v>
      </c>
      <c r="D355" s="4">
        <v>45666</v>
      </c>
      <c r="E355" t="s">
        <v>100</v>
      </c>
      <c r="F355" t="s">
        <v>101</v>
      </c>
      <c r="G355" t="s">
        <v>74</v>
      </c>
      <c r="H355" t="s">
        <v>31</v>
      </c>
      <c r="I355" t="s">
        <v>160</v>
      </c>
      <c r="J355" t="s">
        <v>1092</v>
      </c>
      <c r="K355" t="s">
        <v>1135</v>
      </c>
      <c r="L355" t="s">
        <v>859</v>
      </c>
      <c r="M355" t="s">
        <v>795</v>
      </c>
      <c r="N355" t="s">
        <v>837</v>
      </c>
      <c r="O355" t="s">
        <v>860</v>
      </c>
      <c r="P355" t="s">
        <v>53</v>
      </c>
      <c r="Q355" t="s">
        <v>54</v>
      </c>
      <c r="R355" t="s">
        <v>1094</v>
      </c>
      <c r="S355" t="s">
        <v>1095</v>
      </c>
      <c r="T355" s="5">
        <v>10</v>
      </c>
      <c r="U355" s="6">
        <v>103.83</v>
      </c>
      <c r="V355" s="6">
        <v>61.5</v>
      </c>
      <c r="W355" s="8">
        <v>0.27310000000000001</v>
      </c>
      <c r="X355" s="6">
        <f t="shared" si="25"/>
        <v>754.74027000000001</v>
      </c>
      <c r="Y355" s="6">
        <f t="shared" si="26"/>
        <v>615</v>
      </c>
      <c r="Z355" s="6">
        <f t="shared" si="27"/>
        <v>139.74027000000001</v>
      </c>
      <c r="AA355" t="s">
        <v>679</v>
      </c>
      <c r="AC355" s="5">
        <v>2</v>
      </c>
      <c r="AD355" t="s">
        <v>1105</v>
      </c>
      <c r="AE355" t="str">
        <f t="shared" si="28"/>
        <v>2024-12</v>
      </c>
      <c r="AF355" t="str">
        <f t="shared" si="29"/>
        <v>Q4-2024</v>
      </c>
    </row>
    <row r="356" spans="1:32" x14ac:dyDescent="0.3">
      <c r="A356" t="s">
        <v>1608</v>
      </c>
      <c r="B356" s="5">
        <v>3</v>
      </c>
      <c r="C356" s="4">
        <v>45942</v>
      </c>
      <c r="D356" s="4">
        <v>45943</v>
      </c>
      <c r="E356" t="s">
        <v>403</v>
      </c>
      <c r="F356" t="s">
        <v>404</v>
      </c>
      <c r="G356" t="s">
        <v>84</v>
      </c>
      <c r="H356" t="s">
        <v>41</v>
      </c>
      <c r="I356" t="s">
        <v>86</v>
      </c>
      <c r="J356" t="s">
        <v>1107</v>
      </c>
      <c r="K356" t="s">
        <v>1230</v>
      </c>
      <c r="L356" t="s">
        <v>1060</v>
      </c>
      <c r="M356" t="s">
        <v>1002</v>
      </c>
      <c r="N356" t="s">
        <v>1034</v>
      </c>
      <c r="O356" t="s">
        <v>1061</v>
      </c>
      <c r="P356" t="s">
        <v>37</v>
      </c>
      <c r="Q356" t="s">
        <v>38</v>
      </c>
      <c r="R356" t="s">
        <v>1088</v>
      </c>
      <c r="S356" t="s">
        <v>1100</v>
      </c>
      <c r="T356" s="5">
        <v>5</v>
      </c>
      <c r="U356" s="6">
        <v>277.07</v>
      </c>
      <c r="V356" s="6">
        <v>144.19999999999999</v>
      </c>
      <c r="W356" s="8">
        <v>0</v>
      </c>
      <c r="X356" s="6">
        <f t="shared" si="25"/>
        <v>1385.35</v>
      </c>
      <c r="Y356" s="6">
        <f t="shared" si="26"/>
        <v>721</v>
      </c>
      <c r="Z356" s="6">
        <f t="shared" si="27"/>
        <v>664.34999999999991</v>
      </c>
      <c r="AA356" t="s">
        <v>679</v>
      </c>
      <c r="AC356" s="5"/>
      <c r="AD356" t="s">
        <v>1123</v>
      </c>
      <c r="AE356" t="str">
        <f t="shared" si="28"/>
        <v>2025-10</v>
      </c>
      <c r="AF356" t="str">
        <f t="shared" si="29"/>
        <v>Q4-2025</v>
      </c>
    </row>
    <row r="357" spans="1:32" x14ac:dyDescent="0.3">
      <c r="A357" t="s">
        <v>1609</v>
      </c>
      <c r="B357" s="5">
        <v>4</v>
      </c>
      <c r="C357" s="4">
        <v>45717</v>
      </c>
      <c r="D357" s="4">
        <v>45720</v>
      </c>
      <c r="E357" t="s">
        <v>309</v>
      </c>
      <c r="F357" t="s">
        <v>220</v>
      </c>
      <c r="G357" t="s">
        <v>74</v>
      </c>
      <c r="H357" t="s">
        <v>20</v>
      </c>
      <c r="I357" t="s">
        <v>71</v>
      </c>
      <c r="J357" t="s">
        <v>1166</v>
      </c>
      <c r="K357" t="s">
        <v>1167</v>
      </c>
      <c r="L357" t="s">
        <v>962</v>
      </c>
      <c r="M357" t="s">
        <v>929</v>
      </c>
      <c r="N357" t="s">
        <v>930</v>
      </c>
      <c r="O357" t="s">
        <v>963</v>
      </c>
      <c r="P357" t="s">
        <v>46</v>
      </c>
      <c r="Q357" t="s">
        <v>47</v>
      </c>
      <c r="R357" t="s">
        <v>1094</v>
      </c>
      <c r="S357" t="s">
        <v>1109</v>
      </c>
      <c r="T357" s="5">
        <v>18</v>
      </c>
      <c r="U357" s="6">
        <v>157.41</v>
      </c>
      <c r="V357" s="6">
        <v>108.41</v>
      </c>
      <c r="W357" s="8">
        <v>2.75E-2</v>
      </c>
      <c r="X357" s="6">
        <f t="shared" si="25"/>
        <v>2755.4620500000001</v>
      </c>
      <c r="Y357" s="6">
        <f t="shared" si="26"/>
        <v>1951.3799999999999</v>
      </c>
      <c r="Z357" s="6">
        <f t="shared" si="27"/>
        <v>804.08205000000021</v>
      </c>
      <c r="AA357" t="s">
        <v>679</v>
      </c>
      <c r="AC357" s="5"/>
      <c r="AD357" t="s">
        <v>1110</v>
      </c>
      <c r="AE357" t="str">
        <f t="shared" si="28"/>
        <v>2025-03</v>
      </c>
      <c r="AF357" t="str">
        <f t="shared" si="29"/>
        <v>Q1-2025</v>
      </c>
    </row>
    <row r="358" spans="1:32" x14ac:dyDescent="0.3">
      <c r="A358" t="s">
        <v>1610</v>
      </c>
      <c r="B358" s="5">
        <v>2</v>
      </c>
      <c r="C358" s="4">
        <v>45476</v>
      </c>
      <c r="D358" s="4">
        <v>45483</v>
      </c>
      <c r="E358" t="s">
        <v>285</v>
      </c>
      <c r="F358" t="s">
        <v>286</v>
      </c>
      <c r="G358" t="s">
        <v>74</v>
      </c>
      <c r="H358" t="s">
        <v>31</v>
      </c>
      <c r="I358" t="s">
        <v>67</v>
      </c>
      <c r="J358" t="s">
        <v>1304</v>
      </c>
      <c r="K358" t="s">
        <v>1305</v>
      </c>
      <c r="L358" t="s">
        <v>675</v>
      </c>
      <c r="M358" t="s">
        <v>659</v>
      </c>
      <c r="N358" t="s">
        <v>660</v>
      </c>
      <c r="O358" t="s">
        <v>676</v>
      </c>
      <c r="P358" t="s">
        <v>27</v>
      </c>
      <c r="Q358" t="s">
        <v>28</v>
      </c>
      <c r="R358" t="s">
        <v>1094</v>
      </c>
      <c r="S358" t="s">
        <v>1095</v>
      </c>
      <c r="T358" s="5">
        <v>21</v>
      </c>
      <c r="U358" s="6">
        <v>22.62</v>
      </c>
      <c r="V358" s="6">
        <v>15.14</v>
      </c>
      <c r="W358" s="8">
        <v>7.8399999999999997E-2</v>
      </c>
      <c r="X358" s="6">
        <f t="shared" si="25"/>
        <v>437.77843200000001</v>
      </c>
      <c r="Y358" s="6">
        <f t="shared" si="26"/>
        <v>317.94</v>
      </c>
      <c r="Z358" s="6">
        <f t="shared" si="27"/>
        <v>119.83843200000001</v>
      </c>
      <c r="AA358" t="s">
        <v>679</v>
      </c>
      <c r="AC358" s="5">
        <v>5</v>
      </c>
      <c r="AD358" t="s">
        <v>1136</v>
      </c>
      <c r="AE358" t="str">
        <f t="shared" si="28"/>
        <v>2024-07</v>
      </c>
      <c r="AF358" t="str">
        <f t="shared" si="29"/>
        <v>Q3-2024</v>
      </c>
    </row>
    <row r="359" spans="1:32" x14ac:dyDescent="0.3">
      <c r="A359" t="s">
        <v>1611</v>
      </c>
      <c r="B359" s="5">
        <v>2</v>
      </c>
      <c r="C359" s="4">
        <v>45770</v>
      </c>
      <c r="D359" s="4">
        <v>45781</v>
      </c>
      <c r="E359" t="s">
        <v>76</v>
      </c>
      <c r="F359" t="s">
        <v>77</v>
      </c>
      <c r="G359" t="s">
        <v>74</v>
      </c>
      <c r="H359" t="s">
        <v>23</v>
      </c>
      <c r="I359" t="s">
        <v>81</v>
      </c>
      <c r="J359" t="s">
        <v>1163</v>
      </c>
      <c r="K359" t="s">
        <v>1407</v>
      </c>
      <c r="L359" t="s">
        <v>908</v>
      </c>
      <c r="M359" t="s">
        <v>795</v>
      </c>
      <c r="N359" t="s">
        <v>898</v>
      </c>
      <c r="O359" t="s">
        <v>909</v>
      </c>
      <c r="P359" t="s">
        <v>50</v>
      </c>
      <c r="Q359" t="s">
        <v>51</v>
      </c>
      <c r="R359" t="s">
        <v>1088</v>
      </c>
      <c r="S359" t="s">
        <v>1089</v>
      </c>
      <c r="T359" s="5">
        <v>15</v>
      </c>
      <c r="U359" s="6">
        <v>277.93</v>
      </c>
      <c r="V359" s="6">
        <v>145.38</v>
      </c>
      <c r="W359" s="8">
        <v>0</v>
      </c>
      <c r="X359" s="6">
        <f t="shared" si="25"/>
        <v>4168.95</v>
      </c>
      <c r="Y359" s="6">
        <f t="shared" si="26"/>
        <v>2180.6999999999998</v>
      </c>
      <c r="Z359" s="6">
        <f t="shared" si="27"/>
        <v>1988.25</v>
      </c>
      <c r="AA359" t="s">
        <v>679</v>
      </c>
      <c r="AC359" s="5"/>
      <c r="AE359" t="str">
        <f t="shared" si="28"/>
        <v>2025-04</v>
      </c>
      <c r="AF359" t="str">
        <f t="shared" si="29"/>
        <v>Q2-2025</v>
      </c>
    </row>
    <row r="360" spans="1:32" x14ac:dyDescent="0.3">
      <c r="A360" t="s">
        <v>1612</v>
      </c>
      <c r="B360" s="5">
        <v>5</v>
      </c>
      <c r="C360" s="4">
        <v>45941</v>
      </c>
      <c r="D360" s="4">
        <v>45951</v>
      </c>
      <c r="E360" t="s">
        <v>209</v>
      </c>
      <c r="F360" t="s">
        <v>210</v>
      </c>
      <c r="G360" t="s">
        <v>65</v>
      </c>
      <c r="H360" t="s">
        <v>23</v>
      </c>
      <c r="I360" t="s">
        <v>93</v>
      </c>
      <c r="J360" t="s">
        <v>1103</v>
      </c>
      <c r="K360" t="s">
        <v>1613</v>
      </c>
      <c r="L360" t="s">
        <v>1058</v>
      </c>
      <c r="M360" t="s">
        <v>1002</v>
      </c>
      <c r="N360" t="s">
        <v>1034</v>
      </c>
      <c r="O360" t="s">
        <v>1059</v>
      </c>
      <c r="P360" t="s">
        <v>48</v>
      </c>
      <c r="Q360" t="s">
        <v>49</v>
      </c>
      <c r="R360" t="s">
        <v>1088</v>
      </c>
      <c r="S360" t="s">
        <v>1109</v>
      </c>
      <c r="T360" s="5">
        <v>11</v>
      </c>
      <c r="U360" s="6">
        <v>181.51</v>
      </c>
      <c r="V360" s="6">
        <v>102.47</v>
      </c>
      <c r="W360" s="8">
        <v>0</v>
      </c>
      <c r="X360" s="6">
        <f t="shared" si="25"/>
        <v>1996.61</v>
      </c>
      <c r="Y360" s="6">
        <f t="shared" si="26"/>
        <v>1127.17</v>
      </c>
      <c r="Z360" s="6">
        <f t="shared" si="27"/>
        <v>869.43999999999983</v>
      </c>
      <c r="AA360" t="s">
        <v>679</v>
      </c>
      <c r="AC360" s="5"/>
      <c r="AD360" t="s">
        <v>1123</v>
      </c>
      <c r="AE360" t="str">
        <f t="shared" si="28"/>
        <v>2025-10</v>
      </c>
      <c r="AF360" t="str">
        <f t="shared" si="29"/>
        <v>Q4-2025</v>
      </c>
    </row>
    <row r="361" spans="1:32" x14ac:dyDescent="0.3">
      <c r="A361" t="s">
        <v>1614</v>
      </c>
      <c r="B361" s="5">
        <v>2</v>
      </c>
      <c r="C361" s="4">
        <v>45563</v>
      </c>
      <c r="D361" s="4">
        <v>45568</v>
      </c>
      <c r="E361" t="s">
        <v>523</v>
      </c>
      <c r="F361" t="s">
        <v>524</v>
      </c>
      <c r="G361" t="s">
        <v>74</v>
      </c>
      <c r="H361" t="s">
        <v>31</v>
      </c>
      <c r="I361" t="s">
        <v>127</v>
      </c>
      <c r="J361" t="s">
        <v>1098</v>
      </c>
      <c r="K361" t="s">
        <v>1217</v>
      </c>
      <c r="L361" t="s">
        <v>806</v>
      </c>
      <c r="M361" t="s">
        <v>795</v>
      </c>
      <c r="N361" t="s">
        <v>796</v>
      </c>
      <c r="O361" t="s">
        <v>807</v>
      </c>
      <c r="P361" t="s">
        <v>42</v>
      </c>
      <c r="Q361" t="s">
        <v>43</v>
      </c>
      <c r="R361" t="s">
        <v>1088</v>
      </c>
      <c r="S361" t="s">
        <v>1109</v>
      </c>
      <c r="T361" s="5">
        <v>14</v>
      </c>
      <c r="U361" s="6">
        <v>143.4</v>
      </c>
      <c r="V361" s="6">
        <v>129.12</v>
      </c>
      <c r="W361" s="8">
        <v>0</v>
      </c>
      <c r="X361" s="6">
        <f t="shared" si="25"/>
        <v>2007.6000000000001</v>
      </c>
      <c r="Y361" s="6">
        <f t="shared" si="26"/>
        <v>1807.68</v>
      </c>
      <c r="Z361" s="6">
        <f t="shared" si="27"/>
        <v>199.92000000000007</v>
      </c>
      <c r="AA361" t="s">
        <v>679</v>
      </c>
      <c r="AC361" s="5"/>
      <c r="AD361" t="s">
        <v>1090</v>
      </c>
      <c r="AE361" t="str">
        <f t="shared" si="28"/>
        <v>2024-09</v>
      </c>
      <c r="AF361" t="str">
        <f t="shared" si="29"/>
        <v>Q3-2024</v>
      </c>
    </row>
    <row r="362" spans="1:32" x14ac:dyDescent="0.3">
      <c r="A362" t="s">
        <v>1615</v>
      </c>
      <c r="B362" s="5">
        <v>2</v>
      </c>
      <c r="C362" s="4">
        <v>45447</v>
      </c>
      <c r="D362" s="4">
        <v>45456</v>
      </c>
      <c r="E362" t="s">
        <v>467</v>
      </c>
      <c r="F362" t="s">
        <v>468</v>
      </c>
      <c r="G362" t="s">
        <v>80</v>
      </c>
      <c r="H362" t="s">
        <v>31</v>
      </c>
      <c r="I362" t="s">
        <v>160</v>
      </c>
      <c r="J362" t="s">
        <v>1125</v>
      </c>
      <c r="K362" t="s">
        <v>1386</v>
      </c>
      <c r="L362" t="s">
        <v>772</v>
      </c>
      <c r="M362" t="s">
        <v>659</v>
      </c>
      <c r="N362" t="s">
        <v>754</v>
      </c>
      <c r="O362" t="s">
        <v>773</v>
      </c>
      <c r="P362" t="s">
        <v>42</v>
      </c>
      <c r="Q362" t="s">
        <v>43</v>
      </c>
      <c r="R362" t="s">
        <v>1088</v>
      </c>
      <c r="S362" t="s">
        <v>1156</v>
      </c>
      <c r="T362" s="5">
        <v>7</v>
      </c>
      <c r="U362" s="6">
        <v>119.28</v>
      </c>
      <c r="V362" s="6">
        <v>96.88</v>
      </c>
      <c r="W362" s="8">
        <v>0.34870000000000001</v>
      </c>
      <c r="X362" s="6">
        <f t="shared" si="25"/>
        <v>543.80944799999997</v>
      </c>
      <c r="Y362" s="6">
        <f t="shared" si="26"/>
        <v>678.16</v>
      </c>
      <c r="Z362" s="6">
        <f t="shared" si="27"/>
        <v>-134.35055199999999</v>
      </c>
      <c r="AA362" t="s">
        <v>679</v>
      </c>
      <c r="AC362" s="5">
        <v>3</v>
      </c>
      <c r="AD362" t="s">
        <v>1110</v>
      </c>
      <c r="AE362" t="str">
        <f t="shared" si="28"/>
        <v>2024-06</v>
      </c>
      <c r="AF362" t="str">
        <f t="shared" si="29"/>
        <v>Q2-2024</v>
      </c>
    </row>
    <row r="363" spans="1:32" x14ac:dyDescent="0.3">
      <c r="A363" t="s">
        <v>1616</v>
      </c>
      <c r="B363" s="5">
        <v>5</v>
      </c>
      <c r="C363" s="4">
        <v>45680</v>
      </c>
      <c r="D363" s="4">
        <v>45686</v>
      </c>
      <c r="E363" t="s">
        <v>561</v>
      </c>
      <c r="F363" t="s">
        <v>562</v>
      </c>
      <c r="G363" t="s">
        <v>74</v>
      </c>
      <c r="H363" t="s">
        <v>20</v>
      </c>
      <c r="I363" t="s">
        <v>71</v>
      </c>
      <c r="J363" t="s">
        <v>1112</v>
      </c>
      <c r="K363" t="s">
        <v>1113</v>
      </c>
      <c r="L363" t="s">
        <v>914</v>
      </c>
      <c r="M363" t="s">
        <v>795</v>
      </c>
      <c r="N363" t="s">
        <v>898</v>
      </c>
      <c r="O363" t="s">
        <v>915</v>
      </c>
      <c r="P363" t="s">
        <v>53</v>
      </c>
      <c r="Q363" t="s">
        <v>54</v>
      </c>
      <c r="R363" t="s">
        <v>1088</v>
      </c>
      <c r="S363" t="s">
        <v>1156</v>
      </c>
      <c r="T363" s="5">
        <v>2</v>
      </c>
      <c r="U363" s="6">
        <v>200.63</v>
      </c>
      <c r="V363" s="6">
        <v>105.78</v>
      </c>
      <c r="W363" s="8">
        <v>0</v>
      </c>
      <c r="X363" s="6">
        <f t="shared" si="25"/>
        <v>401.26</v>
      </c>
      <c r="Y363" s="6">
        <f t="shared" si="26"/>
        <v>211.56</v>
      </c>
      <c r="Z363" s="6">
        <f t="shared" si="27"/>
        <v>189.7</v>
      </c>
      <c r="AA363" t="s">
        <v>679</v>
      </c>
      <c r="AC363" s="5">
        <v>4</v>
      </c>
      <c r="AD363" t="s">
        <v>1096</v>
      </c>
      <c r="AE363" t="str">
        <f t="shared" si="28"/>
        <v>2025-01</v>
      </c>
      <c r="AF363" t="str">
        <f t="shared" si="29"/>
        <v>Q1-2025</v>
      </c>
    </row>
    <row r="364" spans="1:32" x14ac:dyDescent="0.3">
      <c r="A364" t="s">
        <v>1617</v>
      </c>
      <c r="B364" s="5">
        <v>5</v>
      </c>
      <c r="C364" s="4">
        <v>45530</v>
      </c>
      <c r="D364" s="4">
        <v>45541</v>
      </c>
      <c r="E364" t="s">
        <v>113</v>
      </c>
      <c r="F364" t="s">
        <v>114</v>
      </c>
      <c r="G364" t="s">
        <v>104</v>
      </c>
      <c r="H364" t="s">
        <v>41</v>
      </c>
      <c r="I364" t="s">
        <v>86</v>
      </c>
      <c r="J364" t="s">
        <v>1107</v>
      </c>
      <c r="K364" t="s">
        <v>1108</v>
      </c>
      <c r="L364" t="s">
        <v>696</v>
      </c>
      <c r="M364" t="s">
        <v>659</v>
      </c>
      <c r="N364" t="s">
        <v>660</v>
      </c>
      <c r="O364" t="s">
        <v>697</v>
      </c>
      <c r="P364" t="s">
        <v>29</v>
      </c>
      <c r="Q364" t="s">
        <v>30</v>
      </c>
      <c r="R364" t="s">
        <v>1094</v>
      </c>
      <c r="S364" t="s">
        <v>1156</v>
      </c>
      <c r="T364" s="5">
        <v>25</v>
      </c>
      <c r="U364" s="6">
        <v>92.66</v>
      </c>
      <c r="V364" s="6">
        <v>66.25</v>
      </c>
      <c r="W364" s="8">
        <v>0</v>
      </c>
      <c r="X364" s="6">
        <f t="shared" si="25"/>
        <v>2316.5</v>
      </c>
      <c r="Y364" s="6">
        <f t="shared" si="26"/>
        <v>1656.25</v>
      </c>
      <c r="Z364" s="6">
        <f t="shared" si="27"/>
        <v>660.25</v>
      </c>
      <c r="AA364" t="s">
        <v>679</v>
      </c>
      <c r="AC364" s="5">
        <v>2</v>
      </c>
      <c r="AD364" t="s">
        <v>1148</v>
      </c>
      <c r="AE364" t="str">
        <f t="shared" si="28"/>
        <v>2024-08</v>
      </c>
      <c r="AF364" t="str">
        <f t="shared" si="29"/>
        <v>Q3-2024</v>
      </c>
    </row>
    <row r="365" spans="1:32" x14ac:dyDescent="0.3">
      <c r="A365" t="s">
        <v>1618</v>
      </c>
      <c r="B365" s="5">
        <v>1</v>
      </c>
      <c r="C365" s="4">
        <v>45920</v>
      </c>
      <c r="D365" s="4">
        <v>45924</v>
      </c>
      <c r="E365" t="s">
        <v>176</v>
      </c>
      <c r="F365" t="s">
        <v>177</v>
      </c>
      <c r="G365" t="s">
        <v>84</v>
      </c>
      <c r="H365" t="s">
        <v>20</v>
      </c>
      <c r="I365" t="s">
        <v>71</v>
      </c>
      <c r="J365" t="s">
        <v>1166</v>
      </c>
      <c r="K365" t="s">
        <v>1436</v>
      </c>
      <c r="L365" t="s">
        <v>936</v>
      </c>
      <c r="M365" t="s">
        <v>929</v>
      </c>
      <c r="N365" t="s">
        <v>930</v>
      </c>
      <c r="O365" t="s">
        <v>937</v>
      </c>
      <c r="P365" t="s">
        <v>29</v>
      </c>
      <c r="Q365" t="s">
        <v>30</v>
      </c>
      <c r="R365" t="s">
        <v>1088</v>
      </c>
      <c r="S365" t="s">
        <v>1109</v>
      </c>
      <c r="T365" s="5">
        <v>17</v>
      </c>
      <c r="U365" s="6">
        <v>182.39</v>
      </c>
      <c r="V365" s="6">
        <v>133.72</v>
      </c>
      <c r="W365" s="8">
        <v>0</v>
      </c>
      <c r="X365" s="6">
        <f t="shared" si="25"/>
        <v>3100.6299999999997</v>
      </c>
      <c r="Y365" s="6">
        <f t="shared" si="26"/>
        <v>2273.2399999999998</v>
      </c>
      <c r="Z365" s="6">
        <f t="shared" si="27"/>
        <v>827.38999999999987</v>
      </c>
      <c r="AA365" t="s">
        <v>679</v>
      </c>
      <c r="AC365" s="5">
        <v>1</v>
      </c>
      <c r="AD365" t="s">
        <v>1225</v>
      </c>
      <c r="AE365" t="str">
        <f t="shared" si="28"/>
        <v>2025-09</v>
      </c>
      <c r="AF365" t="str">
        <f t="shared" si="29"/>
        <v>Q3-2025</v>
      </c>
    </row>
    <row r="366" spans="1:32" x14ac:dyDescent="0.3">
      <c r="A366" t="s">
        <v>1619</v>
      </c>
      <c r="B366" s="5">
        <v>5</v>
      </c>
      <c r="C366" s="4">
        <v>45795</v>
      </c>
      <c r="D366" s="4">
        <v>45799</v>
      </c>
      <c r="E366" t="s">
        <v>645</v>
      </c>
      <c r="F366" t="s">
        <v>646</v>
      </c>
      <c r="G366" t="s">
        <v>84</v>
      </c>
      <c r="H366" t="s">
        <v>41</v>
      </c>
      <c r="I366" t="s">
        <v>86</v>
      </c>
      <c r="J366" t="s">
        <v>1107</v>
      </c>
      <c r="K366" t="s">
        <v>1108</v>
      </c>
      <c r="L366" t="s">
        <v>762</v>
      </c>
      <c r="M366" t="s">
        <v>659</v>
      </c>
      <c r="N366" t="s">
        <v>754</v>
      </c>
      <c r="O366" t="s">
        <v>763</v>
      </c>
      <c r="P366" t="s">
        <v>42</v>
      </c>
      <c r="Q366" t="s">
        <v>43</v>
      </c>
      <c r="R366" t="s">
        <v>1114</v>
      </c>
      <c r="S366" t="s">
        <v>1156</v>
      </c>
      <c r="T366" s="5">
        <v>26</v>
      </c>
      <c r="U366" s="6">
        <v>6.74</v>
      </c>
      <c r="V366" s="6">
        <v>5</v>
      </c>
      <c r="W366" s="8">
        <v>7.8299999999999995E-2</v>
      </c>
      <c r="X366" s="6">
        <f t="shared" si="25"/>
        <v>161.518708</v>
      </c>
      <c r="Y366" s="6">
        <f t="shared" si="26"/>
        <v>130</v>
      </c>
      <c r="Z366" s="6">
        <f t="shared" si="27"/>
        <v>31.518708000000004</v>
      </c>
      <c r="AA366" t="s">
        <v>679</v>
      </c>
      <c r="AC366" s="5">
        <v>3</v>
      </c>
      <c r="AD366" t="s">
        <v>1140</v>
      </c>
      <c r="AE366" t="str">
        <f t="shared" si="28"/>
        <v>2025-05</v>
      </c>
      <c r="AF366" t="str">
        <f t="shared" si="29"/>
        <v>Q2-2025</v>
      </c>
    </row>
    <row r="367" spans="1:32" x14ac:dyDescent="0.3">
      <c r="A367" t="s">
        <v>1620</v>
      </c>
      <c r="B367" s="5">
        <v>3</v>
      </c>
      <c r="C367" s="4">
        <v>45991</v>
      </c>
      <c r="D367" s="4">
        <v>45999</v>
      </c>
      <c r="E367" t="s">
        <v>519</v>
      </c>
      <c r="F367" t="s">
        <v>520</v>
      </c>
      <c r="G367" t="s">
        <v>74</v>
      </c>
      <c r="H367" t="s">
        <v>23</v>
      </c>
      <c r="I367" t="s">
        <v>93</v>
      </c>
      <c r="J367" t="s">
        <v>1192</v>
      </c>
      <c r="K367" t="s">
        <v>1227</v>
      </c>
      <c r="L367" t="s">
        <v>828</v>
      </c>
      <c r="M367" t="s">
        <v>795</v>
      </c>
      <c r="N367" t="s">
        <v>796</v>
      </c>
      <c r="O367" t="s">
        <v>829</v>
      </c>
      <c r="P367" t="s">
        <v>53</v>
      </c>
      <c r="Q367" t="s">
        <v>54</v>
      </c>
      <c r="R367" t="s">
        <v>126</v>
      </c>
      <c r="S367" t="s">
        <v>1095</v>
      </c>
      <c r="T367" s="5">
        <v>5</v>
      </c>
      <c r="U367" s="6">
        <v>180.6</v>
      </c>
      <c r="V367" s="6">
        <v>151.4</v>
      </c>
      <c r="W367" s="8">
        <v>0</v>
      </c>
      <c r="X367" s="6">
        <f t="shared" si="25"/>
        <v>903</v>
      </c>
      <c r="Y367" s="6">
        <f t="shared" si="26"/>
        <v>757</v>
      </c>
      <c r="Z367" s="6">
        <f t="shared" si="27"/>
        <v>146</v>
      </c>
      <c r="AA367" t="s">
        <v>679</v>
      </c>
      <c r="AC367" s="5">
        <v>2</v>
      </c>
      <c r="AD367" t="s">
        <v>1148</v>
      </c>
      <c r="AE367" t="str">
        <f t="shared" si="28"/>
        <v>2025-11</v>
      </c>
      <c r="AF367" t="str">
        <f t="shared" si="29"/>
        <v>Q4-2025</v>
      </c>
    </row>
    <row r="368" spans="1:32" x14ac:dyDescent="0.3">
      <c r="A368" t="s">
        <v>1621</v>
      </c>
      <c r="B368" s="5">
        <v>5</v>
      </c>
      <c r="C368" s="4">
        <v>45780</v>
      </c>
      <c r="D368" s="4">
        <v>45781</v>
      </c>
      <c r="E368" t="s">
        <v>295</v>
      </c>
      <c r="F368" t="s">
        <v>296</v>
      </c>
      <c r="G368" t="s">
        <v>74</v>
      </c>
      <c r="H368" t="s">
        <v>20</v>
      </c>
      <c r="I368" t="s">
        <v>112</v>
      </c>
      <c r="J368" t="s">
        <v>1201</v>
      </c>
      <c r="K368" t="s">
        <v>1202</v>
      </c>
      <c r="L368" t="s">
        <v>869</v>
      </c>
      <c r="M368" t="s">
        <v>795</v>
      </c>
      <c r="N368" t="s">
        <v>837</v>
      </c>
      <c r="O368" t="s">
        <v>870</v>
      </c>
      <c r="P368" t="s">
        <v>48</v>
      </c>
      <c r="Q368" t="s">
        <v>49</v>
      </c>
      <c r="R368" t="s">
        <v>1088</v>
      </c>
      <c r="S368" t="s">
        <v>1109</v>
      </c>
      <c r="T368" s="5">
        <v>20</v>
      </c>
      <c r="U368" s="6">
        <v>194.68</v>
      </c>
      <c r="V368" s="6">
        <v>107.53</v>
      </c>
      <c r="W368" s="8">
        <v>0.17630000000000001</v>
      </c>
      <c r="X368" s="6">
        <f t="shared" si="25"/>
        <v>3207.1583200000005</v>
      </c>
      <c r="Y368" s="6">
        <f t="shared" si="26"/>
        <v>2150.6</v>
      </c>
      <c r="Z368" s="6">
        <f t="shared" si="27"/>
        <v>1056.5583200000005</v>
      </c>
      <c r="AA368" t="s">
        <v>679</v>
      </c>
      <c r="AC368" s="5">
        <v>3</v>
      </c>
      <c r="AD368" t="s">
        <v>1090</v>
      </c>
      <c r="AE368" t="str">
        <f t="shared" si="28"/>
        <v>2025-05</v>
      </c>
      <c r="AF368" t="str">
        <f t="shared" si="29"/>
        <v>Q2-2025</v>
      </c>
    </row>
    <row r="369" spans="1:32" x14ac:dyDescent="0.3">
      <c r="A369" t="s">
        <v>1622</v>
      </c>
      <c r="B369" s="5">
        <v>3</v>
      </c>
      <c r="C369" s="4">
        <v>45445</v>
      </c>
      <c r="D369" s="4">
        <v>45449</v>
      </c>
      <c r="E369" t="s">
        <v>440</v>
      </c>
      <c r="F369" t="s">
        <v>220</v>
      </c>
      <c r="G369" t="s">
        <v>65</v>
      </c>
      <c r="H369" t="s">
        <v>31</v>
      </c>
      <c r="I369" t="s">
        <v>127</v>
      </c>
      <c r="J369" t="s">
        <v>1098</v>
      </c>
      <c r="K369" t="s">
        <v>1099</v>
      </c>
      <c r="L369" t="s">
        <v>958</v>
      </c>
      <c r="M369" t="s">
        <v>929</v>
      </c>
      <c r="N369" t="s">
        <v>930</v>
      </c>
      <c r="O369" t="s">
        <v>959</v>
      </c>
      <c r="P369" t="s">
        <v>34</v>
      </c>
      <c r="Q369" t="s">
        <v>35</v>
      </c>
      <c r="R369" t="s">
        <v>1114</v>
      </c>
      <c r="S369" t="s">
        <v>1109</v>
      </c>
      <c r="T369" s="5">
        <v>11</v>
      </c>
      <c r="U369" s="6">
        <v>188.9</v>
      </c>
      <c r="V369" s="6">
        <v>114.63</v>
      </c>
      <c r="W369" s="8">
        <v>0</v>
      </c>
      <c r="X369" s="6">
        <f t="shared" si="25"/>
        <v>2077.9</v>
      </c>
      <c r="Y369" s="6">
        <f t="shared" si="26"/>
        <v>1260.9299999999998</v>
      </c>
      <c r="Z369" s="6">
        <f t="shared" si="27"/>
        <v>816.97000000000025</v>
      </c>
      <c r="AA369" t="s">
        <v>679</v>
      </c>
      <c r="AC369" s="5">
        <v>3</v>
      </c>
      <c r="AD369" t="s">
        <v>1252</v>
      </c>
      <c r="AE369" t="str">
        <f t="shared" si="28"/>
        <v>2024-06</v>
      </c>
      <c r="AF369" t="str">
        <f t="shared" si="29"/>
        <v>Q2-2024</v>
      </c>
    </row>
    <row r="370" spans="1:32" x14ac:dyDescent="0.3">
      <c r="A370" t="s">
        <v>1623</v>
      </c>
      <c r="B370" s="5">
        <v>3</v>
      </c>
      <c r="C370" s="4">
        <v>45868</v>
      </c>
      <c r="D370" s="4">
        <v>45876</v>
      </c>
      <c r="E370" t="s">
        <v>301</v>
      </c>
      <c r="F370" t="s">
        <v>302</v>
      </c>
      <c r="G370" t="s">
        <v>84</v>
      </c>
      <c r="H370" t="s">
        <v>41</v>
      </c>
      <c r="I370" t="s">
        <v>75</v>
      </c>
      <c r="J370" t="s">
        <v>1142</v>
      </c>
      <c r="K370" t="s">
        <v>1205</v>
      </c>
      <c r="L370" t="s">
        <v>788</v>
      </c>
      <c r="M370" t="s">
        <v>659</v>
      </c>
      <c r="N370" t="s">
        <v>754</v>
      </c>
      <c r="O370" t="s">
        <v>789</v>
      </c>
      <c r="P370" t="s">
        <v>24</v>
      </c>
      <c r="Q370" t="s">
        <v>25</v>
      </c>
      <c r="R370" t="s">
        <v>1088</v>
      </c>
      <c r="S370" t="s">
        <v>1095</v>
      </c>
      <c r="T370" s="5">
        <v>24</v>
      </c>
      <c r="U370" s="6">
        <v>66.34</v>
      </c>
      <c r="V370" s="6">
        <v>46.29</v>
      </c>
      <c r="W370" s="8">
        <v>3.5200000000000002E-2</v>
      </c>
      <c r="X370" s="6">
        <f t="shared" si="25"/>
        <v>1536.1159680000001</v>
      </c>
      <c r="Y370" s="6">
        <f t="shared" si="26"/>
        <v>1110.96</v>
      </c>
      <c r="Z370" s="6">
        <f t="shared" si="27"/>
        <v>425.15596800000003</v>
      </c>
      <c r="AA370" t="s">
        <v>679</v>
      </c>
      <c r="AC370" s="5">
        <v>4</v>
      </c>
      <c r="AD370" t="s">
        <v>1148</v>
      </c>
      <c r="AE370" t="str">
        <f t="shared" si="28"/>
        <v>2025-07</v>
      </c>
      <c r="AF370" t="str">
        <f t="shared" si="29"/>
        <v>Q3-2025</v>
      </c>
    </row>
    <row r="371" spans="1:32" x14ac:dyDescent="0.3">
      <c r="A371" t="s">
        <v>1624</v>
      </c>
      <c r="B371" s="5">
        <v>4</v>
      </c>
      <c r="C371" s="4">
        <v>45357</v>
      </c>
      <c r="D371" s="4">
        <v>45358</v>
      </c>
      <c r="E371" t="s">
        <v>428</v>
      </c>
      <c r="F371" t="s">
        <v>429</v>
      </c>
      <c r="G371" t="s">
        <v>104</v>
      </c>
      <c r="H371" t="s">
        <v>31</v>
      </c>
      <c r="I371" t="s">
        <v>160</v>
      </c>
      <c r="J371" t="s">
        <v>1092</v>
      </c>
      <c r="K371" t="s">
        <v>1093</v>
      </c>
      <c r="L371" t="s">
        <v>810</v>
      </c>
      <c r="M371" t="s">
        <v>795</v>
      </c>
      <c r="N371" t="s">
        <v>796</v>
      </c>
      <c r="O371" t="s">
        <v>811</v>
      </c>
      <c r="P371" t="s">
        <v>21</v>
      </c>
      <c r="Q371" t="s">
        <v>22</v>
      </c>
      <c r="R371" t="s">
        <v>1094</v>
      </c>
      <c r="S371" t="s">
        <v>1089</v>
      </c>
      <c r="T371" s="5">
        <v>3</v>
      </c>
      <c r="U371" s="6">
        <v>247.36</v>
      </c>
      <c r="V371" s="6">
        <v>141.55000000000001</v>
      </c>
      <c r="W371" s="8">
        <v>0</v>
      </c>
      <c r="X371" s="6">
        <f t="shared" si="25"/>
        <v>742.08</v>
      </c>
      <c r="Y371" s="6">
        <f t="shared" si="26"/>
        <v>424.65000000000003</v>
      </c>
      <c r="Z371" s="6">
        <f t="shared" si="27"/>
        <v>317.43</v>
      </c>
      <c r="AA371" t="s">
        <v>679</v>
      </c>
      <c r="AC371" s="5">
        <v>3</v>
      </c>
      <c r="AD371" t="s">
        <v>1096</v>
      </c>
      <c r="AE371" t="str">
        <f t="shared" si="28"/>
        <v>2024-03</v>
      </c>
      <c r="AF371" t="str">
        <f t="shared" si="29"/>
        <v>Q1-2024</v>
      </c>
    </row>
    <row r="372" spans="1:32" x14ac:dyDescent="0.3">
      <c r="A372" t="s">
        <v>1625</v>
      </c>
      <c r="B372" s="5">
        <v>5</v>
      </c>
      <c r="C372" s="4">
        <v>45840</v>
      </c>
      <c r="D372" s="4">
        <v>45853</v>
      </c>
      <c r="E372" t="s">
        <v>100</v>
      </c>
      <c r="F372" t="s">
        <v>101</v>
      </c>
      <c r="G372" t="s">
        <v>74</v>
      </c>
      <c r="H372" t="s">
        <v>20</v>
      </c>
      <c r="I372" t="s">
        <v>90</v>
      </c>
      <c r="J372" t="s">
        <v>1262</v>
      </c>
      <c r="K372" t="s">
        <v>1263</v>
      </c>
      <c r="L372" t="s">
        <v>895</v>
      </c>
      <c r="M372" t="s">
        <v>795</v>
      </c>
      <c r="N372" t="s">
        <v>837</v>
      </c>
      <c r="O372" t="s">
        <v>896</v>
      </c>
      <c r="P372" t="s">
        <v>46</v>
      </c>
      <c r="Q372" t="s">
        <v>47</v>
      </c>
      <c r="R372" t="s">
        <v>1114</v>
      </c>
      <c r="S372" t="s">
        <v>1109</v>
      </c>
      <c r="T372" s="5">
        <v>13</v>
      </c>
      <c r="U372" s="6">
        <v>151.91</v>
      </c>
      <c r="V372" s="6">
        <v>131.16</v>
      </c>
      <c r="W372" s="8">
        <v>0</v>
      </c>
      <c r="X372" s="6">
        <f t="shared" si="25"/>
        <v>1974.83</v>
      </c>
      <c r="Y372" s="6">
        <f t="shared" si="26"/>
        <v>1705.08</v>
      </c>
      <c r="Z372" s="6">
        <f t="shared" si="27"/>
        <v>269.75</v>
      </c>
      <c r="AA372" t="s">
        <v>679</v>
      </c>
      <c r="AC372" s="5">
        <v>1</v>
      </c>
      <c r="AD372" t="s">
        <v>1184</v>
      </c>
      <c r="AE372" t="str">
        <f t="shared" si="28"/>
        <v>2025-07</v>
      </c>
      <c r="AF372" t="str">
        <f t="shared" si="29"/>
        <v>Q3-2025</v>
      </c>
    </row>
    <row r="373" spans="1:32" x14ac:dyDescent="0.3">
      <c r="A373" t="s">
        <v>1626</v>
      </c>
      <c r="B373" s="5">
        <v>4</v>
      </c>
      <c r="C373" s="4">
        <v>45346</v>
      </c>
      <c r="D373" s="4">
        <v>45359</v>
      </c>
      <c r="E373" t="s">
        <v>586</v>
      </c>
      <c r="F373" t="s">
        <v>587</v>
      </c>
      <c r="G373" t="s">
        <v>80</v>
      </c>
      <c r="H373" t="s">
        <v>31</v>
      </c>
      <c r="I373" t="s">
        <v>67</v>
      </c>
      <c r="J373" t="s">
        <v>1207</v>
      </c>
      <c r="K373" t="s">
        <v>1208</v>
      </c>
      <c r="L373" t="s">
        <v>677</v>
      </c>
      <c r="M373" t="s">
        <v>659</v>
      </c>
      <c r="N373" t="s">
        <v>660</v>
      </c>
      <c r="O373" t="s">
        <v>678</v>
      </c>
      <c r="P373" t="s">
        <v>39</v>
      </c>
      <c r="Q373" t="s">
        <v>40</v>
      </c>
      <c r="R373" t="s">
        <v>1114</v>
      </c>
      <c r="S373" t="s">
        <v>1109</v>
      </c>
      <c r="T373" s="5">
        <v>15</v>
      </c>
      <c r="U373" s="6">
        <v>77.61</v>
      </c>
      <c r="V373" s="6">
        <v>53.6</v>
      </c>
      <c r="W373" s="8">
        <v>0</v>
      </c>
      <c r="X373" s="6">
        <f t="shared" si="25"/>
        <v>1164.1500000000001</v>
      </c>
      <c r="Y373" s="6">
        <f t="shared" si="26"/>
        <v>804</v>
      </c>
      <c r="Z373" s="6">
        <f t="shared" si="27"/>
        <v>360.15000000000009</v>
      </c>
      <c r="AA373" t="s">
        <v>679</v>
      </c>
      <c r="AC373" s="5"/>
      <c r="AD373" t="s">
        <v>1123</v>
      </c>
      <c r="AE373" t="str">
        <f t="shared" si="28"/>
        <v>2024-02</v>
      </c>
      <c r="AF373" t="str">
        <f t="shared" si="29"/>
        <v>Q1-2024</v>
      </c>
    </row>
    <row r="374" spans="1:32" x14ac:dyDescent="0.3">
      <c r="A374" t="s">
        <v>1627</v>
      </c>
      <c r="B374" s="5">
        <v>2</v>
      </c>
      <c r="C374" s="4">
        <v>45371</v>
      </c>
      <c r="D374" s="4">
        <v>45383</v>
      </c>
      <c r="E374" t="s">
        <v>362</v>
      </c>
      <c r="F374" t="s">
        <v>363</v>
      </c>
      <c r="G374" t="s">
        <v>80</v>
      </c>
      <c r="H374" t="s">
        <v>41</v>
      </c>
      <c r="I374" t="s">
        <v>75</v>
      </c>
      <c r="J374" t="s">
        <v>1142</v>
      </c>
      <c r="K374" t="s">
        <v>1143</v>
      </c>
      <c r="L374" t="s">
        <v>834</v>
      </c>
      <c r="M374" t="s">
        <v>795</v>
      </c>
      <c r="N374" t="s">
        <v>796</v>
      </c>
      <c r="O374" t="s">
        <v>835</v>
      </c>
      <c r="P374" t="s">
        <v>21</v>
      </c>
      <c r="Q374" t="s">
        <v>22</v>
      </c>
      <c r="R374" t="s">
        <v>1088</v>
      </c>
      <c r="S374" t="s">
        <v>1156</v>
      </c>
      <c r="T374" s="5">
        <v>12</v>
      </c>
      <c r="U374" s="6">
        <v>255.61</v>
      </c>
      <c r="V374" s="6">
        <v>141.69999999999999</v>
      </c>
      <c r="W374" s="8">
        <v>0</v>
      </c>
      <c r="X374" s="6">
        <f t="shared" si="25"/>
        <v>3067.32</v>
      </c>
      <c r="Y374" s="6">
        <f t="shared" si="26"/>
        <v>1700.3999999999999</v>
      </c>
      <c r="Z374" s="6">
        <f t="shared" si="27"/>
        <v>1366.9200000000003</v>
      </c>
      <c r="AA374" t="s">
        <v>679</v>
      </c>
      <c r="AC374" s="5">
        <v>5</v>
      </c>
      <c r="AD374" t="s">
        <v>1369</v>
      </c>
      <c r="AE374" t="str">
        <f t="shared" si="28"/>
        <v>2024-03</v>
      </c>
      <c r="AF374" t="str">
        <f t="shared" si="29"/>
        <v>Q1-2024</v>
      </c>
    </row>
    <row r="375" spans="1:32" x14ac:dyDescent="0.3">
      <c r="A375" t="s">
        <v>1628</v>
      </c>
      <c r="B375" s="5">
        <v>2</v>
      </c>
      <c r="C375" s="4">
        <v>45562</v>
      </c>
      <c r="D375" s="4">
        <v>45575</v>
      </c>
      <c r="E375" t="s">
        <v>412</v>
      </c>
      <c r="F375" t="s">
        <v>413</v>
      </c>
      <c r="G375" t="s">
        <v>74</v>
      </c>
      <c r="H375" t="s">
        <v>41</v>
      </c>
      <c r="I375" t="s">
        <v>86</v>
      </c>
      <c r="J375" t="s">
        <v>1107</v>
      </c>
      <c r="K375" t="s">
        <v>1108</v>
      </c>
      <c r="L375" t="s">
        <v>964</v>
      </c>
      <c r="M375" t="s">
        <v>929</v>
      </c>
      <c r="N375" t="s">
        <v>930</v>
      </c>
      <c r="O375" t="s">
        <v>965</v>
      </c>
      <c r="P375" t="s">
        <v>24</v>
      </c>
      <c r="Q375" t="s">
        <v>25</v>
      </c>
      <c r="R375" t="s">
        <v>1088</v>
      </c>
      <c r="S375" t="s">
        <v>1109</v>
      </c>
      <c r="T375" s="5">
        <v>8</v>
      </c>
      <c r="U375" s="6">
        <v>184.61</v>
      </c>
      <c r="V375" s="6">
        <v>101.47</v>
      </c>
      <c r="W375" s="8">
        <v>0</v>
      </c>
      <c r="X375" s="6">
        <f t="shared" si="25"/>
        <v>1476.88</v>
      </c>
      <c r="Y375" s="6">
        <f t="shared" si="26"/>
        <v>811.76</v>
      </c>
      <c r="Z375" s="6">
        <f t="shared" si="27"/>
        <v>665.12000000000012</v>
      </c>
      <c r="AA375" t="s">
        <v>679</v>
      </c>
      <c r="AC375" s="5">
        <v>3</v>
      </c>
      <c r="AD375" t="s">
        <v>1148</v>
      </c>
      <c r="AE375" t="str">
        <f t="shared" si="28"/>
        <v>2024-09</v>
      </c>
      <c r="AF375" t="str">
        <f t="shared" si="29"/>
        <v>Q3-2024</v>
      </c>
    </row>
    <row r="376" spans="1:32" x14ac:dyDescent="0.3">
      <c r="A376" t="s">
        <v>1629</v>
      </c>
      <c r="B376" s="5">
        <v>2</v>
      </c>
      <c r="C376" s="4">
        <v>45731</v>
      </c>
      <c r="D376" s="4">
        <v>45735</v>
      </c>
      <c r="E376" t="s">
        <v>303</v>
      </c>
      <c r="F376" t="s">
        <v>1630</v>
      </c>
      <c r="G376" t="s">
        <v>74</v>
      </c>
      <c r="H376" t="s">
        <v>31</v>
      </c>
      <c r="I376" t="s">
        <v>67</v>
      </c>
      <c r="J376" t="s">
        <v>1128</v>
      </c>
      <c r="K376" t="s">
        <v>1129</v>
      </c>
      <c r="L376" t="s">
        <v>725</v>
      </c>
      <c r="M376" t="s">
        <v>659</v>
      </c>
      <c r="N376" t="s">
        <v>713</v>
      </c>
      <c r="O376" t="s">
        <v>726</v>
      </c>
      <c r="P376" t="s">
        <v>50</v>
      </c>
      <c r="Q376" t="s">
        <v>51</v>
      </c>
      <c r="R376" t="s">
        <v>126</v>
      </c>
      <c r="S376" t="s">
        <v>1109</v>
      </c>
      <c r="T376" s="5">
        <v>41</v>
      </c>
      <c r="U376" s="6">
        <v>130.37</v>
      </c>
      <c r="V376" s="6">
        <v>94.07</v>
      </c>
      <c r="W376" s="8">
        <v>3.6200000000000003E-2</v>
      </c>
      <c r="X376" s="6">
        <f t="shared" si="25"/>
        <v>5151.6748459999999</v>
      </c>
      <c r="Y376" s="6">
        <f t="shared" si="26"/>
        <v>3856.87</v>
      </c>
      <c r="Z376" s="6">
        <f t="shared" si="27"/>
        <v>1294.804846</v>
      </c>
      <c r="AA376" t="s">
        <v>679</v>
      </c>
      <c r="AC376" s="5">
        <v>4</v>
      </c>
      <c r="AD376" t="s">
        <v>1096</v>
      </c>
      <c r="AE376" t="str">
        <f t="shared" si="28"/>
        <v>2025-03</v>
      </c>
      <c r="AF376" t="str">
        <f t="shared" si="29"/>
        <v>Q1-2025</v>
      </c>
    </row>
    <row r="377" spans="1:32" x14ac:dyDescent="0.3">
      <c r="A377" t="s">
        <v>1631</v>
      </c>
      <c r="B377" s="5">
        <v>5</v>
      </c>
      <c r="C377" s="4">
        <v>45889</v>
      </c>
      <c r="D377" s="4">
        <v>45900</v>
      </c>
      <c r="E377" t="s">
        <v>248</v>
      </c>
      <c r="F377" t="s">
        <v>249</v>
      </c>
      <c r="G377" t="s">
        <v>65</v>
      </c>
      <c r="H377" t="s">
        <v>20</v>
      </c>
      <c r="I377" t="s">
        <v>90</v>
      </c>
      <c r="J377" t="s">
        <v>1262</v>
      </c>
      <c r="K377" t="s">
        <v>1297</v>
      </c>
      <c r="L377" t="s">
        <v>979</v>
      </c>
      <c r="M377" t="s">
        <v>929</v>
      </c>
      <c r="N377" t="s">
        <v>971</v>
      </c>
      <c r="O377" t="s">
        <v>980</v>
      </c>
      <c r="P377" t="s">
        <v>32</v>
      </c>
      <c r="Q377" t="s">
        <v>33</v>
      </c>
      <c r="R377" t="s">
        <v>1114</v>
      </c>
      <c r="S377" t="s">
        <v>1109</v>
      </c>
      <c r="T377" s="5">
        <v>6</v>
      </c>
      <c r="U377" s="6">
        <v>270.13</v>
      </c>
      <c r="V377" s="6">
        <v>158.03</v>
      </c>
      <c r="W377" s="8"/>
      <c r="X377" s="6">
        <f t="shared" si="25"/>
        <v>1620.78</v>
      </c>
      <c r="Y377" s="6">
        <f t="shared" si="26"/>
        <v>948.18000000000006</v>
      </c>
      <c r="Z377" s="6">
        <f t="shared" si="27"/>
        <v>672.59999999999991</v>
      </c>
      <c r="AA377" t="s">
        <v>679</v>
      </c>
      <c r="AC377" s="5">
        <v>4</v>
      </c>
      <c r="AD377" t="s">
        <v>1105</v>
      </c>
      <c r="AE377" t="str">
        <f t="shared" si="28"/>
        <v>2025-08</v>
      </c>
      <c r="AF377" t="str">
        <f t="shared" si="29"/>
        <v>Q3-2025</v>
      </c>
    </row>
    <row r="378" spans="1:32" x14ac:dyDescent="0.3">
      <c r="A378" t="s">
        <v>1632</v>
      </c>
      <c r="B378" s="5">
        <v>3</v>
      </c>
      <c r="C378" s="4">
        <v>45363</v>
      </c>
      <c r="D378" s="4">
        <v>45369</v>
      </c>
      <c r="E378" t="s">
        <v>385</v>
      </c>
      <c r="F378" t="s">
        <v>1633</v>
      </c>
      <c r="G378" t="s">
        <v>74</v>
      </c>
      <c r="H378" t="s">
        <v>20</v>
      </c>
      <c r="I378" t="s">
        <v>71</v>
      </c>
      <c r="J378" t="s">
        <v>1166</v>
      </c>
      <c r="K378" t="s">
        <v>1167</v>
      </c>
      <c r="L378" t="s">
        <v>999</v>
      </c>
      <c r="M378" t="s">
        <v>929</v>
      </c>
      <c r="N378" t="s">
        <v>971</v>
      </c>
      <c r="O378" t="s">
        <v>1000</v>
      </c>
      <c r="P378" t="s">
        <v>48</v>
      </c>
      <c r="Q378" t="s">
        <v>49</v>
      </c>
      <c r="R378" t="s">
        <v>1088</v>
      </c>
      <c r="S378" t="s">
        <v>1095</v>
      </c>
      <c r="T378" s="5">
        <v>19</v>
      </c>
      <c r="U378" s="6">
        <v>125.3</v>
      </c>
      <c r="V378" s="6">
        <v>84.5</v>
      </c>
      <c r="W378" s="8">
        <v>0</v>
      </c>
      <c r="X378" s="6">
        <f t="shared" si="25"/>
        <v>2380.6999999999998</v>
      </c>
      <c r="Y378" s="6">
        <f t="shared" si="26"/>
        <v>1605.5</v>
      </c>
      <c r="Z378" s="6">
        <f t="shared" si="27"/>
        <v>775.19999999999982</v>
      </c>
      <c r="AA378" t="s">
        <v>679</v>
      </c>
      <c r="AC378" s="5"/>
      <c r="AD378" t="s">
        <v>1090</v>
      </c>
      <c r="AE378" t="str">
        <f t="shared" si="28"/>
        <v>2024-03</v>
      </c>
      <c r="AF378" t="str">
        <f t="shared" si="29"/>
        <v>Q1-2024</v>
      </c>
    </row>
    <row r="379" spans="1:32" x14ac:dyDescent="0.3">
      <c r="A379" t="s">
        <v>1634</v>
      </c>
      <c r="B379" s="5">
        <v>3</v>
      </c>
      <c r="C379" s="4">
        <v>45677</v>
      </c>
      <c r="D379" s="4">
        <v>45686</v>
      </c>
      <c r="E379" t="s">
        <v>243</v>
      </c>
      <c r="F379" t="s">
        <v>244</v>
      </c>
      <c r="G379" t="s">
        <v>74</v>
      </c>
      <c r="H379" t="s">
        <v>41</v>
      </c>
      <c r="I379" t="s">
        <v>86</v>
      </c>
      <c r="J379" t="s">
        <v>1086</v>
      </c>
      <c r="K379" t="s">
        <v>1175</v>
      </c>
      <c r="L379" t="s">
        <v>739</v>
      </c>
      <c r="M379" t="s">
        <v>659</v>
      </c>
      <c r="N379" t="s">
        <v>713</v>
      </c>
      <c r="O379" t="s">
        <v>740</v>
      </c>
      <c r="P379" t="s">
        <v>46</v>
      </c>
      <c r="Q379" t="s">
        <v>47</v>
      </c>
      <c r="R379" t="s">
        <v>1114</v>
      </c>
      <c r="S379" t="s">
        <v>1156</v>
      </c>
      <c r="T379" s="5">
        <v>10</v>
      </c>
      <c r="U379" s="6">
        <v>215.23</v>
      </c>
      <c r="V379" s="6">
        <v>158.27000000000001</v>
      </c>
      <c r="W379" s="8">
        <v>0</v>
      </c>
      <c r="X379" s="6">
        <f t="shared" si="25"/>
        <v>2152.2999999999997</v>
      </c>
      <c r="Y379" s="6">
        <f t="shared" si="26"/>
        <v>1582.7</v>
      </c>
      <c r="Z379" s="6">
        <f t="shared" si="27"/>
        <v>569.59999999999968</v>
      </c>
      <c r="AA379" t="s">
        <v>679</v>
      </c>
      <c r="AC379" s="5">
        <v>3</v>
      </c>
      <c r="AE379" t="str">
        <f t="shared" si="28"/>
        <v>2025-01</v>
      </c>
      <c r="AF379" t="str">
        <f t="shared" si="29"/>
        <v>Q1-2025</v>
      </c>
    </row>
    <row r="380" spans="1:32" x14ac:dyDescent="0.3">
      <c r="A380" t="s">
        <v>1635</v>
      </c>
      <c r="B380" s="5">
        <v>3</v>
      </c>
      <c r="C380" s="4">
        <v>45326</v>
      </c>
      <c r="D380" s="4">
        <v>45340</v>
      </c>
      <c r="E380" t="s">
        <v>229</v>
      </c>
      <c r="F380" t="s">
        <v>230</v>
      </c>
      <c r="G380" t="s">
        <v>74</v>
      </c>
      <c r="H380" t="s">
        <v>41</v>
      </c>
      <c r="I380" t="s">
        <v>86</v>
      </c>
      <c r="J380" t="s">
        <v>1107</v>
      </c>
      <c r="K380" t="s">
        <v>1108</v>
      </c>
      <c r="L380" t="s">
        <v>1042</v>
      </c>
      <c r="M380" t="s">
        <v>1002</v>
      </c>
      <c r="N380" t="s">
        <v>1034</v>
      </c>
      <c r="O380" t="s">
        <v>1043</v>
      </c>
      <c r="P380" t="s">
        <v>39</v>
      </c>
      <c r="Q380" t="s">
        <v>40</v>
      </c>
      <c r="R380" t="s">
        <v>1088</v>
      </c>
      <c r="S380" t="s">
        <v>1109</v>
      </c>
      <c r="T380" s="5">
        <v>9</v>
      </c>
      <c r="U380" s="6">
        <v>131.44</v>
      </c>
      <c r="V380" s="6">
        <v>97.73</v>
      </c>
      <c r="W380" s="8">
        <v>4.19E-2</v>
      </c>
      <c r="X380" s="6">
        <f t="shared" si="25"/>
        <v>1133.3939760000001</v>
      </c>
      <c r="Y380" s="6">
        <f t="shared" si="26"/>
        <v>879.57</v>
      </c>
      <c r="Z380" s="6">
        <f t="shared" si="27"/>
        <v>253.82397600000002</v>
      </c>
      <c r="AA380" t="s">
        <v>679</v>
      </c>
      <c r="AC380" s="5">
        <v>5</v>
      </c>
      <c r="AD380" t="s">
        <v>1225</v>
      </c>
      <c r="AE380" t="str">
        <f t="shared" si="28"/>
        <v>2024-02</v>
      </c>
      <c r="AF380" t="str">
        <f t="shared" si="29"/>
        <v>Q1-2024</v>
      </c>
    </row>
    <row r="381" spans="1:32" x14ac:dyDescent="0.3">
      <c r="A381" t="s">
        <v>1636</v>
      </c>
      <c r="B381" s="5">
        <v>1</v>
      </c>
      <c r="C381" s="4">
        <v>45615</v>
      </c>
      <c r="D381" s="4">
        <v>45622</v>
      </c>
      <c r="E381" t="s">
        <v>342</v>
      </c>
      <c r="F381" t="s">
        <v>343</v>
      </c>
      <c r="G381" t="s">
        <v>74</v>
      </c>
      <c r="H381" t="s">
        <v>20</v>
      </c>
      <c r="I381" t="s">
        <v>112</v>
      </c>
      <c r="J381" t="s">
        <v>1158</v>
      </c>
      <c r="K381" t="s">
        <v>1416</v>
      </c>
      <c r="L381" t="s">
        <v>1015</v>
      </c>
      <c r="M381" t="s">
        <v>1002</v>
      </c>
      <c r="N381" t="s">
        <v>1003</v>
      </c>
      <c r="O381" t="s">
        <v>1016</v>
      </c>
      <c r="P381" t="s">
        <v>46</v>
      </c>
      <c r="Q381" t="s">
        <v>47</v>
      </c>
      <c r="R381" t="s">
        <v>1088</v>
      </c>
      <c r="S381" t="s">
        <v>1095</v>
      </c>
      <c r="T381" s="5">
        <v>35</v>
      </c>
      <c r="U381" s="6">
        <v>144.86000000000001</v>
      </c>
      <c r="V381" s="6">
        <v>109.81</v>
      </c>
      <c r="W381" s="8">
        <v>0</v>
      </c>
      <c r="X381" s="6">
        <f t="shared" si="25"/>
        <v>5070.1000000000004</v>
      </c>
      <c r="Y381" s="6">
        <f t="shared" si="26"/>
        <v>3843.35</v>
      </c>
      <c r="Z381" s="6">
        <f t="shared" si="27"/>
        <v>1226.7500000000005</v>
      </c>
      <c r="AA381" t="s">
        <v>679</v>
      </c>
      <c r="AC381" s="5">
        <v>3</v>
      </c>
      <c r="AD381" t="s">
        <v>1535</v>
      </c>
      <c r="AE381" t="str">
        <f t="shared" si="28"/>
        <v>2024-11</v>
      </c>
      <c r="AF381" t="str">
        <f t="shared" si="29"/>
        <v>Q4-2024</v>
      </c>
    </row>
    <row r="382" spans="1:32" x14ac:dyDescent="0.3">
      <c r="A382" t="s">
        <v>1637</v>
      </c>
      <c r="B382" s="5">
        <v>3</v>
      </c>
      <c r="C382" s="4">
        <v>45633</v>
      </c>
      <c r="D382" s="4">
        <v>45644</v>
      </c>
      <c r="E382" t="s">
        <v>592</v>
      </c>
      <c r="F382" t="s">
        <v>1638</v>
      </c>
      <c r="G382" t="s">
        <v>74</v>
      </c>
      <c r="H382" t="s">
        <v>31</v>
      </c>
      <c r="I382" t="s">
        <v>67</v>
      </c>
      <c r="J382" t="s">
        <v>1304</v>
      </c>
      <c r="K382" t="s">
        <v>1363</v>
      </c>
      <c r="L382" t="s">
        <v>857</v>
      </c>
      <c r="M382" t="s">
        <v>795</v>
      </c>
      <c r="N382" t="s">
        <v>837</v>
      </c>
      <c r="O382" t="s">
        <v>858</v>
      </c>
      <c r="P382" t="s">
        <v>44</v>
      </c>
      <c r="Q382" t="s">
        <v>45</v>
      </c>
      <c r="R382" t="s">
        <v>1088</v>
      </c>
      <c r="S382" t="s">
        <v>1156</v>
      </c>
      <c r="T382" s="5">
        <v>38</v>
      </c>
      <c r="U382" s="6">
        <v>193.51</v>
      </c>
      <c r="V382" s="6">
        <v>111.57</v>
      </c>
      <c r="W382" s="8">
        <v>0</v>
      </c>
      <c r="X382" s="6">
        <f t="shared" si="25"/>
        <v>7353.3799999999992</v>
      </c>
      <c r="Y382" s="6">
        <f t="shared" si="26"/>
        <v>4239.66</v>
      </c>
      <c r="Z382" s="6">
        <f t="shared" si="27"/>
        <v>3113.7199999999993</v>
      </c>
      <c r="AA382" t="s">
        <v>662</v>
      </c>
      <c r="AB382" t="s">
        <v>1122</v>
      </c>
      <c r="AC382" s="5">
        <v>1</v>
      </c>
      <c r="AD382" t="s">
        <v>1639</v>
      </c>
      <c r="AE382" t="str">
        <f t="shared" si="28"/>
        <v>2024-12</v>
      </c>
      <c r="AF382" t="str">
        <f t="shared" si="29"/>
        <v>Q4-2024</v>
      </c>
    </row>
    <row r="383" spans="1:32" x14ac:dyDescent="0.3">
      <c r="A383" t="s">
        <v>1640</v>
      </c>
      <c r="B383" s="5">
        <v>4</v>
      </c>
      <c r="C383" s="4">
        <v>45649</v>
      </c>
      <c r="D383" s="4">
        <v>45652</v>
      </c>
      <c r="E383" t="s">
        <v>641</v>
      </c>
      <c r="F383" t="s">
        <v>642</v>
      </c>
      <c r="G383" t="s">
        <v>84</v>
      </c>
      <c r="H383" t="s">
        <v>41</v>
      </c>
      <c r="I383" t="s">
        <v>75</v>
      </c>
      <c r="J383" t="s">
        <v>1142</v>
      </c>
      <c r="K383" t="s">
        <v>1198</v>
      </c>
      <c r="L383" t="s">
        <v>989</v>
      </c>
      <c r="M383" t="s">
        <v>929</v>
      </c>
      <c r="N383" t="s">
        <v>971</v>
      </c>
      <c r="O383" t="s">
        <v>990</v>
      </c>
      <c r="P383" t="s">
        <v>29</v>
      </c>
      <c r="Q383" t="s">
        <v>30</v>
      </c>
      <c r="R383" t="s">
        <v>1094</v>
      </c>
      <c r="S383" t="s">
        <v>1109</v>
      </c>
      <c r="T383" s="5">
        <v>8</v>
      </c>
      <c r="U383" s="6">
        <v>297.08999999999997</v>
      </c>
      <c r="V383" s="6">
        <v>177.7</v>
      </c>
      <c r="W383" s="8">
        <v>0.1042</v>
      </c>
      <c r="X383" s="6">
        <f t="shared" si="25"/>
        <v>2129.0657759999999</v>
      </c>
      <c r="Y383" s="6">
        <f t="shared" si="26"/>
        <v>1421.6</v>
      </c>
      <c r="Z383" s="6">
        <f t="shared" si="27"/>
        <v>707.46577600000001</v>
      </c>
      <c r="AA383" t="s">
        <v>679</v>
      </c>
      <c r="AC383" s="5">
        <v>1</v>
      </c>
      <c r="AD383" t="s">
        <v>1136</v>
      </c>
      <c r="AE383" t="str">
        <f t="shared" si="28"/>
        <v>2024-12</v>
      </c>
      <c r="AF383" t="str">
        <f t="shared" si="29"/>
        <v>Q4-2024</v>
      </c>
    </row>
    <row r="384" spans="1:32" x14ac:dyDescent="0.3">
      <c r="A384" t="s">
        <v>1641</v>
      </c>
      <c r="B384" s="5">
        <v>3</v>
      </c>
      <c r="C384" s="4">
        <v>45733</v>
      </c>
      <c r="D384" s="4">
        <v>45743</v>
      </c>
      <c r="E384" t="s">
        <v>614</v>
      </c>
      <c r="F384" t="s">
        <v>615</v>
      </c>
      <c r="G384" t="s">
        <v>104</v>
      </c>
      <c r="H384" t="s">
        <v>20</v>
      </c>
      <c r="I384" t="s">
        <v>90</v>
      </c>
      <c r="J384" t="s">
        <v>1171</v>
      </c>
      <c r="K384" t="s">
        <v>1183</v>
      </c>
      <c r="L384" t="s">
        <v>719</v>
      </c>
      <c r="M384" t="s">
        <v>659</v>
      </c>
      <c r="N384" t="s">
        <v>713</v>
      </c>
      <c r="O384" t="s">
        <v>720</v>
      </c>
      <c r="P384" t="s">
        <v>21</v>
      </c>
      <c r="Q384" t="s">
        <v>22</v>
      </c>
      <c r="R384" t="s">
        <v>1094</v>
      </c>
      <c r="S384" t="s">
        <v>1109</v>
      </c>
      <c r="T384" s="5">
        <v>12</v>
      </c>
      <c r="U384" s="6">
        <v>8.0299999999999994</v>
      </c>
      <c r="V384" s="6">
        <v>5</v>
      </c>
      <c r="W384" s="8">
        <v>0</v>
      </c>
      <c r="X384" s="6">
        <f t="shared" si="25"/>
        <v>96.359999999999985</v>
      </c>
      <c r="Y384" s="6">
        <f t="shared" si="26"/>
        <v>60</v>
      </c>
      <c r="Z384" s="6">
        <f t="shared" si="27"/>
        <v>36.359999999999985</v>
      </c>
      <c r="AA384" t="s">
        <v>679</v>
      </c>
      <c r="AC384" s="5">
        <v>5</v>
      </c>
      <c r="AD384" t="s">
        <v>1148</v>
      </c>
      <c r="AE384" t="str">
        <f t="shared" si="28"/>
        <v>2025-03</v>
      </c>
      <c r="AF384" t="str">
        <f t="shared" si="29"/>
        <v>Q1-2025</v>
      </c>
    </row>
    <row r="385" spans="1:32" x14ac:dyDescent="0.3">
      <c r="A385" t="s">
        <v>1642</v>
      </c>
      <c r="B385" s="5">
        <v>1</v>
      </c>
      <c r="C385" s="4">
        <v>45500</v>
      </c>
      <c r="D385" s="4">
        <v>45511</v>
      </c>
      <c r="E385" t="s">
        <v>597</v>
      </c>
      <c r="F385" t="s">
        <v>598</v>
      </c>
      <c r="G385" t="s">
        <v>74</v>
      </c>
      <c r="H385" t="s">
        <v>20</v>
      </c>
      <c r="I385" t="s">
        <v>71</v>
      </c>
      <c r="J385" t="s">
        <v>1166</v>
      </c>
      <c r="K385" t="s">
        <v>1167</v>
      </c>
      <c r="L385" t="s">
        <v>851</v>
      </c>
      <c r="M385" t="s">
        <v>795</v>
      </c>
      <c r="N385" t="s">
        <v>837</v>
      </c>
      <c r="O385" t="s">
        <v>852</v>
      </c>
      <c r="P385" t="s">
        <v>39</v>
      </c>
      <c r="Q385" t="s">
        <v>40</v>
      </c>
      <c r="R385" t="s">
        <v>1088</v>
      </c>
      <c r="S385" t="s">
        <v>1100</v>
      </c>
      <c r="T385" s="5">
        <v>15</v>
      </c>
      <c r="U385" s="6">
        <v>353.33</v>
      </c>
      <c r="V385" s="6">
        <v>255.07</v>
      </c>
      <c r="W385" s="8">
        <v>0</v>
      </c>
      <c r="X385" s="6">
        <f t="shared" si="25"/>
        <v>5299.95</v>
      </c>
      <c r="Y385" s="6">
        <f t="shared" si="26"/>
        <v>3826.0499999999997</v>
      </c>
      <c r="Z385" s="6">
        <f t="shared" si="27"/>
        <v>1473.9</v>
      </c>
      <c r="AA385" t="s">
        <v>679</v>
      </c>
      <c r="AC385" s="5">
        <v>4</v>
      </c>
      <c r="AD385" t="s">
        <v>1148</v>
      </c>
      <c r="AE385" t="str">
        <f t="shared" si="28"/>
        <v>2024-07</v>
      </c>
      <c r="AF385" t="str">
        <f t="shared" si="29"/>
        <v>Q3-2024</v>
      </c>
    </row>
    <row r="386" spans="1:32" x14ac:dyDescent="0.3">
      <c r="A386" t="s">
        <v>1643</v>
      </c>
      <c r="B386" s="5">
        <v>4</v>
      </c>
      <c r="C386" s="4">
        <v>45600</v>
      </c>
      <c r="D386" s="4">
        <v>45606</v>
      </c>
      <c r="E386" t="s">
        <v>503</v>
      </c>
      <c r="F386" t="s">
        <v>504</v>
      </c>
      <c r="G386" t="s">
        <v>65</v>
      </c>
      <c r="H386" t="s">
        <v>41</v>
      </c>
      <c r="I386" t="s">
        <v>75</v>
      </c>
      <c r="J386" t="s">
        <v>1142</v>
      </c>
      <c r="K386" t="s">
        <v>1205</v>
      </c>
      <c r="L386" t="s">
        <v>1042</v>
      </c>
      <c r="M386" t="s">
        <v>1002</v>
      </c>
      <c r="N386" t="s">
        <v>1034</v>
      </c>
      <c r="O386" t="s">
        <v>1043</v>
      </c>
      <c r="P386" t="s">
        <v>29</v>
      </c>
      <c r="Q386" t="s">
        <v>30</v>
      </c>
      <c r="R386" t="s">
        <v>1088</v>
      </c>
      <c r="S386" t="s">
        <v>1109</v>
      </c>
      <c r="T386" s="5">
        <v>15</v>
      </c>
      <c r="U386" s="6">
        <v>142.86000000000001</v>
      </c>
      <c r="V386" s="6">
        <v>97.73</v>
      </c>
      <c r="W386" s="8">
        <v>0</v>
      </c>
      <c r="X386" s="6">
        <f t="shared" ref="X386:X449" si="30">T386*U386*(1-IF(ISBLANK(W386),0,W386))</f>
        <v>2142.9</v>
      </c>
      <c r="Y386" s="6">
        <f t="shared" ref="Y386:Y449" si="31">T386*V386</f>
        <v>1465.95</v>
      </c>
      <c r="Z386" s="6">
        <f t="shared" ref="Z386:Z449" si="32">X386-Y386</f>
        <v>676.95</v>
      </c>
      <c r="AA386" t="s">
        <v>679</v>
      </c>
      <c r="AC386" s="5">
        <v>2</v>
      </c>
      <c r="AD386" t="s">
        <v>1090</v>
      </c>
      <c r="AE386" t="str">
        <f t="shared" ref="AE386:AE449" si="33">TEXT(C386,"yyyy-mm")</f>
        <v>2024-11</v>
      </c>
      <c r="AF386" t="str">
        <f t="shared" ref="AF386:AF449" si="34">"Q"&amp;ROUNDUP(MONTH(C386)/3,0)&amp;"-"&amp;YEAR(C386)</f>
        <v>Q4-2024</v>
      </c>
    </row>
    <row r="387" spans="1:32" x14ac:dyDescent="0.3">
      <c r="A387" t="s">
        <v>1644</v>
      </c>
      <c r="B387" s="5">
        <v>2</v>
      </c>
      <c r="C387" s="4">
        <v>45697</v>
      </c>
      <c r="D387" s="4">
        <v>45709</v>
      </c>
      <c r="E387" t="s">
        <v>501</v>
      </c>
      <c r="F387" t="s">
        <v>502</v>
      </c>
      <c r="G387" t="s">
        <v>65</v>
      </c>
      <c r="H387" t="s">
        <v>41</v>
      </c>
      <c r="I387" t="s">
        <v>86</v>
      </c>
      <c r="J387" t="s">
        <v>1086</v>
      </c>
      <c r="K387" t="s">
        <v>1087</v>
      </c>
      <c r="L387" t="s">
        <v>698</v>
      </c>
      <c r="M387" t="s">
        <v>659</v>
      </c>
      <c r="N387" t="s">
        <v>660</v>
      </c>
      <c r="O387" t="s">
        <v>699</v>
      </c>
      <c r="P387" t="s">
        <v>27</v>
      </c>
      <c r="Q387" t="s">
        <v>28</v>
      </c>
      <c r="R387" t="s">
        <v>126</v>
      </c>
      <c r="S387" t="s">
        <v>1109</v>
      </c>
      <c r="T387" s="5">
        <v>25</v>
      </c>
      <c r="U387" s="6">
        <v>7.17</v>
      </c>
      <c r="V387" s="6">
        <v>5</v>
      </c>
      <c r="W387" s="8">
        <v>0</v>
      </c>
      <c r="X387" s="6">
        <f t="shared" si="30"/>
        <v>179.25</v>
      </c>
      <c r="Y387" s="6">
        <f t="shared" si="31"/>
        <v>125</v>
      </c>
      <c r="Z387" s="6">
        <f t="shared" si="32"/>
        <v>54.25</v>
      </c>
      <c r="AA387" t="s">
        <v>679</v>
      </c>
      <c r="AC387" s="5">
        <v>5</v>
      </c>
      <c r="AD387" t="s">
        <v>1123</v>
      </c>
      <c r="AE387" t="str">
        <f t="shared" si="33"/>
        <v>2025-02</v>
      </c>
      <c r="AF387" t="str">
        <f t="shared" si="34"/>
        <v>Q1-2025</v>
      </c>
    </row>
    <row r="388" spans="1:32" x14ac:dyDescent="0.3">
      <c r="A388" t="s">
        <v>1645</v>
      </c>
      <c r="B388" s="5">
        <v>2</v>
      </c>
      <c r="C388" s="4">
        <v>45973</v>
      </c>
      <c r="D388" s="4">
        <v>45980</v>
      </c>
      <c r="E388" t="s">
        <v>209</v>
      </c>
      <c r="F388" t="s">
        <v>210</v>
      </c>
      <c r="G388" t="s">
        <v>65</v>
      </c>
      <c r="H388" t="s">
        <v>41</v>
      </c>
      <c r="I388" t="s">
        <v>86</v>
      </c>
      <c r="J388" t="s">
        <v>1086</v>
      </c>
      <c r="K388" t="s">
        <v>1175</v>
      </c>
      <c r="L388" t="s">
        <v>841</v>
      </c>
      <c r="M388" t="s">
        <v>795</v>
      </c>
      <c r="N388" t="s">
        <v>837</v>
      </c>
      <c r="O388" t="s">
        <v>842</v>
      </c>
      <c r="P388" t="s">
        <v>53</v>
      </c>
      <c r="Q388" t="s">
        <v>54</v>
      </c>
      <c r="R388" t="s">
        <v>1088</v>
      </c>
      <c r="S388" t="s">
        <v>1100</v>
      </c>
      <c r="T388" s="5">
        <v>10</v>
      </c>
      <c r="U388" s="6">
        <v>8.2100000000000009</v>
      </c>
      <c r="V388" s="6">
        <v>5</v>
      </c>
      <c r="W388" s="8">
        <v>0</v>
      </c>
      <c r="X388" s="6">
        <f t="shared" si="30"/>
        <v>82.100000000000009</v>
      </c>
      <c r="Y388" s="6">
        <f t="shared" si="31"/>
        <v>50</v>
      </c>
      <c r="Z388" s="6">
        <f t="shared" si="32"/>
        <v>32.100000000000009</v>
      </c>
      <c r="AA388" t="s">
        <v>679</v>
      </c>
      <c r="AC388" s="5"/>
      <c r="AD388" t="s">
        <v>1090</v>
      </c>
      <c r="AE388" t="str">
        <f t="shared" si="33"/>
        <v>2025-11</v>
      </c>
      <c r="AF388" t="str">
        <f t="shared" si="34"/>
        <v>Q4-2025</v>
      </c>
    </row>
    <row r="389" spans="1:32" x14ac:dyDescent="0.3">
      <c r="A389" t="s">
        <v>1646</v>
      </c>
      <c r="B389" s="5">
        <v>1</v>
      </c>
      <c r="C389" s="4">
        <v>45387</v>
      </c>
      <c r="D389" s="4">
        <v>45398</v>
      </c>
      <c r="E389" t="s">
        <v>447</v>
      </c>
      <c r="F389" t="s">
        <v>448</v>
      </c>
      <c r="G389" t="s">
        <v>74</v>
      </c>
      <c r="H389" t="s">
        <v>20</v>
      </c>
      <c r="I389" t="s">
        <v>71</v>
      </c>
      <c r="J389" t="s">
        <v>1112</v>
      </c>
      <c r="K389" t="s">
        <v>1266</v>
      </c>
      <c r="L389" t="s">
        <v>887</v>
      </c>
      <c r="M389" t="s">
        <v>795</v>
      </c>
      <c r="N389" t="s">
        <v>837</v>
      </c>
      <c r="O389" t="s">
        <v>888</v>
      </c>
      <c r="P389" t="s">
        <v>34</v>
      </c>
      <c r="Q389" t="s">
        <v>35</v>
      </c>
      <c r="R389" t="s">
        <v>1088</v>
      </c>
      <c r="S389" t="s">
        <v>1109</v>
      </c>
      <c r="T389" s="5">
        <v>28</v>
      </c>
      <c r="U389" s="6">
        <v>163.86</v>
      </c>
      <c r="V389" s="6">
        <v>111.35</v>
      </c>
      <c r="W389" s="8">
        <v>0</v>
      </c>
      <c r="X389" s="6">
        <f t="shared" si="30"/>
        <v>4588.08</v>
      </c>
      <c r="Y389" s="6">
        <f t="shared" si="31"/>
        <v>3117.7999999999997</v>
      </c>
      <c r="Z389" s="6">
        <f t="shared" si="32"/>
        <v>1470.2800000000002</v>
      </c>
      <c r="AA389" t="s">
        <v>679</v>
      </c>
      <c r="AC389" s="5">
        <v>1</v>
      </c>
      <c r="AD389" t="s">
        <v>1337</v>
      </c>
      <c r="AE389" t="str">
        <f t="shared" si="33"/>
        <v>2024-04</v>
      </c>
      <c r="AF389" t="str">
        <f t="shared" si="34"/>
        <v>Q2-2024</v>
      </c>
    </row>
    <row r="390" spans="1:32" x14ac:dyDescent="0.3">
      <c r="A390" t="s">
        <v>1647</v>
      </c>
      <c r="B390" s="5">
        <v>4</v>
      </c>
      <c r="C390" s="4">
        <v>45978</v>
      </c>
      <c r="D390" s="4">
        <v>45982</v>
      </c>
      <c r="E390" t="s">
        <v>563</v>
      </c>
      <c r="F390" t="s">
        <v>564</v>
      </c>
      <c r="G390" t="s">
        <v>84</v>
      </c>
      <c r="H390" t="s">
        <v>41</v>
      </c>
      <c r="I390" t="s">
        <v>75</v>
      </c>
      <c r="J390" t="s">
        <v>1142</v>
      </c>
      <c r="K390" t="s">
        <v>1143</v>
      </c>
      <c r="L390" t="s">
        <v>717</v>
      </c>
      <c r="M390" t="s">
        <v>659</v>
      </c>
      <c r="N390" t="s">
        <v>713</v>
      </c>
      <c r="O390" t="s">
        <v>718</v>
      </c>
      <c r="P390" t="s">
        <v>42</v>
      </c>
      <c r="Q390" t="s">
        <v>43</v>
      </c>
      <c r="R390" t="s">
        <v>1114</v>
      </c>
      <c r="S390" t="s">
        <v>1156</v>
      </c>
      <c r="T390" s="5">
        <v>3</v>
      </c>
      <c r="U390" s="6">
        <v>6.86</v>
      </c>
      <c r="V390" s="6">
        <v>5</v>
      </c>
      <c r="W390" s="8">
        <v>9.8699999999999996E-2</v>
      </c>
      <c r="X390" s="6">
        <f t="shared" si="30"/>
        <v>18.548754000000002</v>
      </c>
      <c r="Y390" s="6">
        <f t="shared" si="31"/>
        <v>15</v>
      </c>
      <c r="Z390" s="6">
        <f t="shared" si="32"/>
        <v>3.5487540000000024</v>
      </c>
      <c r="AA390" t="s">
        <v>679</v>
      </c>
      <c r="AC390" s="5">
        <v>1</v>
      </c>
      <c r="AD390" t="s">
        <v>1136</v>
      </c>
      <c r="AE390" t="str">
        <f t="shared" si="33"/>
        <v>2025-11</v>
      </c>
      <c r="AF390" t="str">
        <f t="shared" si="34"/>
        <v>Q4-2025</v>
      </c>
    </row>
    <row r="391" spans="1:32" x14ac:dyDescent="0.3">
      <c r="A391" t="s">
        <v>1648</v>
      </c>
      <c r="B391" s="5">
        <v>4</v>
      </c>
      <c r="C391" s="4">
        <v>45884</v>
      </c>
      <c r="D391" s="4">
        <v>45897</v>
      </c>
      <c r="E391" t="s">
        <v>483</v>
      </c>
      <c r="F391" t="s">
        <v>484</v>
      </c>
      <c r="G391" t="s">
        <v>84</v>
      </c>
      <c r="H391" t="s">
        <v>41</v>
      </c>
      <c r="I391" t="s">
        <v>86</v>
      </c>
      <c r="J391" t="s">
        <v>1086</v>
      </c>
      <c r="K391" t="s">
        <v>1175</v>
      </c>
      <c r="L391" t="s">
        <v>756</v>
      </c>
      <c r="M391" t="s">
        <v>659</v>
      </c>
      <c r="N391" t="s">
        <v>754</v>
      </c>
      <c r="O391" t="s">
        <v>757</v>
      </c>
      <c r="P391" t="s">
        <v>17</v>
      </c>
      <c r="Q391" t="s">
        <v>18</v>
      </c>
      <c r="R391" t="s">
        <v>1114</v>
      </c>
      <c r="S391" t="s">
        <v>1109</v>
      </c>
      <c r="T391" s="5">
        <v>8</v>
      </c>
      <c r="U391" s="6">
        <v>7.44</v>
      </c>
      <c r="V391" s="6">
        <v>5</v>
      </c>
      <c r="W391" s="8">
        <v>0</v>
      </c>
      <c r="X391" s="6">
        <f t="shared" si="30"/>
        <v>59.52</v>
      </c>
      <c r="Y391" s="6">
        <f t="shared" si="31"/>
        <v>40</v>
      </c>
      <c r="Z391" s="6">
        <f t="shared" si="32"/>
        <v>19.520000000000003</v>
      </c>
      <c r="AA391" t="s">
        <v>679</v>
      </c>
      <c r="AC391" s="5">
        <v>3</v>
      </c>
      <c r="AD391" t="s">
        <v>1090</v>
      </c>
      <c r="AE391" t="str">
        <f t="shared" si="33"/>
        <v>2025-08</v>
      </c>
      <c r="AF391" t="str">
        <f t="shared" si="34"/>
        <v>Q3-2025</v>
      </c>
    </row>
    <row r="392" spans="1:32" x14ac:dyDescent="0.3">
      <c r="A392" t="s">
        <v>1649</v>
      </c>
      <c r="B392" s="5">
        <v>3</v>
      </c>
      <c r="C392" s="4">
        <v>45461</v>
      </c>
      <c r="D392" s="4">
        <v>45464</v>
      </c>
      <c r="E392" t="s">
        <v>617</v>
      </c>
      <c r="F392" t="s">
        <v>351</v>
      </c>
      <c r="G392" t="s">
        <v>74</v>
      </c>
      <c r="H392" t="s">
        <v>31</v>
      </c>
      <c r="I392" t="s">
        <v>160</v>
      </c>
      <c r="J392" t="s">
        <v>1092</v>
      </c>
      <c r="K392" t="s">
        <v>1093</v>
      </c>
      <c r="L392" t="s">
        <v>751</v>
      </c>
      <c r="M392" t="s">
        <v>659</v>
      </c>
      <c r="N392" t="s">
        <v>713</v>
      </c>
      <c r="O392" t="s">
        <v>752</v>
      </c>
      <c r="P392" t="s">
        <v>50</v>
      </c>
      <c r="Q392" t="s">
        <v>51</v>
      </c>
      <c r="R392" t="s">
        <v>1094</v>
      </c>
      <c r="S392" t="s">
        <v>1109</v>
      </c>
      <c r="T392" s="5">
        <v>9</v>
      </c>
      <c r="U392" s="6">
        <v>151.19999999999999</v>
      </c>
      <c r="V392" s="6">
        <v>103.53</v>
      </c>
      <c r="W392" s="8">
        <v>0</v>
      </c>
      <c r="X392" s="6">
        <f t="shared" si="30"/>
        <v>1360.8</v>
      </c>
      <c r="Y392" s="6">
        <f t="shared" si="31"/>
        <v>931.77</v>
      </c>
      <c r="Z392" s="6">
        <f t="shared" si="32"/>
        <v>429.03</v>
      </c>
      <c r="AA392" t="s">
        <v>679</v>
      </c>
      <c r="AC392" s="5"/>
      <c r="AD392" t="s">
        <v>1123</v>
      </c>
      <c r="AE392" t="str">
        <f t="shared" si="33"/>
        <v>2024-06</v>
      </c>
      <c r="AF392" t="str">
        <f t="shared" si="34"/>
        <v>Q2-2024</v>
      </c>
    </row>
    <row r="393" spans="1:32" x14ac:dyDescent="0.3">
      <c r="A393" t="s">
        <v>1650</v>
      </c>
      <c r="B393" s="5">
        <v>4</v>
      </c>
      <c r="C393" s="4">
        <v>45951</v>
      </c>
      <c r="D393" s="4">
        <v>45953</v>
      </c>
      <c r="E393" t="s">
        <v>287</v>
      </c>
      <c r="F393" t="s">
        <v>288</v>
      </c>
      <c r="G393" t="s">
        <v>104</v>
      </c>
      <c r="H393" t="s">
        <v>31</v>
      </c>
      <c r="I393" t="s">
        <v>160</v>
      </c>
      <c r="J393" t="s">
        <v>1092</v>
      </c>
      <c r="K393" t="s">
        <v>1093</v>
      </c>
      <c r="L393" t="s">
        <v>839</v>
      </c>
      <c r="M393" t="s">
        <v>795</v>
      </c>
      <c r="N393" t="s">
        <v>837</v>
      </c>
      <c r="O393" t="s">
        <v>840</v>
      </c>
      <c r="P393" t="s">
        <v>48</v>
      </c>
      <c r="Q393" t="s">
        <v>49</v>
      </c>
      <c r="R393" t="s">
        <v>1094</v>
      </c>
      <c r="S393" t="s">
        <v>1095</v>
      </c>
      <c r="T393" s="5">
        <v>5</v>
      </c>
      <c r="U393" s="6">
        <v>285.47000000000003</v>
      </c>
      <c r="V393" s="6">
        <v>161.93</v>
      </c>
      <c r="W393" s="8">
        <v>0</v>
      </c>
      <c r="X393" s="6">
        <f t="shared" si="30"/>
        <v>1427.3500000000001</v>
      </c>
      <c r="Y393" s="6">
        <f t="shared" si="31"/>
        <v>809.65000000000009</v>
      </c>
      <c r="Z393" s="6">
        <f t="shared" si="32"/>
        <v>617.70000000000005</v>
      </c>
      <c r="AA393" t="s">
        <v>679</v>
      </c>
      <c r="AC393" s="5">
        <v>4</v>
      </c>
      <c r="AD393" t="s">
        <v>1096</v>
      </c>
      <c r="AE393" t="str">
        <f t="shared" si="33"/>
        <v>2025-10</v>
      </c>
      <c r="AF393" t="str">
        <f t="shared" si="34"/>
        <v>Q4-2025</v>
      </c>
    </row>
    <row r="394" spans="1:32" x14ac:dyDescent="0.3">
      <c r="A394" t="s">
        <v>1651</v>
      </c>
      <c r="B394" s="5">
        <v>1</v>
      </c>
      <c r="C394" s="4">
        <v>46025</v>
      </c>
      <c r="D394" s="4">
        <v>46034</v>
      </c>
      <c r="E394" t="s">
        <v>488</v>
      </c>
      <c r="F394" t="s">
        <v>1652</v>
      </c>
      <c r="G394" t="s">
        <v>74</v>
      </c>
      <c r="H394" t="s">
        <v>31</v>
      </c>
      <c r="I394" t="s">
        <v>67</v>
      </c>
      <c r="J394" t="s">
        <v>1207</v>
      </c>
      <c r="K394" t="s">
        <v>1208</v>
      </c>
      <c r="L394" t="s">
        <v>942</v>
      </c>
      <c r="M394" t="s">
        <v>929</v>
      </c>
      <c r="N394" t="s">
        <v>930</v>
      </c>
      <c r="O394" t="s">
        <v>943</v>
      </c>
      <c r="P394" t="s">
        <v>32</v>
      </c>
      <c r="Q394" t="s">
        <v>33</v>
      </c>
      <c r="R394" t="s">
        <v>1088</v>
      </c>
      <c r="S394" t="s">
        <v>1100</v>
      </c>
      <c r="T394" s="5">
        <v>4</v>
      </c>
      <c r="U394" s="6">
        <v>248.11</v>
      </c>
      <c r="V394" s="6">
        <v>173.45</v>
      </c>
      <c r="W394" s="8">
        <v>0</v>
      </c>
      <c r="X394" s="6">
        <f t="shared" si="30"/>
        <v>992.44</v>
      </c>
      <c r="Y394" s="6">
        <f t="shared" si="31"/>
        <v>693.8</v>
      </c>
      <c r="Z394" s="6">
        <f t="shared" si="32"/>
        <v>298.6400000000001</v>
      </c>
      <c r="AA394" t="s">
        <v>679</v>
      </c>
      <c r="AC394" s="5">
        <v>3</v>
      </c>
      <c r="AD394" t="s">
        <v>1148</v>
      </c>
      <c r="AE394" t="str">
        <f t="shared" si="33"/>
        <v>2026-01</v>
      </c>
      <c r="AF394" t="str">
        <f t="shared" si="34"/>
        <v>Q1-2026</v>
      </c>
    </row>
    <row r="395" spans="1:32" x14ac:dyDescent="0.3">
      <c r="A395" t="s">
        <v>1653</v>
      </c>
      <c r="B395" s="5">
        <v>2</v>
      </c>
      <c r="C395" s="4">
        <v>45980</v>
      </c>
      <c r="D395" s="4">
        <v>45984</v>
      </c>
      <c r="E395" t="s">
        <v>309</v>
      </c>
      <c r="F395" t="s">
        <v>220</v>
      </c>
      <c r="G395" t="s">
        <v>74</v>
      </c>
      <c r="H395" t="s">
        <v>20</v>
      </c>
      <c r="I395" t="s">
        <v>90</v>
      </c>
      <c r="J395" t="s">
        <v>1171</v>
      </c>
      <c r="K395" t="s">
        <v>1183</v>
      </c>
      <c r="L395" t="s">
        <v>1001</v>
      </c>
      <c r="M395" t="s">
        <v>1002</v>
      </c>
      <c r="N395" t="s">
        <v>1003</v>
      </c>
      <c r="O395" t="s">
        <v>1004</v>
      </c>
      <c r="P395" t="s">
        <v>48</v>
      </c>
      <c r="Q395" t="s">
        <v>49</v>
      </c>
      <c r="R395" t="s">
        <v>1088</v>
      </c>
      <c r="S395" t="s">
        <v>1109</v>
      </c>
      <c r="T395" s="5">
        <v>18</v>
      </c>
      <c r="U395" s="6">
        <v>234.68</v>
      </c>
      <c r="V395" s="6">
        <v>146.71</v>
      </c>
      <c r="W395" s="8">
        <v>0.15609999999999999</v>
      </c>
      <c r="X395" s="6">
        <f t="shared" si="30"/>
        <v>3564.8361359999999</v>
      </c>
      <c r="Y395" s="6">
        <f t="shared" si="31"/>
        <v>2640.78</v>
      </c>
      <c r="Z395" s="6">
        <f t="shared" si="32"/>
        <v>924.0561359999997</v>
      </c>
      <c r="AA395" t="s">
        <v>679</v>
      </c>
      <c r="AC395" s="5">
        <v>4</v>
      </c>
      <c r="AD395" t="s">
        <v>1140</v>
      </c>
      <c r="AE395" t="str">
        <f t="shared" si="33"/>
        <v>2025-11</v>
      </c>
      <c r="AF395" t="str">
        <f t="shared" si="34"/>
        <v>Q4-2025</v>
      </c>
    </row>
    <row r="396" spans="1:32" x14ac:dyDescent="0.3">
      <c r="A396" t="s">
        <v>1654</v>
      </c>
      <c r="B396" s="5">
        <v>3</v>
      </c>
      <c r="C396" s="4">
        <v>45738</v>
      </c>
      <c r="D396" s="4">
        <v>45743</v>
      </c>
      <c r="E396" t="s">
        <v>320</v>
      </c>
      <c r="F396" t="s">
        <v>321</v>
      </c>
      <c r="G396" t="s">
        <v>104</v>
      </c>
      <c r="H396" t="s">
        <v>31</v>
      </c>
      <c r="I396" t="s">
        <v>160</v>
      </c>
      <c r="J396" t="s">
        <v>1092</v>
      </c>
      <c r="K396" t="s">
        <v>1135</v>
      </c>
      <c r="L396" t="s">
        <v>1027</v>
      </c>
      <c r="M396" t="s">
        <v>1002</v>
      </c>
      <c r="N396" t="s">
        <v>1003</v>
      </c>
      <c r="O396" t="s">
        <v>1028</v>
      </c>
      <c r="P396" t="s">
        <v>24</v>
      </c>
      <c r="Q396" t="s">
        <v>25</v>
      </c>
      <c r="R396" t="s">
        <v>1088</v>
      </c>
      <c r="S396" t="s">
        <v>1089</v>
      </c>
      <c r="T396" s="5">
        <v>22</v>
      </c>
      <c r="U396" s="6">
        <v>196.79</v>
      </c>
      <c r="V396" s="6">
        <v>131.69</v>
      </c>
      <c r="W396" s="8">
        <v>5.1900000000000002E-2</v>
      </c>
      <c r="X396" s="6">
        <f t="shared" si="30"/>
        <v>4104.6851779999997</v>
      </c>
      <c r="Y396" s="6">
        <f t="shared" si="31"/>
        <v>2897.18</v>
      </c>
      <c r="Z396" s="6">
        <f t="shared" si="32"/>
        <v>1207.5051779999999</v>
      </c>
      <c r="AA396" t="s">
        <v>679</v>
      </c>
      <c r="AC396" s="5"/>
      <c r="AD396" t="s">
        <v>1557</v>
      </c>
      <c r="AE396" t="str">
        <f t="shared" si="33"/>
        <v>2025-03</v>
      </c>
      <c r="AF396" t="str">
        <f t="shared" si="34"/>
        <v>Q1-2025</v>
      </c>
    </row>
    <row r="397" spans="1:32" x14ac:dyDescent="0.3">
      <c r="A397" t="s">
        <v>1655</v>
      </c>
      <c r="B397" s="5">
        <v>5</v>
      </c>
      <c r="C397" s="4">
        <v>45526</v>
      </c>
      <c r="D397" s="4">
        <v>45533</v>
      </c>
      <c r="E397" t="s">
        <v>138</v>
      </c>
      <c r="F397" t="s">
        <v>139</v>
      </c>
      <c r="G397" t="s">
        <v>104</v>
      </c>
      <c r="H397" t="s">
        <v>41</v>
      </c>
      <c r="I397" t="s">
        <v>75</v>
      </c>
      <c r="J397" t="s">
        <v>1142</v>
      </c>
      <c r="K397" t="s">
        <v>1143</v>
      </c>
      <c r="L397" t="s">
        <v>889</v>
      </c>
      <c r="M397" t="s">
        <v>795</v>
      </c>
      <c r="N397" t="s">
        <v>837</v>
      </c>
      <c r="O397" t="s">
        <v>890</v>
      </c>
      <c r="P397" t="s">
        <v>21</v>
      </c>
      <c r="Q397" t="s">
        <v>22</v>
      </c>
      <c r="R397" t="s">
        <v>126</v>
      </c>
      <c r="S397" t="s">
        <v>1109</v>
      </c>
      <c r="T397" s="5">
        <v>16</v>
      </c>
      <c r="U397" s="6">
        <v>228.02</v>
      </c>
      <c r="V397" s="6">
        <v>145.66</v>
      </c>
      <c r="W397" s="8">
        <v>0</v>
      </c>
      <c r="X397" s="6">
        <f t="shared" si="30"/>
        <v>3648.32</v>
      </c>
      <c r="Y397" s="6">
        <f t="shared" si="31"/>
        <v>2330.56</v>
      </c>
      <c r="Z397" s="6">
        <f t="shared" si="32"/>
        <v>1317.7600000000002</v>
      </c>
      <c r="AA397" t="s">
        <v>679</v>
      </c>
      <c r="AC397" s="5">
        <v>5</v>
      </c>
      <c r="AD397" t="s">
        <v>1140</v>
      </c>
      <c r="AE397" t="str">
        <f t="shared" si="33"/>
        <v>2024-08</v>
      </c>
      <c r="AF397" t="str">
        <f t="shared" si="34"/>
        <v>Q3-2024</v>
      </c>
    </row>
    <row r="398" spans="1:32" x14ac:dyDescent="0.3">
      <c r="A398" t="s">
        <v>1656</v>
      </c>
      <c r="B398" s="5">
        <v>5</v>
      </c>
      <c r="C398" s="4">
        <v>45799</v>
      </c>
      <c r="D398" s="4">
        <v>45805</v>
      </c>
      <c r="E398" t="s">
        <v>219</v>
      </c>
      <c r="F398" t="s">
        <v>220</v>
      </c>
      <c r="G398" t="s">
        <v>84</v>
      </c>
      <c r="H398" t="s">
        <v>41</v>
      </c>
      <c r="I398" t="s">
        <v>86</v>
      </c>
      <c r="J398" t="s">
        <v>1107</v>
      </c>
      <c r="K398" t="s">
        <v>1230</v>
      </c>
      <c r="L398" t="s">
        <v>944</v>
      </c>
      <c r="M398" t="s">
        <v>929</v>
      </c>
      <c r="N398" t="s">
        <v>930</v>
      </c>
      <c r="O398" t="s">
        <v>945</v>
      </c>
      <c r="P398" t="s">
        <v>46</v>
      </c>
      <c r="Q398" t="s">
        <v>47</v>
      </c>
      <c r="R398" t="s">
        <v>1114</v>
      </c>
      <c r="S398" t="s">
        <v>1109</v>
      </c>
      <c r="T398" s="5">
        <v>16</v>
      </c>
      <c r="U398" s="6">
        <v>326.93</v>
      </c>
      <c r="V398" s="6">
        <v>210.38</v>
      </c>
      <c r="W398" s="8">
        <v>0</v>
      </c>
      <c r="X398" s="6">
        <f t="shared" si="30"/>
        <v>5230.88</v>
      </c>
      <c r="Y398" s="6">
        <f t="shared" si="31"/>
        <v>3366.08</v>
      </c>
      <c r="Z398" s="6">
        <f t="shared" si="32"/>
        <v>1864.8000000000002</v>
      </c>
      <c r="AA398" t="s">
        <v>679</v>
      </c>
      <c r="AC398" s="5">
        <v>1</v>
      </c>
      <c r="AD398" t="s">
        <v>1136</v>
      </c>
      <c r="AE398" t="str">
        <f t="shared" si="33"/>
        <v>2025-05</v>
      </c>
      <c r="AF398" t="str">
        <f t="shared" si="34"/>
        <v>Q2-2025</v>
      </c>
    </row>
    <row r="399" spans="1:32" x14ac:dyDescent="0.3">
      <c r="A399" t="s">
        <v>1657</v>
      </c>
      <c r="B399" s="5">
        <v>1</v>
      </c>
      <c r="C399" s="4">
        <v>45925</v>
      </c>
      <c r="D399" s="4">
        <v>45926</v>
      </c>
      <c r="E399" t="s">
        <v>246</v>
      </c>
      <c r="F399" t="s">
        <v>247</v>
      </c>
      <c r="G399" t="s">
        <v>74</v>
      </c>
      <c r="H399" t="s">
        <v>20</v>
      </c>
      <c r="I399" t="s">
        <v>90</v>
      </c>
      <c r="J399" t="s">
        <v>1171</v>
      </c>
      <c r="K399" t="s">
        <v>1172</v>
      </c>
      <c r="L399" t="s">
        <v>675</v>
      </c>
      <c r="M399" t="s">
        <v>659</v>
      </c>
      <c r="N399" t="s">
        <v>660</v>
      </c>
      <c r="O399" t="s">
        <v>676</v>
      </c>
      <c r="P399" t="s">
        <v>44</v>
      </c>
      <c r="Q399" t="s">
        <v>45</v>
      </c>
      <c r="R399" t="s">
        <v>126</v>
      </c>
      <c r="S399" t="s">
        <v>1156</v>
      </c>
      <c r="T399" s="5">
        <v>9</v>
      </c>
      <c r="U399" s="6">
        <v>26.58</v>
      </c>
      <c r="V399" s="6">
        <v>15.14</v>
      </c>
      <c r="W399" s="8">
        <v>0.28560000000000002</v>
      </c>
      <c r="X399" s="6">
        <f t="shared" si="30"/>
        <v>170.89876799999996</v>
      </c>
      <c r="Y399" s="6">
        <f t="shared" si="31"/>
        <v>136.26</v>
      </c>
      <c r="Z399" s="6">
        <f t="shared" si="32"/>
        <v>34.63876799999997</v>
      </c>
      <c r="AA399" t="s">
        <v>679</v>
      </c>
      <c r="AC399" s="5">
        <v>3</v>
      </c>
      <c r="AD399" t="s">
        <v>1565</v>
      </c>
      <c r="AE399" t="str">
        <f t="shared" si="33"/>
        <v>2025-09</v>
      </c>
      <c r="AF399" t="str">
        <f t="shared" si="34"/>
        <v>Q3-2025</v>
      </c>
    </row>
    <row r="400" spans="1:32" x14ac:dyDescent="0.3">
      <c r="A400" t="s">
        <v>1658</v>
      </c>
      <c r="B400" s="5">
        <v>4</v>
      </c>
      <c r="C400" s="4">
        <v>45555</v>
      </c>
      <c r="D400" s="4">
        <v>45562</v>
      </c>
      <c r="E400" t="s">
        <v>346</v>
      </c>
      <c r="F400" t="s">
        <v>347</v>
      </c>
      <c r="G400" t="s">
        <v>74</v>
      </c>
      <c r="H400" t="s">
        <v>41</v>
      </c>
      <c r="I400" t="s">
        <v>86</v>
      </c>
      <c r="J400" t="s">
        <v>1086</v>
      </c>
      <c r="K400" t="s">
        <v>1087</v>
      </c>
      <c r="L400" t="s">
        <v>1001</v>
      </c>
      <c r="M400" t="s">
        <v>1002</v>
      </c>
      <c r="N400" t="s">
        <v>1003</v>
      </c>
      <c r="O400" t="s">
        <v>1004</v>
      </c>
      <c r="P400" t="s">
        <v>44</v>
      </c>
      <c r="Q400" t="s">
        <v>45</v>
      </c>
      <c r="R400" t="s">
        <v>1088</v>
      </c>
      <c r="S400" t="s">
        <v>1095</v>
      </c>
      <c r="T400" s="5">
        <v>3</v>
      </c>
      <c r="U400" s="6">
        <v>230.11</v>
      </c>
      <c r="V400" s="6">
        <v>146.71</v>
      </c>
      <c r="W400" s="8">
        <v>0</v>
      </c>
      <c r="X400" s="6">
        <f t="shared" si="30"/>
        <v>690.33</v>
      </c>
      <c r="Y400" s="6">
        <f t="shared" si="31"/>
        <v>440.13</v>
      </c>
      <c r="Z400" s="6">
        <f t="shared" si="32"/>
        <v>250.20000000000005</v>
      </c>
      <c r="AA400" t="s">
        <v>679</v>
      </c>
      <c r="AC400" s="5">
        <v>1</v>
      </c>
      <c r="AD400" t="s">
        <v>1659</v>
      </c>
      <c r="AE400" t="str">
        <f t="shared" si="33"/>
        <v>2024-09</v>
      </c>
      <c r="AF400" t="str">
        <f t="shared" si="34"/>
        <v>Q3-2024</v>
      </c>
    </row>
    <row r="401" spans="1:32" x14ac:dyDescent="0.3">
      <c r="A401" t="s">
        <v>1660</v>
      </c>
      <c r="B401" s="5">
        <v>1</v>
      </c>
      <c r="C401" s="4">
        <v>45878</v>
      </c>
      <c r="D401" s="4">
        <v>45887</v>
      </c>
      <c r="E401" t="s">
        <v>154</v>
      </c>
      <c r="F401" t="s">
        <v>155</v>
      </c>
      <c r="G401" t="s">
        <v>65</v>
      </c>
      <c r="H401" t="s">
        <v>20</v>
      </c>
      <c r="I401" t="s">
        <v>90</v>
      </c>
      <c r="J401" t="s">
        <v>1262</v>
      </c>
      <c r="K401" t="s">
        <v>1274</v>
      </c>
      <c r="L401" t="s">
        <v>944</v>
      </c>
      <c r="M401" t="s">
        <v>929</v>
      </c>
      <c r="N401" t="s">
        <v>930</v>
      </c>
      <c r="O401" t="s">
        <v>945</v>
      </c>
      <c r="P401" t="s">
        <v>27</v>
      </c>
      <c r="Q401" t="s">
        <v>28</v>
      </c>
      <c r="R401" t="s">
        <v>126</v>
      </c>
      <c r="S401" t="s">
        <v>1109</v>
      </c>
      <c r="T401" s="5">
        <v>21</v>
      </c>
      <c r="U401" s="6">
        <v>299.95999999999998</v>
      </c>
      <c r="V401" s="6">
        <v>210.38</v>
      </c>
      <c r="W401" s="8">
        <v>0</v>
      </c>
      <c r="X401" s="6">
        <f t="shared" si="30"/>
        <v>6299.16</v>
      </c>
      <c r="Y401" s="6">
        <f t="shared" si="31"/>
        <v>4417.9799999999996</v>
      </c>
      <c r="Z401" s="6">
        <f t="shared" si="32"/>
        <v>1881.1800000000003</v>
      </c>
      <c r="AA401" t="s">
        <v>679</v>
      </c>
      <c r="AC401" s="5">
        <v>4</v>
      </c>
      <c r="AE401" t="str">
        <f t="shared" si="33"/>
        <v>2025-08</v>
      </c>
      <c r="AF401" t="str">
        <f t="shared" si="34"/>
        <v>Q3-2025</v>
      </c>
    </row>
    <row r="402" spans="1:32" x14ac:dyDescent="0.3">
      <c r="A402" t="s">
        <v>1661</v>
      </c>
      <c r="B402" s="5">
        <v>5</v>
      </c>
      <c r="C402" s="4">
        <v>45420</v>
      </c>
      <c r="D402" s="4">
        <v>45432</v>
      </c>
      <c r="E402" t="s">
        <v>377</v>
      </c>
      <c r="F402" t="s">
        <v>378</v>
      </c>
      <c r="G402" t="s">
        <v>80</v>
      </c>
      <c r="H402" t="s">
        <v>23</v>
      </c>
      <c r="I402" t="s">
        <v>109</v>
      </c>
      <c r="J402" t="s">
        <v>1145</v>
      </c>
      <c r="K402" t="s">
        <v>1146</v>
      </c>
      <c r="L402" t="s">
        <v>973</v>
      </c>
      <c r="M402" t="s">
        <v>929</v>
      </c>
      <c r="N402" t="s">
        <v>971</v>
      </c>
      <c r="O402" t="s">
        <v>974</v>
      </c>
      <c r="P402" t="s">
        <v>39</v>
      </c>
      <c r="Q402" t="s">
        <v>40</v>
      </c>
      <c r="R402" t="s">
        <v>1088</v>
      </c>
      <c r="S402" t="s">
        <v>1109</v>
      </c>
      <c r="T402" s="5">
        <v>6</v>
      </c>
      <c r="U402" s="6">
        <v>77.72</v>
      </c>
      <c r="V402" s="6">
        <v>45.81</v>
      </c>
      <c r="W402" s="8">
        <v>0.1313</v>
      </c>
      <c r="X402" s="6">
        <f t="shared" si="30"/>
        <v>405.09218400000003</v>
      </c>
      <c r="Y402" s="6">
        <f t="shared" si="31"/>
        <v>274.86</v>
      </c>
      <c r="Z402" s="6">
        <f t="shared" si="32"/>
        <v>130.23218400000002</v>
      </c>
      <c r="AA402" t="s">
        <v>679</v>
      </c>
      <c r="AC402" s="5">
        <v>4</v>
      </c>
      <c r="AD402" t="s">
        <v>1090</v>
      </c>
      <c r="AE402" t="str">
        <f t="shared" si="33"/>
        <v>2024-05</v>
      </c>
      <c r="AF402" t="str">
        <f t="shared" si="34"/>
        <v>Q2-2024</v>
      </c>
    </row>
    <row r="403" spans="1:32" x14ac:dyDescent="0.3">
      <c r="A403" t="s">
        <v>1662</v>
      </c>
      <c r="B403" s="5">
        <v>1</v>
      </c>
      <c r="C403" s="4">
        <v>45643</v>
      </c>
      <c r="D403" s="4">
        <v>45646</v>
      </c>
      <c r="E403" t="s">
        <v>324</v>
      </c>
      <c r="F403" t="s">
        <v>325</v>
      </c>
      <c r="G403" t="s">
        <v>65</v>
      </c>
      <c r="H403" t="s">
        <v>41</v>
      </c>
      <c r="I403" t="s">
        <v>86</v>
      </c>
      <c r="J403" t="s">
        <v>1107</v>
      </c>
      <c r="K403" t="s">
        <v>1439</v>
      </c>
      <c r="L403" t="s">
        <v>849</v>
      </c>
      <c r="M403" t="s">
        <v>795</v>
      </c>
      <c r="N403" t="s">
        <v>837</v>
      </c>
      <c r="O403" t="s">
        <v>850</v>
      </c>
      <c r="P403" t="s">
        <v>17</v>
      </c>
      <c r="Q403" t="s">
        <v>18</v>
      </c>
      <c r="R403" t="s">
        <v>126</v>
      </c>
      <c r="S403" t="s">
        <v>1100</v>
      </c>
      <c r="T403" s="5">
        <v>32</v>
      </c>
      <c r="U403" s="6">
        <v>107.26</v>
      </c>
      <c r="V403" s="6">
        <v>67.12</v>
      </c>
      <c r="W403" s="8">
        <v>0</v>
      </c>
      <c r="X403" s="6">
        <f t="shared" si="30"/>
        <v>3432.32</v>
      </c>
      <c r="Y403" s="6">
        <f t="shared" si="31"/>
        <v>2147.84</v>
      </c>
      <c r="Z403" s="6">
        <f t="shared" si="32"/>
        <v>1284.48</v>
      </c>
      <c r="AA403" t="s">
        <v>679</v>
      </c>
      <c r="AC403" s="5"/>
      <c r="AD403" t="s">
        <v>1101</v>
      </c>
      <c r="AE403" t="str">
        <f t="shared" si="33"/>
        <v>2024-12</v>
      </c>
      <c r="AF403" t="str">
        <f t="shared" si="34"/>
        <v>Q4-2024</v>
      </c>
    </row>
    <row r="404" spans="1:32" x14ac:dyDescent="0.3">
      <c r="A404" t="s">
        <v>1663</v>
      </c>
      <c r="B404" s="5">
        <v>2</v>
      </c>
      <c r="C404" s="4">
        <v>45586</v>
      </c>
      <c r="D404" s="4">
        <v>45591</v>
      </c>
      <c r="E404" t="s">
        <v>283</v>
      </c>
      <c r="F404" t="s">
        <v>284</v>
      </c>
      <c r="G404" t="s">
        <v>84</v>
      </c>
      <c r="H404" t="s">
        <v>31</v>
      </c>
      <c r="I404" t="s">
        <v>160</v>
      </c>
      <c r="J404" t="s">
        <v>1092</v>
      </c>
      <c r="K404" t="s">
        <v>1093</v>
      </c>
      <c r="L404" t="s">
        <v>889</v>
      </c>
      <c r="M404" t="s">
        <v>795</v>
      </c>
      <c r="N404" t="s">
        <v>837</v>
      </c>
      <c r="O404" t="s">
        <v>890</v>
      </c>
      <c r="P404" t="s">
        <v>34</v>
      </c>
      <c r="Q404" t="s">
        <v>35</v>
      </c>
      <c r="R404" t="s">
        <v>1088</v>
      </c>
      <c r="S404" t="s">
        <v>1109</v>
      </c>
      <c r="T404" s="5">
        <v>4</v>
      </c>
      <c r="U404" s="6">
        <v>243.51</v>
      </c>
      <c r="V404" s="6">
        <v>145.66</v>
      </c>
      <c r="W404" s="8">
        <v>0</v>
      </c>
      <c r="X404" s="6">
        <f t="shared" si="30"/>
        <v>974.04</v>
      </c>
      <c r="Y404" s="6">
        <f t="shared" si="31"/>
        <v>582.64</v>
      </c>
      <c r="Z404" s="6">
        <f t="shared" si="32"/>
        <v>391.4</v>
      </c>
      <c r="AA404" t="s">
        <v>679</v>
      </c>
      <c r="AC404" s="5">
        <v>5</v>
      </c>
      <c r="AE404" t="str">
        <f t="shared" si="33"/>
        <v>2024-10</v>
      </c>
      <c r="AF404" t="str">
        <f t="shared" si="34"/>
        <v>Q4-2024</v>
      </c>
    </row>
    <row r="405" spans="1:32" x14ac:dyDescent="0.3">
      <c r="A405" t="s">
        <v>1664</v>
      </c>
      <c r="B405" s="5">
        <v>1</v>
      </c>
      <c r="C405" s="4">
        <v>45611</v>
      </c>
      <c r="D405" s="4">
        <v>45625</v>
      </c>
      <c r="E405" t="s">
        <v>636</v>
      </c>
      <c r="F405" t="s">
        <v>236</v>
      </c>
      <c r="G405" t="s">
        <v>74</v>
      </c>
      <c r="H405" t="s">
        <v>20</v>
      </c>
      <c r="I405" t="s">
        <v>71</v>
      </c>
      <c r="J405" t="s">
        <v>1112</v>
      </c>
      <c r="K405" t="s">
        <v>1266</v>
      </c>
      <c r="L405" t="s">
        <v>686</v>
      </c>
      <c r="M405" t="s">
        <v>659</v>
      </c>
      <c r="N405" t="s">
        <v>660</v>
      </c>
      <c r="O405" t="s">
        <v>687</v>
      </c>
      <c r="P405" t="s">
        <v>39</v>
      </c>
      <c r="Q405" t="s">
        <v>40</v>
      </c>
      <c r="R405" t="s">
        <v>1088</v>
      </c>
      <c r="S405" t="s">
        <v>1100</v>
      </c>
      <c r="T405" s="5">
        <v>10</v>
      </c>
      <c r="U405" s="6">
        <v>7.46</v>
      </c>
      <c r="V405" s="6">
        <v>5</v>
      </c>
      <c r="W405" s="8">
        <v>0</v>
      </c>
      <c r="X405" s="6">
        <f t="shared" si="30"/>
        <v>74.599999999999994</v>
      </c>
      <c r="Y405" s="6">
        <f t="shared" si="31"/>
        <v>50</v>
      </c>
      <c r="Z405" s="6">
        <f t="shared" si="32"/>
        <v>24.599999999999994</v>
      </c>
      <c r="AA405" t="s">
        <v>679</v>
      </c>
      <c r="AC405" s="5">
        <v>1</v>
      </c>
      <c r="AD405" t="s">
        <v>1349</v>
      </c>
      <c r="AE405" t="str">
        <f t="shared" si="33"/>
        <v>2024-11</v>
      </c>
      <c r="AF405" t="str">
        <f t="shared" si="34"/>
        <v>Q4-2024</v>
      </c>
    </row>
    <row r="406" spans="1:32" x14ac:dyDescent="0.3">
      <c r="A406" t="s">
        <v>1665</v>
      </c>
      <c r="B406" s="5">
        <v>3</v>
      </c>
      <c r="C406" s="4">
        <v>45371</v>
      </c>
      <c r="D406" s="4">
        <v>45382</v>
      </c>
      <c r="E406" t="s">
        <v>291</v>
      </c>
      <c r="F406" t="s">
        <v>292</v>
      </c>
      <c r="G406" t="s">
        <v>65</v>
      </c>
      <c r="H406" t="s">
        <v>23</v>
      </c>
      <c r="I406" t="s">
        <v>93</v>
      </c>
      <c r="J406" t="s">
        <v>1192</v>
      </c>
      <c r="K406" t="s">
        <v>1227</v>
      </c>
      <c r="L406" t="s">
        <v>1025</v>
      </c>
      <c r="M406" t="s">
        <v>1002</v>
      </c>
      <c r="N406" t="s">
        <v>1003</v>
      </c>
      <c r="O406" t="s">
        <v>1026</v>
      </c>
      <c r="P406" t="s">
        <v>21</v>
      </c>
      <c r="Q406" t="s">
        <v>22</v>
      </c>
      <c r="R406" t="s">
        <v>126</v>
      </c>
      <c r="S406" t="s">
        <v>1109</v>
      </c>
      <c r="T406" s="5">
        <v>7</v>
      </c>
      <c r="U406" s="6">
        <v>269.88</v>
      </c>
      <c r="V406" s="6">
        <v>211.46</v>
      </c>
      <c r="W406" s="8">
        <v>0.34489999999999998</v>
      </c>
      <c r="X406" s="6">
        <f t="shared" si="30"/>
        <v>1237.588716</v>
      </c>
      <c r="Y406" s="6">
        <f t="shared" si="31"/>
        <v>1480.22</v>
      </c>
      <c r="Z406" s="6">
        <f t="shared" si="32"/>
        <v>-242.63128400000005</v>
      </c>
      <c r="AA406" t="s">
        <v>679</v>
      </c>
      <c r="AC406" s="5"/>
      <c r="AD406" t="s">
        <v>1369</v>
      </c>
      <c r="AE406" t="str">
        <f t="shared" si="33"/>
        <v>2024-03</v>
      </c>
      <c r="AF406" t="str">
        <f t="shared" si="34"/>
        <v>Q1-2024</v>
      </c>
    </row>
    <row r="407" spans="1:32" x14ac:dyDescent="0.3">
      <c r="A407" t="s">
        <v>1666</v>
      </c>
      <c r="B407" s="5">
        <v>5</v>
      </c>
      <c r="C407" s="4">
        <v>45981</v>
      </c>
      <c r="D407" s="4">
        <v>45985</v>
      </c>
      <c r="E407" t="s">
        <v>505</v>
      </c>
      <c r="F407" t="s">
        <v>1667</v>
      </c>
      <c r="G407" t="s">
        <v>74</v>
      </c>
      <c r="H407" t="s">
        <v>31</v>
      </c>
      <c r="I407" t="s">
        <v>67</v>
      </c>
      <c r="J407" t="s">
        <v>1207</v>
      </c>
      <c r="K407" t="s">
        <v>1368</v>
      </c>
      <c r="L407" t="s">
        <v>804</v>
      </c>
      <c r="M407" t="s">
        <v>795</v>
      </c>
      <c r="N407" t="s">
        <v>796</v>
      </c>
      <c r="O407" t="s">
        <v>805</v>
      </c>
      <c r="P407" t="s">
        <v>34</v>
      </c>
      <c r="Q407" t="s">
        <v>35</v>
      </c>
      <c r="R407" t="s">
        <v>1114</v>
      </c>
      <c r="S407" t="s">
        <v>1095</v>
      </c>
      <c r="T407" s="5">
        <v>11</v>
      </c>
      <c r="U407" s="6">
        <v>188.67</v>
      </c>
      <c r="V407" s="6">
        <v>129.88</v>
      </c>
      <c r="W407" s="8">
        <v>0.218</v>
      </c>
      <c r="X407" s="6">
        <f t="shared" si="30"/>
        <v>1622.9393399999999</v>
      </c>
      <c r="Y407" s="6">
        <f t="shared" si="31"/>
        <v>1428.6799999999998</v>
      </c>
      <c r="Z407" s="6">
        <f t="shared" si="32"/>
        <v>194.25934000000007</v>
      </c>
      <c r="AA407" t="s">
        <v>679</v>
      </c>
      <c r="AC407" s="5">
        <v>2</v>
      </c>
      <c r="AD407" t="s">
        <v>1148</v>
      </c>
      <c r="AE407" t="str">
        <f t="shared" si="33"/>
        <v>2025-11</v>
      </c>
      <c r="AF407" t="str">
        <f t="shared" si="34"/>
        <v>Q4-2025</v>
      </c>
    </row>
    <row r="408" spans="1:32" x14ac:dyDescent="0.3">
      <c r="A408" t="s">
        <v>1668</v>
      </c>
      <c r="B408" s="5">
        <v>1</v>
      </c>
      <c r="C408" s="4">
        <v>45484</v>
      </c>
      <c r="D408" s="4">
        <v>45492</v>
      </c>
      <c r="E408" t="s">
        <v>342</v>
      </c>
      <c r="F408" t="s">
        <v>343</v>
      </c>
      <c r="G408" t="s">
        <v>74</v>
      </c>
      <c r="H408" t="s">
        <v>41</v>
      </c>
      <c r="I408" t="s">
        <v>75</v>
      </c>
      <c r="J408" t="s">
        <v>1142</v>
      </c>
      <c r="K408" t="s">
        <v>1198</v>
      </c>
      <c r="L408" t="s">
        <v>960</v>
      </c>
      <c r="M408" t="s">
        <v>929</v>
      </c>
      <c r="N408" t="s">
        <v>930</v>
      </c>
      <c r="O408" t="s">
        <v>961</v>
      </c>
      <c r="P408" t="s">
        <v>29</v>
      </c>
      <c r="Q408" t="s">
        <v>30</v>
      </c>
      <c r="R408" t="s">
        <v>1088</v>
      </c>
      <c r="S408" t="s">
        <v>1109</v>
      </c>
      <c r="T408" s="5">
        <v>33</v>
      </c>
      <c r="U408" s="6">
        <v>190.72</v>
      </c>
      <c r="V408" s="6">
        <v>139.97</v>
      </c>
      <c r="W408" s="8">
        <v>0.2031</v>
      </c>
      <c r="X408" s="6">
        <f t="shared" si="30"/>
        <v>5015.4973439999994</v>
      </c>
      <c r="Y408" s="6">
        <f t="shared" si="31"/>
        <v>4619.01</v>
      </c>
      <c r="Z408" s="6">
        <f t="shared" si="32"/>
        <v>396.48734399999921</v>
      </c>
      <c r="AA408" t="s">
        <v>679</v>
      </c>
      <c r="AC408" s="5">
        <v>1</v>
      </c>
      <c r="AD408" t="s">
        <v>1090</v>
      </c>
      <c r="AE408" t="str">
        <f t="shared" si="33"/>
        <v>2024-07</v>
      </c>
      <c r="AF408" t="str">
        <f t="shared" si="34"/>
        <v>Q3-2024</v>
      </c>
    </row>
    <row r="409" spans="1:32" x14ac:dyDescent="0.3">
      <c r="A409" t="s">
        <v>1669</v>
      </c>
      <c r="B409" s="5">
        <v>4</v>
      </c>
      <c r="C409" s="4">
        <v>45485</v>
      </c>
      <c r="D409" s="4">
        <v>45486</v>
      </c>
      <c r="E409" t="s">
        <v>152</v>
      </c>
      <c r="F409" t="s">
        <v>153</v>
      </c>
      <c r="G409" t="s">
        <v>74</v>
      </c>
      <c r="H409" t="s">
        <v>20</v>
      </c>
      <c r="I409" t="s">
        <v>112</v>
      </c>
      <c r="J409" t="s">
        <v>1158</v>
      </c>
      <c r="K409" t="s">
        <v>1320</v>
      </c>
      <c r="L409" t="s">
        <v>1052</v>
      </c>
      <c r="M409" t="s">
        <v>1002</v>
      </c>
      <c r="N409" t="s">
        <v>1034</v>
      </c>
      <c r="O409" t="s">
        <v>1053</v>
      </c>
      <c r="P409" t="s">
        <v>24</v>
      </c>
      <c r="Q409" t="s">
        <v>25</v>
      </c>
      <c r="R409" t="s">
        <v>1094</v>
      </c>
      <c r="S409" t="s">
        <v>1089</v>
      </c>
      <c r="T409" s="5">
        <v>20</v>
      </c>
      <c r="U409" s="6">
        <v>135.1</v>
      </c>
      <c r="V409" s="6">
        <v>81.599999999999994</v>
      </c>
      <c r="W409" s="8">
        <v>0</v>
      </c>
      <c r="X409" s="6">
        <f t="shared" si="30"/>
        <v>2702</v>
      </c>
      <c r="Y409" s="6">
        <f t="shared" si="31"/>
        <v>1632</v>
      </c>
      <c r="Z409" s="6">
        <f t="shared" si="32"/>
        <v>1070</v>
      </c>
      <c r="AA409" t="s">
        <v>679</v>
      </c>
      <c r="AC409" s="5">
        <v>3</v>
      </c>
      <c r="AD409" t="s">
        <v>1110</v>
      </c>
      <c r="AE409" t="str">
        <f t="shared" si="33"/>
        <v>2024-07</v>
      </c>
      <c r="AF409" t="str">
        <f t="shared" si="34"/>
        <v>Q3-2024</v>
      </c>
    </row>
    <row r="410" spans="1:32" x14ac:dyDescent="0.3">
      <c r="A410" t="s">
        <v>1670</v>
      </c>
      <c r="B410" s="5">
        <v>1</v>
      </c>
      <c r="C410" s="4">
        <v>45697</v>
      </c>
      <c r="D410" s="4">
        <v>45703</v>
      </c>
      <c r="E410" t="s">
        <v>377</v>
      </c>
      <c r="F410" t="s">
        <v>378</v>
      </c>
      <c r="G410" t="s">
        <v>80</v>
      </c>
      <c r="H410" t="s">
        <v>23</v>
      </c>
      <c r="I410" t="s">
        <v>93</v>
      </c>
      <c r="J410" t="s">
        <v>1278</v>
      </c>
      <c r="K410" t="s">
        <v>1279</v>
      </c>
      <c r="L410" t="s">
        <v>762</v>
      </c>
      <c r="M410" t="s">
        <v>659</v>
      </c>
      <c r="N410" t="s">
        <v>754</v>
      </c>
      <c r="O410" t="s">
        <v>763</v>
      </c>
      <c r="P410" t="s">
        <v>32</v>
      </c>
      <c r="Q410" t="s">
        <v>33</v>
      </c>
      <c r="R410" t="s">
        <v>1114</v>
      </c>
      <c r="S410" t="s">
        <v>1095</v>
      </c>
      <c r="T410" s="5">
        <v>7</v>
      </c>
      <c r="U410" s="6">
        <v>6.07</v>
      </c>
      <c r="V410" s="6">
        <v>5</v>
      </c>
      <c r="W410" s="8">
        <v>0</v>
      </c>
      <c r="X410" s="6">
        <f t="shared" si="30"/>
        <v>42.49</v>
      </c>
      <c r="Y410" s="6">
        <f t="shared" si="31"/>
        <v>35</v>
      </c>
      <c r="Z410" s="6">
        <f t="shared" si="32"/>
        <v>7.490000000000002</v>
      </c>
      <c r="AA410" t="s">
        <v>679</v>
      </c>
      <c r="AC410" s="5">
        <v>4</v>
      </c>
      <c r="AD410" t="s">
        <v>1101</v>
      </c>
      <c r="AE410" t="str">
        <f t="shared" si="33"/>
        <v>2025-02</v>
      </c>
      <c r="AF410" t="str">
        <f t="shared" si="34"/>
        <v>Q1-2025</v>
      </c>
    </row>
    <row r="411" spans="1:32" x14ac:dyDescent="0.3">
      <c r="A411" t="s">
        <v>1671</v>
      </c>
      <c r="B411" s="5">
        <v>2</v>
      </c>
      <c r="C411" s="4">
        <v>45626</v>
      </c>
      <c r="D411" s="4">
        <v>45631</v>
      </c>
      <c r="E411" t="s">
        <v>190</v>
      </c>
      <c r="F411" t="s">
        <v>191</v>
      </c>
      <c r="G411" t="s">
        <v>84</v>
      </c>
      <c r="H411" t="s">
        <v>20</v>
      </c>
      <c r="I411" t="s">
        <v>90</v>
      </c>
      <c r="J411" t="s">
        <v>1262</v>
      </c>
      <c r="K411" t="s">
        <v>1274</v>
      </c>
      <c r="L411" t="s">
        <v>958</v>
      </c>
      <c r="M411" t="s">
        <v>929</v>
      </c>
      <c r="N411" t="s">
        <v>930</v>
      </c>
      <c r="O411" t="s">
        <v>959</v>
      </c>
      <c r="P411" t="s">
        <v>17</v>
      </c>
      <c r="Q411" t="s">
        <v>18</v>
      </c>
      <c r="R411" t="s">
        <v>1114</v>
      </c>
      <c r="S411" t="s">
        <v>1089</v>
      </c>
      <c r="T411" s="5">
        <v>4</v>
      </c>
      <c r="U411" s="6">
        <v>195.51</v>
      </c>
      <c r="V411" s="6">
        <v>114.63</v>
      </c>
      <c r="W411" s="8">
        <v>0.2341</v>
      </c>
      <c r="X411" s="6">
        <f t="shared" si="30"/>
        <v>598.96443599999998</v>
      </c>
      <c r="Y411" s="6">
        <f t="shared" si="31"/>
        <v>458.52</v>
      </c>
      <c r="Z411" s="6">
        <f t="shared" si="32"/>
        <v>140.444436</v>
      </c>
      <c r="AA411" t="s">
        <v>679</v>
      </c>
      <c r="AC411" s="5">
        <v>3</v>
      </c>
      <c r="AD411" t="s">
        <v>1096</v>
      </c>
      <c r="AE411" t="str">
        <f t="shared" si="33"/>
        <v>2024-11</v>
      </c>
      <c r="AF411" t="str">
        <f t="shared" si="34"/>
        <v>Q4-2024</v>
      </c>
    </row>
    <row r="412" spans="1:32" x14ac:dyDescent="0.3">
      <c r="A412" t="s">
        <v>1672</v>
      </c>
      <c r="B412" s="5">
        <v>2</v>
      </c>
      <c r="C412" s="4">
        <v>45996</v>
      </c>
      <c r="D412" s="4">
        <v>46003</v>
      </c>
      <c r="E412" t="s">
        <v>430</v>
      </c>
      <c r="F412" t="s">
        <v>431</v>
      </c>
      <c r="G412" t="s">
        <v>74</v>
      </c>
      <c r="H412" t="s">
        <v>41</v>
      </c>
      <c r="I412" t="s">
        <v>75</v>
      </c>
      <c r="J412" t="s">
        <v>1142</v>
      </c>
      <c r="K412" t="s">
        <v>1198</v>
      </c>
      <c r="L412" t="s">
        <v>944</v>
      </c>
      <c r="M412" t="s">
        <v>929</v>
      </c>
      <c r="N412" t="s">
        <v>930</v>
      </c>
      <c r="O412" t="s">
        <v>945</v>
      </c>
      <c r="P412" t="s">
        <v>53</v>
      </c>
      <c r="Q412" t="s">
        <v>54</v>
      </c>
      <c r="R412" t="s">
        <v>1088</v>
      </c>
      <c r="S412" t="s">
        <v>1109</v>
      </c>
      <c r="T412" s="5">
        <v>19</v>
      </c>
      <c r="U412" s="6">
        <v>285.39</v>
      </c>
      <c r="V412" s="6">
        <v>210.38</v>
      </c>
      <c r="W412" s="8">
        <v>0</v>
      </c>
      <c r="X412" s="6">
        <f t="shared" si="30"/>
        <v>5422.41</v>
      </c>
      <c r="Y412" s="6">
        <f t="shared" si="31"/>
        <v>3997.22</v>
      </c>
      <c r="Z412" s="6">
        <f t="shared" si="32"/>
        <v>1425.19</v>
      </c>
      <c r="AA412" t="s">
        <v>662</v>
      </c>
      <c r="AB412" t="s">
        <v>1327</v>
      </c>
      <c r="AC412" s="5">
        <v>2</v>
      </c>
      <c r="AE412" t="str">
        <f t="shared" si="33"/>
        <v>2025-12</v>
      </c>
      <c r="AF412" t="str">
        <f t="shared" si="34"/>
        <v>Q4-2025</v>
      </c>
    </row>
    <row r="413" spans="1:32" x14ac:dyDescent="0.3">
      <c r="A413" t="s">
        <v>1673</v>
      </c>
      <c r="B413" s="5">
        <v>5</v>
      </c>
      <c r="C413" s="4">
        <v>45529</v>
      </c>
      <c r="D413" s="4">
        <v>45535</v>
      </c>
      <c r="E413" t="s">
        <v>438</v>
      </c>
      <c r="F413" t="s">
        <v>439</v>
      </c>
      <c r="G413" t="s">
        <v>74</v>
      </c>
      <c r="H413" t="s">
        <v>20</v>
      </c>
      <c r="I413" t="s">
        <v>112</v>
      </c>
      <c r="J413" t="s">
        <v>1158</v>
      </c>
      <c r="K413" t="s">
        <v>1320</v>
      </c>
      <c r="L413" t="s">
        <v>902</v>
      </c>
      <c r="M413" t="s">
        <v>795</v>
      </c>
      <c r="N413" t="s">
        <v>898</v>
      </c>
      <c r="O413" t="s">
        <v>903</v>
      </c>
      <c r="P413" t="s">
        <v>46</v>
      </c>
      <c r="Q413" t="s">
        <v>47</v>
      </c>
      <c r="R413" t="s">
        <v>1094</v>
      </c>
      <c r="S413" t="s">
        <v>1100</v>
      </c>
      <c r="T413" s="5">
        <v>12</v>
      </c>
      <c r="U413" s="6">
        <v>9.84</v>
      </c>
      <c r="V413" s="6">
        <v>5</v>
      </c>
      <c r="W413" s="8">
        <v>0</v>
      </c>
      <c r="X413" s="6">
        <f t="shared" si="30"/>
        <v>118.08</v>
      </c>
      <c r="Y413" s="6">
        <f t="shared" si="31"/>
        <v>60</v>
      </c>
      <c r="Z413" s="6">
        <f t="shared" si="32"/>
        <v>58.08</v>
      </c>
      <c r="AA413" t="s">
        <v>679</v>
      </c>
      <c r="AC413" s="5"/>
      <c r="AD413" t="s">
        <v>1096</v>
      </c>
      <c r="AE413" t="str">
        <f t="shared" si="33"/>
        <v>2024-08</v>
      </c>
      <c r="AF413" t="str">
        <f t="shared" si="34"/>
        <v>Q3-2024</v>
      </c>
    </row>
    <row r="414" spans="1:32" x14ac:dyDescent="0.3">
      <c r="A414" t="s">
        <v>1674</v>
      </c>
      <c r="B414" s="5">
        <v>4</v>
      </c>
      <c r="C414" s="4">
        <v>45680</v>
      </c>
      <c r="D414" s="4">
        <v>45690</v>
      </c>
      <c r="E414" t="s">
        <v>477</v>
      </c>
      <c r="F414" t="s">
        <v>1675</v>
      </c>
      <c r="G414" t="s">
        <v>74</v>
      </c>
      <c r="H414" t="s">
        <v>20</v>
      </c>
      <c r="I414" t="s">
        <v>112</v>
      </c>
      <c r="J414" t="s">
        <v>1201</v>
      </c>
      <c r="K414" t="s">
        <v>1221</v>
      </c>
      <c r="L414" t="s">
        <v>1005</v>
      </c>
      <c r="M414" t="s">
        <v>1002</v>
      </c>
      <c r="N414" t="s">
        <v>1003</v>
      </c>
      <c r="O414" t="s">
        <v>1006</v>
      </c>
      <c r="P414" t="s">
        <v>37</v>
      </c>
      <c r="Q414" t="s">
        <v>38</v>
      </c>
      <c r="R414" t="s">
        <v>1088</v>
      </c>
      <c r="S414" t="s">
        <v>1089</v>
      </c>
      <c r="T414" s="5">
        <v>28</v>
      </c>
      <c r="U414" s="6">
        <v>123.25</v>
      </c>
      <c r="V414" s="6">
        <v>76.489999999999995</v>
      </c>
      <c r="W414" s="8">
        <v>0</v>
      </c>
      <c r="X414" s="6">
        <f t="shared" si="30"/>
        <v>3451</v>
      </c>
      <c r="Y414" s="6">
        <f t="shared" si="31"/>
        <v>2141.7199999999998</v>
      </c>
      <c r="Z414" s="6">
        <f t="shared" si="32"/>
        <v>1309.2800000000002</v>
      </c>
      <c r="AA414" t="s">
        <v>679</v>
      </c>
      <c r="AC414" s="5">
        <v>4</v>
      </c>
      <c r="AD414" t="s">
        <v>1110</v>
      </c>
      <c r="AE414" t="str">
        <f t="shared" si="33"/>
        <v>2025-01</v>
      </c>
      <c r="AF414" t="str">
        <f t="shared" si="34"/>
        <v>Q1-2025</v>
      </c>
    </row>
    <row r="415" spans="1:32" x14ac:dyDescent="0.3">
      <c r="A415" t="s">
        <v>1676</v>
      </c>
      <c r="B415" s="5">
        <v>4</v>
      </c>
      <c r="C415" s="4">
        <v>45878</v>
      </c>
      <c r="D415" s="4">
        <v>45888</v>
      </c>
      <c r="E415" t="s">
        <v>630</v>
      </c>
      <c r="F415" t="s">
        <v>331</v>
      </c>
      <c r="G415" t="s">
        <v>65</v>
      </c>
      <c r="H415" t="s">
        <v>20</v>
      </c>
      <c r="I415" t="s">
        <v>71</v>
      </c>
      <c r="J415" t="s">
        <v>1112</v>
      </c>
      <c r="K415" t="s">
        <v>1266</v>
      </c>
      <c r="L415" t="s">
        <v>764</v>
      </c>
      <c r="M415" t="s">
        <v>659</v>
      </c>
      <c r="N415" t="s">
        <v>754</v>
      </c>
      <c r="O415" t="s">
        <v>765</v>
      </c>
      <c r="P415" t="s">
        <v>24</v>
      </c>
      <c r="Q415" t="s">
        <v>25</v>
      </c>
      <c r="R415" t="s">
        <v>1094</v>
      </c>
      <c r="S415" t="s">
        <v>1095</v>
      </c>
      <c r="T415" s="5">
        <v>25</v>
      </c>
      <c r="U415" s="6">
        <v>326.73</v>
      </c>
      <c r="V415" s="6">
        <v>193.32</v>
      </c>
      <c r="W415" s="8">
        <v>0</v>
      </c>
      <c r="X415" s="6">
        <f t="shared" si="30"/>
        <v>8168.25</v>
      </c>
      <c r="Y415" s="6">
        <f t="shared" si="31"/>
        <v>4833</v>
      </c>
      <c r="Z415" s="6">
        <f t="shared" si="32"/>
        <v>3335.25</v>
      </c>
      <c r="AA415" t="s">
        <v>679</v>
      </c>
      <c r="AC415" s="5">
        <v>3</v>
      </c>
      <c r="AD415" t="s">
        <v>1148</v>
      </c>
      <c r="AE415" t="str">
        <f t="shared" si="33"/>
        <v>2025-08</v>
      </c>
      <c r="AF415" t="str">
        <f t="shared" si="34"/>
        <v>Q3-2025</v>
      </c>
    </row>
    <row r="416" spans="1:32" x14ac:dyDescent="0.3">
      <c r="A416" t="s">
        <v>1677</v>
      </c>
      <c r="B416" s="5">
        <v>3</v>
      </c>
      <c r="C416" s="4">
        <v>45364</v>
      </c>
      <c r="D416" s="4">
        <v>45369</v>
      </c>
      <c r="E416" t="s">
        <v>401</v>
      </c>
      <c r="F416" t="s">
        <v>402</v>
      </c>
      <c r="G416" t="s">
        <v>74</v>
      </c>
      <c r="H416" t="s">
        <v>41</v>
      </c>
      <c r="I416" t="s">
        <v>75</v>
      </c>
      <c r="J416" t="s">
        <v>1142</v>
      </c>
      <c r="K416" t="s">
        <v>1143</v>
      </c>
      <c r="L416" t="s">
        <v>751</v>
      </c>
      <c r="M416" t="s">
        <v>659</v>
      </c>
      <c r="N416" t="s">
        <v>713</v>
      </c>
      <c r="O416" t="s">
        <v>752</v>
      </c>
      <c r="P416" t="s">
        <v>29</v>
      </c>
      <c r="Q416" t="s">
        <v>30</v>
      </c>
      <c r="R416" t="s">
        <v>1088</v>
      </c>
      <c r="S416" t="s">
        <v>1089</v>
      </c>
      <c r="T416" s="5">
        <v>5</v>
      </c>
      <c r="U416" s="6">
        <v>139.87</v>
      </c>
      <c r="V416" s="6">
        <v>103.53</v>
      </c>
      <c r="W416" s="8">
        <v>5.91E-2</v>
      </c>
      <c r="X416" s="6">
        <f t="shared" si="30"/>
        <v>658.018415</v>
      </c>
      <c r="Y416" s="6">
        <f t="shared" si="31"/>
        <v>517.65</v>
      </c>
      <c r="Z416" s="6">
        <f t="shared" si="32"/>
        <v>140.36841500000003</v>
      </c>
      <c r="AA416" t="s">
        <v>679</v>
      </c>
      <c r="AC416" s="5">
        <v>4</v>
      </c>
      <c r="AD416" t="s">
        <v>1140</v>
      </c>
      <c r="AE416" t="str">
        <f t="shared" si="33"/>
        <v>2024-03</v>
      </c>
      <c r="AF416" t="str">
        <f t="shared" si="34"/>
        <v>Q1-2024</v>
      </c>
    </row>
    <row r="417" spans="1:32" x14ac:dyDescent="0.3">
      <c r="A417" t="s">
        <v>1678</v>
      </c>
      <c r="B417" s="5">
        <v>1</v>
      </c>
      <c r="C417" s="4">
        <v>45976</v>
      </c>
      <c r="D417" s="4">
        <v>45978</v>
      </c>
      <c r="E417" t="s">
        <v>182</v>
      </c>
      <c r="F417" t="s">
        <v>1679</v>
      </c>
      <c r="G417" t="s">
        <v>74</v>
      </c>
      <c r="H417" t="s">
        <v>23</v>
      </c>
      <c r="I417" t="s">
        <v>93</v>
      </c>
      <c r="J417" t="s">
        <v>1192</v>
      </c>
      <c r="K417" t="s">
        <v>1680</v>
      </c>
      <c r="L417" t="s">
        <v>861</v>
      </c>
      <c r="M417" t="s">
        <v>795</v>
      </c>
      <c r="N417" t="s">
        <v>837</v>
      </c>
      <c r="O417" t="s">
        <v>862</v>
      </c>
      <c r="P417" t="s">
        <v>37</v>
      </c>
      <c r="Q417" t="s">
        <v>38</v>
      </c>
      <c r="R417" t="s">
        <v>1088</v>
      </c>
      <c r="S417" t="s">
        <v>1109</v>
      </c>
      <c r="T417" s="5">
        <v>22</v>
      </c>
      <c r="U417" s="6">
        <v>300.33999999999997</v>
      </c>
      <c r="V417" s="6">
        <v>195.61</v>
      </c>
      <c r="W417" s="8">
        <v>0.315</v>
      </c>
      <c r="X417" s="6">
        <f t="shared" si="30"/>
        <v>4526.1238000000003</v>
      </c>
      <c r="Y417" s="6">
        <f t="shared" si="31"/>
        <v>4303.42</v>
      </c>
      <c r="Z417" s="6">
        <f t="shared" si="32"/>
        <v>222.70380000000023</v>
      </c>
      <c r="AA417" t="s">
        <v>679</v>
      </c>
      <c r="AC417" s="5">
        <v>3</v>
      </c>
      <c r="AD417" t="s">
        <v>1123</v>
      </c>
      <c r="AE417" t="str">
        <f t="shared" si="33"/>
        <v>2025-11</v>
      </c>
      <c r="AF417" t="str">
        <f t="shared" si="34"/>
        <v>Q4-2025</v>
      </c>
    </row>
    <row r="418" spans="1:32" x14ac:dyDescent="0.3">
      <c r="A418" t="s">
        <v>1681</v>
      </c>
      <c r="B418" s="5">
        <v>5</v>
      </c>
      <c r="C418" s="4">
        <v>45604</v>
      </c>
      <c r="D418" s="4">
        <v>45614</v>
      </c>
      <c r="E418" t="s">
        <v>235</v>
      </c>
      <c r="F418" t="s">
        <v>236</v>
      </c>
      <c r="G418" t="s">
        <v>104</v>
      </c>
      <c r="H418" t="s">
        <v>23</v>
      </c>
      <c r="I418" t="s">
        <v>81</v>
      </c>
      <c r="J418" t="s">
        <v>1119</v>
      </c>
      <c r="K418" t="s">
        <v>1291</v>
      </c>
      <c r="L418" t="s">
        <v>830</v>
      </c>
      <c r="M418" t="s">
        <v>795</v>
      </c>
      <c r="N418" t="s">
        <v>796</v>
      </c>
      <c r="O418" t="s">
        <v>831</v>
      </c>
      <c r="P418" t="s">
        <v>29</v>
      </c>
      <c r="Q418" t="s">
        <v>30</v>
      </c>
      <c r="R418" t="s">
        <v>1114</v>
      </c>
      <c r="S418" t="s">
        <v>1100</v>
      </c>
      <c r="T418" s="5">
        <v>3</v>
      </c>
      <c r="U418" s="6">
        <v>176.66</v>
      </c>
      <c r="V418" s="6">
        <v>121.11</v>
      </c>
      <c r="W418" s="8">
        <v>2.53E-2</v>
      </c>
      <c r="X418" s="6">
        <f t="shared" si="30"/>
        <v>516.571506</v>
      </c>
      <c r="Y418" s="6">
        <f t="shared" si="31"/>
        <v>363.33</v>
      </c>
      <c r="Z418" s="6">
        <f t="shared" si="32"/>
        <v>153.24150600000002</v>
      </c>
      <c r="AA418" t="s">
        <v>679</v>
      </c>
      <c r="AC418" s="5">
        <v>3</v>
      </c>
      <c r="AD418" t="s">
        <v>1148</v>
      </c>
      <c r="AE418" t="str">
        <f t="shared" si="33"/>
        <v>2024-11</v>
      </c>
      <c r="AF418" t="str">
        <f t="shared" si="34"/>
        <v>Q4-2024</v>
      </c>
    </row>
    <row r="419" spans="1:32" x14ac:dyDescent="0.3">
      <c r="A419" t="s">
        <v>1682</v>
      </c>
      <c r="B419" s="5">
        <v>1</v>
      </c>
      <c r="C419" s="4">
        <v>45798</v>
      </c>
      <c r="D419" s="4">
        <v>45803</v>
      </c>
      <c r="E419" t="s">
        <v>136</v>
      </c>
      <c r="F419" t="s">
        <v>137</v>
      </c>
      <c r="G419" t="s">
        <v>65</v>
      </c>
      <c r="H419" t="s">
        <v>20</v>
      </c>
      <c r="I419" t="s">
        <v>71</v>
      </c>
      <c r="J419" t="s">
        <v>1112</v>
      </c>
      <c r="K419" t="s">
        <v>1178</v>
      </c>
      <c r="L419" t="s">
        <v>895</v>
      </c>
      <c r="M419" t="s">
        <v>795</v>
      </c>
      <c r="N419" t="s">
        <v>837</v>
      </c>
      <c r="O419" t="s">
        <v>896</v>
      </c>
      <c r="P419" t="s">
        <v>34</v>
      </c>
      <c r="Q419" t="s">
        <v>35</v>
      </c>
      <c r="R419" t="s">
        <v>1088</v>
      </c>
      <c r="S419" t="s">
        <v>1109</v>
      </c>
      <c r="T419" s="5">
        <v>20</v>
      </c>
      <c r="U419" s="6">
        <v>200.3</v>
      </c>
      <c r="V419" s="6">
        <v>131.16</v>
      </c>
      <c r="W419" s="8">
        <v>0</v>
      </c>
      <c r="X419" s="6">
        <f t="shared" si="30"/>
        <v>4006</v>
      </c>
      <c r="Y419" s="6">
        <f t="shared" si="31"/>
        <v>2623.2</v>
      </c>
      <c r="Z419" s="6">
        <f t="shared" si="32"/>
        <v>1382.8000000000002</v>
      </c>
      <c r="AA419" t="s">
        <v>679</v>
      </c>
      <c r="AC419" s="5">
        <v>4</v>
      </c>
      <c r="AD419" t="s">
        <v>1105</v>
      </c>
      <c r="AE419" t="str">
        <f t="shared" si="33"/>
        <v>2025-05</v>
      </c>
      <c r="AF419" t="str">
        <f t="shared" si="34"/>
        <v>Q2-2025</v>
      </c>
    </row>
    <row r="420" spans="1:32" x14ac:dyDescent="0.3">
      <c r="A420" t="s">
        <v>1683</v>
      </c>
      <c r="B420" s="5">
        <v>3</v>
      </c>
      <c r="C420" s="4">
        <v>46010</v>
      </c>
      <c r="D420" s="4">
        <v>46016</v>
      </c>
      <c r="E420" t="s">
        <v>586</v>
      </c>
      <c r="F420" t="s">
        <v>587</v>
      </c>
      <c r="G420" t="s">
        <v>80</v>
      </c>
      <c r="H420" t="s">
        <v>41</v>
      </c>
      <c r="I420" t="s">
        <v>75</v>
      </c>
      <c r="J420" t="s">
        <v>1142</v>
      </c>
      <c r="K420" t="s">
        <v>1205</v>
      </c>
      <c r="L420" t="s">
        <v>843</v>
      </c>
      <c r="M420" t="s">
        <v>795</v>
      </c>
      <c r="N420" t="s">
        <v>837</v>
      </c>
      <c r="O420" t="s">
        <v>844</v>
      </c>
      <c r="P420" t="s">
        <v>46</v>
      </c>
      <c r="Q420" t="s">
        <v>47</v>
      </c>
      <c r="R420" t="s">
        <v>1088</v>
      </c>
      <c r="S420" t="s">
        <v>1109</v>
      </c>
      <c r="T420" s="5">
        <v>8</v>
      </c>
      <c r="U420" s="6">
        <v>219.44</v>
      </c>
      <c r="V420" s="6">
        <v>170.4</v>
      </c>
      <c r="W420" s="8">
        <v>0</v>
      </c>
      <c r="X420" s="6">
        <f t="shared" si="30"/>
        <v>1755.52</v>
      </c>
      <c r="Y420" s="6">
        <f t="shared" si="31"/>
        <v>1363.2</v>
      </c>
      <c r="Z420" s="6">
        <f t="shared" si="32"/>
        <v>392.31999999999994</v>
      </c>
      <c r="AA420" t="s">
        <v>679</v>
      </c>
      <c r="AC420" s="5">
        <v>1</v>
      </c>
      <c r="AD420" t="s">
        <v>1110</v>
      </c>
      <c r="AE420" t="str">
        <f t="shared" si="33"/>
        <v>2025-12</v>
      </c>
      <c r="AF420" t="str">
        <f t="shared" si="34"/>
        <v>Q4-2025</v>
      </c>
    </row>
    <row r="421" spans="1:32" x14ac:dyDescent="0.3">
      <c r="A421" t="s">
        <v>1684</v>
      </c>
      <c r="B421" s="5">
        <v>2</v>
      </c>
      <c r="C421" s="4">
        <v>45679</v>
      </c>
      <c r="D421" s="4">
        <v>45680</v>
      </c>
      <c r="E421" t="s">
        <v>322</v>
      </c>
      <c r="F421" t="s">
        <v>323</v>
      </c>
      <c r="G421" t="s">
        <v>104</v>
      </c>
      <c r="H421" t="s">
        <v>23</v>
      </c>
      <c r="I421" t="s">
        <v>93</v>
      </c>
      <c r="J421" t="s">
        <v>1450</v>
      </c>
      <c r="K421" t="s">
        <v>1506</v>
      </c>
      <c r="L421" t="s">
        <v>667</v>
      </c>
      <c r="M421" t="s">
        <v>659</v>
      </c>
      <c r="N421" t="s">
        <v>660</v>
      </c>
      <c r="O421" t="s">
        <v>668</v>
      </c>
      <c r="P421" t="s">
        <v>46</v>
      </c>
      <c r="Q421" t="s">
        <v>47</v>
      </c>
      <c r="R421" t="s">
        <v>1114</v>
      </c>
      <c r="S421" t="s">
        <v>1089</v>
      </c>
      <c r="T421" s="5">
        <v>18</v>
      </c>
      <c r="U421" s="6">
        <v>8.23</v>
      </c>
      <c r="V421" s="6">
        <v>5</v>
      </c>
      <c r="W421" s="8">
        <v>0</v>
      </c>
      <c r="X421" s="6">
        <f t="shared" si="30"/>
        <v>148.14000000000001</v>
      </c>
      <c r="Y421" s="6">
        <f t="shared" si="31"/>
        <v>90</v>
      </c>
      <c r="Z421" s="6">
        <f t="shared" si="32"/>
        <v>58.140000000000015</v>
      </c>
      <c r="AA421" t="s">
        <v>679</v>
      </c>
      <c r="AC421" s="5">
        <v>2</v>
      </c>
      <c r="AD421" t="s">
        <v>1148</v>
      </c>
      <c r="AE421" t="str">
        <f t="shared" si="33"/>
        <v>2025-01</v>
      </c>
      <c r="AF421" t="str">
        <f t="shared" si="34"/>
        <v>Q1-2025</v>
      </c>
    </row>
    <row r="422" spans="1:32" x14ac:dyDescent="0.3">
      <c r="A422" t="s">
        <v>1685</v>
      </c>
      <c r="B422" s="5">
        <v>2</v>
      </c>
      <c r="C422" s="4">
        <v>45390</v>
      </c>
      <c r="D422" s="4">
        <v>45401</v>
      </c>
      <c r="E422" t="s">
        <v>68</v>
      </c>
      <c r="F422" t="s">
        <v>69</v>
      </c>
      <c r="G422" t="s">
        <v>65</v>
      </c>
      <c r="H422" t="s">
        <v>41</v>
      </c>
      <c r="I422" t="s">
        <v>86</v>
      </c>
      <c r="J422" t="s">
        <v>1086</v>
      </c>
      <c r="K422" t="s">
        <v>1234</v>
      </c>
      <c r="L422" t="s">
        <v>1040</v>
      </c>
      <c r="M422" t="s">
        <v>1002</v>
      </c>
      <c r="N422" t="s">
        <v>1034</v>
      </c>
      <c r="O422" t="s">
        <v>1041</v>
      </c>
      <c r="P422" t="s">
        <v>21</v>
      </c>
      <c r="Q422" t="s">
        <v>22</v>
      </c>
      <c r="R422" t="s">
        <v>1088</v>
      </c>
      <c r="S422" t="s">
        <v>1156</v>
      </c>
      <c r="T422" s="5">
        <v>6</v>
      </c>
      <c r="U422" s="6">
        <v>52.13</v>
      </c>
      <c r="V422" s="6">
        <v>35.729999999999997</v>
      </c>
      <c r="W422" s="8">
        <v>0</v>
      </c>
      <c r="X422" s="6">
        <f t="shared" si="30"/>
        <v>312.78000000000003</v>
      </c>
      <c r="Y422" s="6">
        <f t="shared" si="31"/>
        <v>214.38</v>
      </c>
      <c r="Z422" s="6">
        <f t="shared" si="32"/>
        <v>98.400000000000034</v>
      </c>
      <c r="AA422" t="s">
        <v>679</v>
      </c>
      <c r="AC422" s="5">
        <v>5</v>
      </c>
      <c r="AE422" t="str">
        <f t="shared" si="33"/>
        <v>2024-04</v>
      </c>
      <c r="AF422" t="str">
        <f t="shared" si="34"/>
        <v>Q2-2024</v>
      </c>
    </row>
    <row r="423" spans="1:32" x14ac:dyDescent="0.3">
      <c r="A423" t="s">
        <v>1686</v>
      </c>
      <c r="B423" s="5">
        <v>5</v>
      </c>
      <c r="C423" s="4">
        <v>45303</v>
      </c>
      <c r="D423" s="4">
        <v>45304</v>
      </c>
      <c r="E423" t="s">
        <v>283</v>
      </c>
      <c r="F423" t="s">
        <v>284</v>
      </c>
      <c r="G423" t="s">
        <v>84</v>
      </c>
      <c r="H423" t="s">
        <v>31</v>
      </c>
      <c r="I423" t="s">
        <v>67</v>
      </c>
      <c r="J423" t="s">
        <v>1207</v>
      </c>
      <c r="K423" t="s">
        <v>1368</v>
      </c>
      <c r="L423" t="s">
        <v>760</v>
      </c>
      <c r="M423" t="s">
        <v>659</v>
      </c>
      <c r="N423" t="s">
        <v>754</v>
      </c>
      <c r="O423" t="s">
        <v>761</v>
      </c>
      <c r="P423" t="s">
        <v>46</v>
      </c>
      <c r="Q423" t="s">
        <v>47</v>
      </c>
      <c r="R423" t="s">
        <v>1088</v>
      </c>
      <c r="S423" t="s">
        <v>1089</v>
      </c>
      <c r="T423" s="5">
        <v>6</v>
      </c>
      <c r="U423" s="6">
        <v>108.76</v>
      </c>
      <c r="V423" s="6">
        <v>81.96</v>
      </c>
      <c r="W423" s="8">
        <v>0</v>
      </c>
      <c r="X423" s="6">
        <f t="shared" si="30"/>
        <v>652.56000000000006</v>
      </c>
      <c r="Y423" s="6">
        <f t="shared" si="31"/>
        <v>491.76</v>
      </c>
      <c r="Z423" s="6">
        <f t="shared" si="32"/>
        <v>160.80000000000007</v>
      </c>
      <c r="AA423" t="s">
        <v>679</v>
      </c>
      <c r="AC423" s="5">
        <v>3</v>
      </c>
      <c r="AD423" t="s">
        <v>1148</v>
      </c>
      <c r="AE423" t="str">
        <f t="shared" si="33"/>
        <v>2024-01</v>
      </c>
      <c r="AF423" t="str">
        <f t="shared" si="34"/>
        <v>Q1-2024</v>
      </c>
    </row>
    <row r="424" spans="1:32" x14ac:dyDescent="0.3">
      <c r="A424" t="s">
        <v>1687</v>
      </c>
      <c r="B424" s="5">
        <v>2</v>
      </c>
      <c r="C424" s="4">
        <v>45840</v>
      </c>
      <c r="D424" s="4">
        <v>45840</v>
      </c>
      <c r="E424" t="s">
        <v>336</v>
      </c>
      <c r="F424" t="s">
        <v>337</v>
      </c>
      <c r="G424" t="s">
        <v>74</v>
      </c>
      <c r="H424" t="s">
        <v>31</v>
      </c>
      <c r="I424" t="s">
        <v>67</v>
      </c>
      <c r="J424" t="s">
        <v>1128</v>
      </c>
      <c r="K424" t="s">
        <v>1181</v>
      </c>
      <c r="L424" t="s">
        <v>694</v>
      </c>
      <c r="M424" t="s">
        <v>659</v>
      </c>
      <c r="N424" t="s">
        <v>660</v>
      </c>
      <c r="O424" t="s">
        <v>695</v>
      </c>
      <c r="P424" t="s">
        <v>37</v>
      </c>
      <c r="Q424" t="s">
        <v>38</v>
      </c>
      <c r="R424" t="s">
        <v>1088</v>
      </c>
      <c r="S424" t="s">
        <v>1156</v>
      </c>
      <c r="T424" s="5">
        <v>18</v>
      </c>
      <c r="U424" s="6">
        <v>192.87</v>
      </c>
      <c r="V424" s="6">
        <v>105.86</v>
      </c>
      <c r="W424" s="8"/>
      <c r="X424" s="6">
        <f t="shared" si="30"/>
        <v>3471.66</v>
      </c>
      <c r="Y424" s="6">
        <f t="shared" si="31"/>
        <v>1905.48</v>
      </c>
      <c r="Z424" s="6">
        <f t="shared" si="32"/>
        <v>1566.1799999999998</v>
      </c>
      <c r="AA424" t="s">
        <v>679</v>
      </c>
      <c r="AC424" s="5">
        <v>1</v>
      </c>
      <c r="AD424" t="s">
        <v>1136</v>
      </c>
      <c r="AE424" t="str">
        <f t="shared" si="33"/>
        <v>2025-07</v>
      </c>
      <c r="AF424" t="str">
        <f t="shared" si="34"/>
        <v>Q3-2025</v>
      </c>
    </row>
    <row r="425" spans="1:32" x14ac:dyDescent="0.3">
      <c r="A425" t="s">
        <v>1688</v>
      </c>
      <c r="B425" s="5">
        <v>3</v>
      </c>
      <c r="C425" s="4">
        <v>46011</v>
      </c>
      <c r="D425" s="4">
        <v>46021</v>
      </c>
      <c r="E425" t="s">
        <v>150</v>
      </c>
      <c r="F425" t="s">
        <v>151</v>
      </c>
      <c r="G425" t="s">
        <v>84</v>
      </c>
      <c r="H425" t="s">
        <v>31</v>
      </c>
      <c r="I425" t="s">
        <v>160</v>
      </c>
      <c r="J425" t="s">
        <v>1092</v>
      </c>
      <c r="K425" t="s">
        <v>1093</v>
      </c>
      <c r="L425" t="s">
        <v>849</v>
      </c>
      <c r="M425" t="s">
        <v>795</v>
      </c>
      <c r="N425" t="s">
        <v>837</v>
      </c>
      <c r="O425" t="s">
        <v>850</v>
      </c>
      <c r="P425" t="s">
        <v>46</v>
      </c>
      <c r="Q425" t="s">
        <v>47</v>
      </c>
      <c r="R425" t="s">
        <v>1114</v>
      </c>
      <c r="S425" t="s">
        <v>1095</v>
      </c>
      <c r="T425" s="5">
        <v>8</v>
      </c>
      <c r="U425" s="6">
        <v>105.03</v>
      </c>
      <c r="V425" s="6">
        <v>67.12</v>
      </c>
      <c r="W425" s="8">
        <v>0</v>
      </c>
      <c r="X425" s="6">
        <f t="shared" si="30"/>
        <v>840.24</v>
      </c>
      <c r="Y425" s="6">
        <f t="shared" si="31"/>
        <v>536.96</v>
      </c>
      <c r="Z425" s="6">
        <f t="shared" si="32"/>
        <v>303.27999999999997</v>
      </c>
      <c r="AA425" t="s">
        <v>679</v>
      </c>
      <c r="AC425" s="5">
        <v>3</v>
      </c>
      <c r="AD425" t="s">
        <v>1105</v>
      </c>
      <c r="AE425" t="str">
        <f t="shared" si="33"/>
        <v>2025-12</v>
      </c>
      <c r="AF425" t="str">
        <f t="shared" si="34"/>
        <v>Q4-2025</v>
      </c>
    </row>
    <row r="426" spans="1:32" x14ac:dyDescent="0.3">
      <c r="A426" t="s">
        <v>1689</v>
      </c>
      <c r="B426" s="5">
        <v>4</v>
      </c>
      <c r="C426" s="4">
        <v>45453</v>
      </c>
      <c r="D426" s="4">
        <v>45455</v>
      </c>
      <c r="E426" t="s">
        <v>469</v>
      </c>
      <c r="F426" t="s">
        <v>1690</v>
      </c>
      <c r="G426" t="s">
        <v>84</v>
      </c>
      <c r="H426" t="s">
        <v>41</v>
      </c>
      <c r="I426" t="s">
        <v>86</v>
      </c>
      <c r="J426" t="s">
        <v>1086</v>
      </c>
      <c r="K426" t="s">
        <v>1087</v>
      </c>
      <c r="L426" t="s">
        <v>861</v>
      </c>
      <c r="M426" t="s">
        <v>795</v>
      </c>
      <c r="N426" t="s">
        <v>837</v>
      </c>
      <c r="O426" t="s">
        <v>862</v>
      </c>
      <c r="P426" t="s">
        <v>50</v>
      </c>
      <c r="Q426" t="s">
        <v>51</v>
      </c>
      <c r="R426" t="s">
        <v>1114</v>
      </c>
      <c r="S426" t="s">
        <v>1095</v>
      </c>
      <c r="T426" s="5">
        <v>1</v>
      </c>
      <c r="U426" s="6">
        <v>295.98</v>
      </c>
      <c r="V426" s="6">
        <v>195.61</v>
      </c>
      <c r="W426" s="8">
        <v>0</v>
      </c>
      <c r="X426" s="6">
        <f t="shared" si="30"/>
        <v>295.98</v>
      </c>
      <c r="Y426" s="6">
        <f t="shared" si="31"/>
        <v>195.61</v>
      </c>
      <c r="Z426" s="6">
        <f t="shared" si="32"/>
        <v>100.37</v>
      </c>
      <c r="AA426" t="s">
        <v>662</v>
      </c>
      <c r="AB426" t="s">
        <v>1508</v>
      </c>
      <c r="AC426" s="5">
        <v>2</v>
      </c>
      <c r="AD426" t="s">
        <v>1140</v>
      </c>
      <c r="AE426" t="str">
        <f t="shared" si="33"/>
        <v>2024-06</v>
      </c>
      <c r="AF426" t="str">
        <f t="shared" si="34"/>
        <v>Q2-2024</v>
      </c>
    </row>
    <row r="427" spans="1:32" x14ac:dyDescent="0.3">
      <c r="A427" t="s">
        <v>1691</v>
      </c>
      <c r="B427" s="5">
        <v>2</v>
      </c>
      <c r="C427" s="4">
        <v>45607</v>
      </c>
      <c r="D427" s="4">
        <v>45620</v>
      </c>
      <c r="E427" t="s">
        <v>618</v>
      </c>
      <c r="F427" t="s">
        <v>122</v>
      </c>
      <c r="G427" t="s">
        <v>74</v>
      </c>
      <c r="H427" t="s">
        <v>31</v>
      </c>
      <c r="I427" t="s">
        <v>67</v>
      </c>
      <c r="J427" t="s">
        <v>1128</v>
      </c>
      <c r="K427" t="s">
        <v>1129</v>
      </c>
      <c r="L427" t="s">
        <v>981</v>
      </c>
      <c r="M427" t="s">
        <v>929</v>
      </c>
      <c r="N427" t="s">
        <v>971</v>
      </c>
      <c r="O427" t="s">
        <v>982</v>
      </c>
      <c r="P427" t="s">
        <v>46</v>
      </c>
      <c r="Q427" t="s">
        <v>47</v>
      </c>
      <c r="R427" t="s">
        <v>1094</v>
      </c>
      <c r="S427" t="s">
        <v>1095</v>
      </c>
      <c r="T427" s="5">
        <v>20</v>
      </c>
      <c r="U427" s="6">
        <v>113.14</v>
      </c>
      <c r="V427" s="6">
        <v>77.88</v>
      </c>
      <c r="W427" s="8">
        <v>0</v>
      </c>
      <c r="X427" s="6">
        <f t="shared" si="30"/>
        <v>2262.8000000000002</v>
      </c>
      <c r="Y427" s="6">
        <f t="shared" si="31"/>
        <v>1557.6</v>
      </c>
      <c r="Z427" s="6">
        <f t="shared" si="32"/>
        <v>705.20000000000027</v>
      </c>
      <c r="AA427" t="s">
        <v>679</v>
      </c>
      <c r="AC427" s="5"/>
      <c r="AD427" t="s">
        <v>1148</v>
      </c>
      <c r="AE427" t="str">
        <f t="shared" si="33"/>
        <v>2024-11</v>
      </c>
      <c r="AF427" t="str">
        <f t="shared" si="34"/>
        <v>Q4-2024</v>
      </c>
    </row>
    <row r="428" spans="1:32" x14ac:dyDescent="0.3">
      <c r="A428" t="s">
        <v>1692</v>
      </c>
      <c r="B428" s="5">
        <v>2</v>
      </c>
      <c r="C428" s="4">
        <v>45643</v>
      </c>
      <c r="D428" s="4">
        <v>45653</v>
      </c>
      <c r="E428" t="s">
        <v>509</v>
      </c>
      <c r="F428" t="s">
        <v>510</v>
      </c>
      <c r="G428" t="s">
        <v>84</v>
      </c>
      <c r="H428" t="s">
        <v>23</v>
      </c>
      <c r="I428" t="s">
        <v>81</v>
      </c>
      <c r="J428" t="s">
        <v>1119</v>
      </c>
      <c r="K428" t="s">
        <v>1291</v>
      </c>
      <c r="L428" t="s">
        <v>810</v>
      </c>
      <c r="M428" t="s">
        <v>795</v>
      </c>
      <c r="N428" t="s">
        <v>796</v>
      </c>
      <c r="O428" t="s">
        <v>811</v>
      </c>
      <c r="P428" t="s">
        <v>32</v>
      </c>
      <c r="Q428" t="s">
        <v>33</v>
      </c>
      <c r="R428" t="s">
        <v>1114</v>
      </c>
      <c r="S428" t="s">
        <v>1089</v>
      </c>
      <c r="T428" s="5">
        <v>12</v>
      </c>
      <c r="U428" s="6">
        <v>222.06</v>
      </c>
      <c r="V428" s="6">
        <v>141.55000000000001</v>
      </c>
      <c r="W428" s="8">
        <v>0</v>
      </c>
      <c r="X428" s="6">
        <f t="shared" si="30"/>
        <v>2664.7200000000003</v>
      </c>
      <c r="Y428" s="6">
        <f t="shared" si="31"/>
        <v>1698.6000000000001</v>
      </c>
      <c r="Z428" s="6">
        <f t="shared" si="32"/>
        <v>966.12000000000012</v>
      </c>
      <c r="AA428" t="s">
        <v>679</v>
      </c>
      <c r="AC428" s="5"/>
      <c r="AD428" t="s">
        <v>1090</v>
      </c>
      <c r="AE428" t="str">
        <f t="shared" si="33"/>
        <v>2024-12</v>
      </c>
      <c r="AF428" t="str">
        <f t="shared" si="34"/>
        <v>Q4-2024</v>
      </c>
    </row>
    <row r="429" spans="1:32" x14ac:dyDescent="0.3">
      <c r="A429" t="s">
        <v>1693</v>
      </c>
      <c r="B429" s="5">
        <v>5</v>
      </c>
      <c r="C429" s="4">
        <v>45636</v>
      </c>
      <c r="D429" s="4">
        <v>45647</v>
      </c>
      <c r="E429" t="s">
        <v>213</v>
      </c>
      <c r="F429" t="s">
        <v>214</v>
      </c>
      <c r="G429" t="s">
        <v>74</v>
      </c>
      <c r="H429" t="s">
        <v>31</v>
      </c>
      <c r="I429" t="s">
        <v>160</v>
      </c>
      <c r="J429" t="s">
        <v>1125</v>
      </c>
      <c r="K429" t="s">
        <v>1132</v>
      </c>
      <c r="L429" t="s">
        <v>973</v>
      </c>
      <c r="M429" t="s">
        <v>929</v>
      </c>
      <c r="N429" t="s">
        <v>971</v>
      </c>
      <c r="O429" t="s">
        <v>974</v>
      </c>
      <c r="P429" t="s">
        <v>42</v>
      </c>
      <c r="Q429" t="s">
        <v>43</v>
      </c>
      <c r="R429" t="s">
        <v>1088</v>
      </c>
      <c r="S429" t="s">
        <v>1089</v>
      </c>
      <c r="T429" s="5">
        <v>13</v>
      </c>
      <c r="U429" s="6">
        <v>69.56</v>
      </c>
      <c r="V429" s="6">
        <v>45.81</v>
      </c>
      <c r="W429" s="8">
        <v>0</v>
      </c>
      <c r="X429" s="6">
        <f t="shared" si="30"/>
        <v>904.28</v>
      </c>
      <c r="Y429" s="6">
        <f t="shared" si="31"/>
        <v>595.53</v>
      </c>
      <c r="Z429" s="6">
        <f t="shared" si="32"/>
        <v>308.75</v>
      </c>
      <c r="AA429" t="s">
        <v>679</v>
      </c>
      <c r="AC429" s="5">
        <v>5</v>
      </c>
      <c r="AD429" t="s">
        <v>1694</v>
      </c>
      <c r="AE429" t="str">
        <f t="shared" si="33"/>
        <v>2024-12</v>
      </c>
      <c r="AF429" t="str">
        <f t="shared" si="34"/>
        <v>Q4-2024</v>
      </c>
    </row>
    <row r="430" spans="1:32" x14ac:dyDescent="0.3">
      <c r="A430" t="s">
        <v>1695</v>
      </c>
      <c r="B430" s="5">
        <v>3</v>
      </c>
      <c r="C430" s="4">
        <v>46025</v>
      </c>
      <c r="D430" s="4">
        <v>46027</v>
      </c>
      <c r="E430" t="s">
        <v>144</v>
      </c>
      <c r="F430" t="s">
        <v>145</v>
      </c>
      <c r="G430" t="s">
        <v>74</v>
      </c>
      <c r="H430" t="s">
        <v>41</v>
      </c>
      <c r="I430" t="s">
        <v>86</v>
      </c>
      <c r="J430" t="s">
        <v>1086</v>
      </c>
      <c r="K430" t="s">
        <v>1175</v>
      </c>
      <c r="L430" t="s">
        <v>658</v>
      </c>
      <c r="M430" t="s">
        <v>659</v>
      </c>
      <c r="N430" t="s">
        <v>660</v>
      </c>
      <c r="O430" t="s">
        <v>661</v>
      </c>
      <c r="P430" t="s">
        <v>32</v>
      </c>
      <c r="Q430" t="s">
        <v>33</v>
      </c>
      <c r="R430" t="s">
        <v>1088</v>
      </c>
      <c r="S430" t="s">
        <v>1156</v>
      </c>
      <c r="T430" s="5">
        <v>16</v>
      </c>
      <c r="U430" s="6">
        <v>24.44</v>
      </c>
      <c r="V430" s="6">
        <v>15.75</v>
      </c>
      <c r="W430" s="8">
        <v>0</v>
      </c>
      <c r="X430" s="6">
        <f t="shared" si="30"/>
        <v>391.04</v>
      </c>
      <c r="Y430" s="6">
        <f t="shared" si="31"/>
        <v>252</v>
      </c>
      <c r="Z430" s="6">
        <f t="shared" si="32"/>
        <v>139.04000000000002</v>
      </c>
      <c r="AA430" t="s">
        <v>679</v>
      </c>
      <c r="AC430" s="5"/>
      <c r="AD430" t="s">
        <v>1148</v>
      </c>
      <c r="AE430" t="str">
        <f t="shared" si="33"/>
        <v>2026-01</v>
      </c>
      <c r="AF430" t="str">
        <f t="shared" si="34"/>
        <v>Q1-2026</v>
      </c>
    </row>
    <row r="431" spans="1:32" x14ac:dyDescent="0.3">
      <c r="A431" t="s">
        <v>1696</v>
      </c>
      <c r="B431" s="5">
        <v>1</v>
      </c>
      <c r="C431" s="4">
        <v>45599</v>
      </c>
      <c r="D431" s="4">
        <v>45610</v>
      </c>
      <c r="E431" t="s">
        <v>279</v>
      </c>
      <c r="F431" t="s">
        <v>280</v>
      </c>
      <c r="G431" t="s">
        <v>74</v>
      </c>
      <c r="H431" t="s">
        <v>31</v>
      </c>
      <c r="I431" t="s">
        <v>67</v>
      </c>
      <c r="J431" t="s">
        <v>1304</v>
      </c>
      <c r="K431" t="s">
        <v>1363</v>
      </c>
      <c r="L431" t="s">
        <v>1031</v>
      </c>
      <c r="M431" t="s">
        <v>1002</v>
      </c>
      <c r="N431" t="s">
        <v>1003</v>
      </c>
      <c r="O431" t="s">
        <v>1032</v>
      </c>
      <c r="P431" t="s">
        <v>50</v>
      </c>
      <c r="Q431" t="s">
        <v>51</v>
      </c>
      <c r="R431" t="s">
        <v>1114</v>
      </c>
      <c r="S431" t="s">
        <v>1109</v>
      </c>
      <c r="T431" s="5">
        <v>6</v>
      </c>
      <c r="U431" s="6">
        <v>256.33999999999997</v>
      </c>
      <c r="V431" s="6">
        <v>178.33</v>
      </c>
      <c r="W431" s="8">
        <v>0</v>
      </c>
      <c r="X431" s="6">
        <f t="shared" si="30"/>
        <v>1538.04</v>
      </c>
      <c r="Y431" s="6">
        <f t="shared" si="31"/>
        <v>1069.98</v>
      </c>
      <c r="Z431" s="6">
        <f t="shared" si="32"/>
        <v>468.05999999999995</v>
      </c>
      <c r="AA431" t="s">
        <v>679</v>
      </c>
      <c r="AC431" s="5">
        <v>2</v>
      </c>
      <c r="AD431" t="s">
        <v>1096</v>
      </c>
      <c r="AE431" t="str">
        <f t="shared" si="33"/>
        <v>2024-11</v>
      </c>
      <c r="AF431" t="str">
        <f t="shared" si="34"/>
        <v>Q4-2024</v>
      </c>
    </row>
    <row r="432" spans="1:32" x14ac:dyDescent="0.3">
      <c r="A432" t="s">
        <v>1697</v>
      </c>
      <c r="B432" s="5">
        <v>3</v>
      </c>
      <c r="C432" s="4">
        <v>45763</v>
      </c>
      <c r="D432" s="4">
        <v>45767</v>
      </c>
      <c r="E432" t="s">
        <v>532</v>
      </c>
      <c r="F432" t="s">
        <v>533</v>
      </c>
      <c r="G432" t="s">
        <v>80</v>
      </c>
      <c r="H432" t="s">
        <v>31</v>
      </c>
      <c r="I432" t="s">
        <v>67</v>
      </c>
      <c r="J432" t="s">
        <v>1207</v>
      </c>
      <c r="K432" t="s">
        <v>1698</v>
      </c>
      <c r="L432" t="s">
        <v>830</v>
      </c>
      <c r="M432" t="s">
        <v>795</v>
      </c>
      <c r="N432" t="s">
        <v>796</v>
      </c>
      <c r="O432" t="s">
        <v>831</v>
      </c>
      <c r="P432" t="s">
        <v>17</v>
      </c>
      <c r="Q432" t="s">
        <v>18</v>
      </c>
      <c r="R432" t="s">
        <v>1088</v>
      </c>
      <c r="S432" t="s">
        <v>1089</v>
      </c>
      <c r="T432" s="5">
        <v>15</v>
      </c>
      <c r="U432" s="6">
        <v>169.4</v>
      </c>
      <c r="V432" s="6">
        <v>121.11</v>
      </c>
      <c r="W432" s="8">
        <v>0</v>
      </c>
      <c r="X432" s="6">
        <f t="shared" si="30"/>
        <v>2541</v>
      </c>
      <c r="Y432" s="6">
        <f t="shared" si="31"/>
        <v>1816.65</v>
      </c>
      <c r="Z432" s="6">
        <f t="shared" si="32"/>
        <v>724.34999999999991</v>
      </c>
      <c r="AA432" t="s">
        <v>679</v>
      </c>
      <c r="AC432" s="5">
        <v>4</v>
      </c>
      <c r="AD432" t="s">
        <v>1110</v>
      </c>
      <c r="AE432" t="str">
        <f t="shared" si="33"/>
        <v>2025-04</v>
      </c>
      <c r="AF432" t="str">
        <f t="shared" si="34"/>
        <v>Q2-2025</v>
      </c>
    </row>
    <row r="433" spans="1:32" x14ac:dyDescent="0.3">
      <c r="A433" t="s">
        <v>1699</v>
      </c>
      <c r="B433" s="5">
        <v>1</v>
      </c>
      <c r="C433" s="4">
        <v>45956</v>
      </c>
      <c r="D433" s="4">
        <v>45960</v>
      </c>
      <c r="E433" t="s">
        <v>634</v>
      </c>
      <c r="F433" t="s">
        <v>635</v>
      </c>
      <c r="G433" t="s">
        <v>80</v>
      </c>
      <c r="H433" t="s">
        <v>23</v>
      </c>
      <c r="I433" t="s">
        <v>81</v>
      </c>
      <c r="J433" t="s">
        <v>1119</v>
      </c>
      <c r="K433" t="s">
        <v>1291</v>
      </c>
      <c r="L433" t="s">
        <v>1040</v>
      </c>
      <c r="M433" t="s">
        <v>1002</v>
      </c>
      <c r="N433" t="s">
        <v>1034</v>
      </c>
      <c r="O433" t="s">
        <v>1041</v>
      </c>
      <c r="P433" t="s">
        <v>46</v>
      </c>
      <c r="Q433" t="s">
        <v>47</v>
      </c>
      <c r="R433" t="s">
        <v>1088</v>
      </c>
      <c r="S433" t="s">
        <v>1109</v>
      </c>
      <c r="T433" s="5">
        <v>3</v>
      </c>
      <c r="U433" s="6">
        <v>58.74</v>
      </c>
      <c r="V433" s="6">
        <v>35.729999999999997</v>
      </c>
      <c r="W433" s="8">
        <v>0</v>
      </c>
      <c r="X433" s="6">
        <f t="shared" si="30"/>
        <v>176.22</v>
      </c>
      <c r="Y433" s="6">
        <f t="shared" si="31"/>
        <v>107.19</v>
      </c>
      <c r="Z433" s="6">
        <f t="shared" si="32"/>
        <v>69.03</v>
      </c>
      <c r="AA433" t="s">
        <v>679</v>
      </c>
      <c r="AC433" s="5"/>
      <c r="AD433" t="s">
        <v>1123</v>
      </c>
      <c r="AE433" t="str">
        <f t="shared" si="33"/>
        <v>2025-10</v>
      </c>
      <c r="AF433" t="str">
        <f t="shared" si="34"/>
        <v>Q4-2025</v>
      </c>
    </row>
    <row r="434" spans="1:32" x14ac:dyDescent="0.3">
      <c r="A434" t="s">
        <v>1700</v>
      </c>
      <c r="B434" s="5">
        <v>5</v>
      </c>
      <c r="C434" s="4">
        <v>45723</v>
      </c>
      <c r="D434" s="4">
        <v>45733</v>
      </c>
      <c r="E434" t="s">
        <v>241</v>
      </c>
      <c r="F434" t="s">
        <v>242</v>
      </c>
      <c r="G434" t="s">
        <v>84</v>
      </c>
      <c r="H434" t="s">
        <v>23</v>
      </c>
      <c r="I434" t="s">
        <v>93</v>
      </c>
      <c r="J434" t="s">
        <v>1192</v>
      </c>
      <c r="K434" t="s">
        <v>1227</v>
      </c>
      <c r="L434" t="s">
        <v>721</v>
      </c>
      <c r="M434" t="s">
        <v>659</v>
      </c>
      <c r="N434" t="s">
        <v>713</v>
      </c>
      <c r="O434" t="s">
        <v>722</v>
      </c>
      <c r="P434" t="s">
        <v>48</v>
      </c>
      <c r="Q434" t="s">
        <v>49</v>
      </c>
      <c r="R434" t="s">
        <v>126</v>
      </c>
      <c r="S434" t="s">
        <v>1109</v>
      </c>
      <c r="T434" s="5">
        <v>7</v>
      </c>
      <c r="U434" s="6">
        <v>24.13</v>
      </c>
      <c r="V434" s="6">
        <v>15.47</v>
      </c>
      <c r="W434" s="8">
        <v>0</v>
      </c>
      <c r="X434" s="6">
        <f t="shared" si="30"/>
        <v>168.91</v>
      </c>
      <c r="Y434" s="6">
        <f t="shared" si="31"/>
        <v>108.29</v>
      </c>
      <c r="Z434" s="6">
        <f t="shared" si="32"/>
        <v>60.61999999999999</v>
      </c>
      <c r="AA434" t="s">
        <v>662</v>
      </c>
      <c r="AB434" t="s">
        <v>1414</v>
      </c>
      <c r="AC434" s="5">
        <v>2</v>
      </c>
      <c r="AD434" t="s">
        <v>1110</v>
      </c>
      <c r="AE434" t="str">
        <f t="shared" si="33"/>
        <v>2025-03</v>
      </c>
      <c r="AF434" t="str">
        <f t="shared" si="34"/>
        <v>Q1-2025</v>
      </c>
    </row>
    <row r="435" spans="1:32" x14ac:dyDescent="0.3">
      <c r="A435" t="s">
        <v>1701</v>
      </c>
      <c r="B435" s="5">
        <v>4</v>
      </c>
      <c r="C435" s="4">
        <v>45316</v>
      </c>
      <c r="D435" s="4">
        <v>45324</v>
      </c>
      <c r="E435" t="s">
        <v>568</v>
      </c>
      <c r="F435" t="s">
        <v>569</v>
      </c>
      <c r="G435" t="s">
        <v>65</v>
      </c>
      <c r="H435" t="s">
        <v>23</v>
      </c>
      <c r="I435" t="s">
        <v>81</v>
      </c>
      <c r="J435" t="s">
        <v>1163</v>
      </c>
      <c r="K435" t="s">
        <v>1407</v>
      </c>
      <c r="L435" t="s">
        <v>696</v>
      </c>
      <c r="M435" t="s">
        <v>659</v>
      </c>
      <c r="N435" t="s">
        <v>660</v>
      </c>
      <c r="O435" t="s">
        <v>697</v>
      </c>
      <c r="P435" t="s">
        <v>17</v>
      </c>
      <c r="Q435" t="s">
        <v>18</v>
      </c>
      <c r="R435" t="s">
        <v>1088</v>
      </c>
      <c r="S435" t="s">
        <v>1109</v>
      </c>
      <c r="T435" s="5">
        <v>6</v>
      </c>
      <c r="U435" s="6">
        <v>97.41</v>
      </c>
      <c r="V435" s="6">
        <v>66.25</v>
      </c>
      <c r="W435" s="8">
        <v>0</v>
      </c>
      <c r="X435" s="6">
        <f t="shared" si="30"/>
        <v>584.46</v>
      </c>
      <c r="Y435" s="6">
        <f t="shared" si="31"/>
        <v>397.5</v>
      </c>
      <c r="Z435" s="6">
        <f t="shared" si="32"/>
        <v>186.96000000000004</v>
      </c>
      <c r="AA435" t="s">
        <v>679</v>
      </c>
      <c r="AC435" s="5">
        <v>1</v>
      </c>
      <c r="AD435" t="s">
        <v>1096</v>
      </c>
      <c r="AE435" t="str">
        <f t="shared" si="33"/>
        <v>2024-01</v>
      </c>
      <c r="AF435" t="str">
        <f t="shared" si="34"/>
        <v>Q1-2024</v>
      </c>
    </row>
    <row r="436" spans="1:32" x14ac:dyDescent="0.3">
      <c r="A436" t="s">
        <v>1702</v>
      </c>
      <c r="B436" s="5">
        <v>5</v>
      </c>
      <c r="C436" s="4">
        <v>45694</v>
      </c>
      <c r="D436" s="4">
        <v>45696</v>
      </c>
      <c r="E436" t="s">
        <v>342</v>
      </c>
      <c r="F436" t="s">
        <v>343</v>
      </c>
      <c r="G436" t="s">
        <v>74</v>
      </c>
      <c r="H436" t="s">
        <v>31</v>
      </c>
      <c r="I436" t="s">
        <v>67</v>
      </c>
      <c r="J436" t="s">
        <v>1304</v>
      </c>
      <c r="K436" t="s">
        <v>1363</v>
      </c>
      <c r="L436" t="s">
        <v>867</v>
      </c>
      <c r="M436" t="s">
        <v>795</v>
      </c>
      <c r="N436" t="s">
        <v>837</v>
      </c>
      <c r="O436" t="s">
        <v>868</v>
      </c>
      <c r="P436" t="s">
        <v>21</v>
      </c>
      <c r="Q436" t="s">
        <v>22</v>
      </c>
      <c r="R436" t="s">
        <v>1114</v>
      </c>
      <c r="S436" t="s">
        <v>1095</v>
      </c>
      <c r="T436" s="5">
        <v>12</v>
      </c>
      <c r="U436" s="6">
        <v>179.57</v>
      </c>
      <c r="V436" s="6">
        <v>90.21</v>
      </c>
      <c r="W436" s="8">
        <v>0</v>
      </c>
      <c r="X436" s="6">
        <f t="shared" si="30"/>
        <v>2154.84</v>
      </c>
      <c r="Y436" s="6">
        <f t="shared" si="31"/>
        <v>1082.52</v>
      </c>
      <c r="Z436" s="6">
        <f t="shared" si="32"/>
        <v>1072.3200000000002</v>
      </c>
      <c r="AA436" t="s">
        <v>662</v>
      </c>
      <c r="AB436" t="s">
        <v>1289</v>
      </c>
      <c r="AC436" s="5"/>
      <c r="AD436" t="s">
        <v>1244</v>
      </c>
      <c r="AE436" t="str">
        <f t="shared" si="33"/>
        <v>2025-02</v>
      </c>
      <c r="AF436" t="str">
        <f t="shared" si="34"/>
        <v>Q1-2025</v>
      </c>
    </row>
    <row r="437" spans="1:32" x14ac:dyDescent="0.3">
      <c r="A437" t="s">
        <v>1703</v>
      </c>
      <c r="B437" s="5">
        <v>3</v>
      </c>
      <c r="C437" s="4">
        <v>46003</v>
      </c>
      <c r="D437" s="4">
        <v>46013</v>
      </c>
      <c r="E437" t="s">
        <v>389</v>
      </c>
      <c r="F437" t="s">
        <v>390</v>
      </c>
      <c r="G437" t="s">
        <v>84</v>
      </c>
      <c r="H437" t="s">
        <v>31</v>
      </c>
      <c r="I437" t="s">
        <v>127</v>
      </c>
      <c r="J437" t="s">
        <v>1116</v>
      </c>
      <c r="K437" t="s">
        <v>1153</v>
      </c>
      <c r="L437" t="s">
        <v>991</v>
      </c>
      <c r="M437" t="s">
        <v>929</v>
      </c>
      <c r="N437" t="s">
        <v>971</v>
      </c>
      <c r="O437" t="s">
        <v>992</v>
      </c>
      <c r="P437" t="s">
        <v>27</v>
      </c>
      <c r="Q437" t="s">
        <v>28</v>
      </c>
      <c r="R437" t="s">
        <v>1094</v>
      </c>
      <c r="S437" t="s">
        <v>1089</v>
      </c>
      <c r="T437" s="5">
        <v>7</v>
      </c>
      <c r="U437" s="6">
        <v>292.07</v>
      </c>
      <c r="V437" s="6">
        <v>156.82</v>
      </c>
      <c r="W437" s="8">
        <v>0.13020000000000001</v>
      </c>
      <c r="X437" s="6">
        <f t="shared" si="30"/>
        <v>1778.2974020000001</v>
      </c>
      <c r="Y437" s="6">
        <f t="shared" si="31"/>
        <v>1097.74</v>
      </c>
      <c r="Z437" s="6">
        <f t="shared" si="32"/>
        <v>680.55740200000014</v>
      </c>
      <c r="AA437" t="s">
        <v>679</v>
      </c>
      <c r="AC437" s="5">
        <v>3</v>
      </c>
      <c r="AD437" t="s">
        <v>1090</v>
      </c>
      <c r="AE437" t="str">
        <f t="shared" si="33"/>
        <v>2025-12</v>
      </c>
      <c r="AF437" t="str">
        <f t="shared" si="34"/>
        <v>Q4-2025</v>
      </c>
    </row>
    <row r="438" spans="1:32" x14ac:dyDescent="0.3">
      <c r="A438" t="s">
        <v>1704</v>
      </c>
      <c r="B438" s="5">
        <v>2</v>
      </c>
      <c r="C438" s="4">
        <v>45800</v>
      </c>
      <c r="D438" s="4">
        <v>45807</v>
      </c>
      <c r="E438" t="s">
        <v>371</v>
      </c>
      <c r="F438" t="s">
        <v>372</v>
      </c>
      <c r="G438" t="s">
        <v>74</v>
      </c>
      <c r="H438" t="s">
        <v>20</v>
      </c>
      <c r="I438" t="s">
        <v>90</v>
      </c>
      <c r="J438" t="s">
        <v>1171</v>
      </c>
      <c r="K438" t="s">
        <v>1172</v>
      </c>
      <c r="L438" t="s">
        <v>675</v>
      </c>
      <c r="M438" t="s">
        <v>659</v>
      </c>
      <c r="N438" t="s">
        <v>660</v>
      </c>
      <c r="O438" t="s">
        <v>676</v>
      </c>
      <c r="P438" t="s">
        <v>42</v>
      </c>
      <c r="Q438" t="s">
        <v>43</v>
      </c>
      <c r="R438" t="s">
        <v>1088</v>
      </c>
      <c r="S438" t="s">
        <v>1109</v>
      </c>
      <c r="T438" s="5">
        <v>12</v>
      </c>
      <c r="U438" s="6">
        <v>28.96</v>
      </c>
      <c r="V438" s="6">
        <v>15.14</v>
      </c>
      <c r="W438" s="8">
        <v>0</v>
      </c>
      <c r="X438" s="6">
        <f t="shared" si="30"/>
        <v>347.52</v>
      </c>
      <c r="Y438" s="6">
        <f t="shared" si="31"/>
        <v>181.68</v>
      </c>
      <c r="Z438" s="6">
        <f t="shared" si="32"/>
        <v>165.83999999999997</v>
      </c>
      <c r="AA438" t="s">
        <v>679</v>
      </c>
      <c r="AC438" s="5">
        <v>4</v>
      </c>
      <c r="AD438" t="s">
        <v>1252</v>
      </c>
      <c r="AE438" t="str">
        <f t="shared" si="33"/>
        <v>2025-05</v>
      </c>
      <c r="AF438" t="str">
        <f t="shared" si="34"/>
        <v>Q2-2025</v>
      </c>
    </row>
    <row r="439" spans="1:32" x14ac:dyDescent="0.3">
      <c r="A439" t="s">
        <v>1705</v>
      </c>
      <c r="B439" s="5">
        <v>3</v>
      </c>
      <c r="C439" s="4">
        <v>45332</v>
      </c>
      <c r="D439" s="4">
        <v>45346</v>
      </c>
      <c r="E439" t="s">
        <v>227</v>
      </c>
      <c r="F439" t="s">
        <v>228</v>
      </c>
      <c r="G439" t="s">
        <v>80</v>
      </c>
      <c r="H439" t="s">
        <v>31</v>
      </c>
      <c r="I439" t="s">
        <v>127</v>
      </c>
      <c r="J439" t="s">
        <v>1116</v>
      </c>
      <c r="K439" t="s">
        <v>1357</v>
      </c>
      <c r="L439" t="s">
        <v>995</v>
      </c>
      <c r="M439" t="s">
        <v>929</v>
      </c>
      <c r="N439" t="s">
        <v>971</v>
      </c>
      <c r="O439" t="s">
        <v>996</v>
      </c>
      <c r="P439" t="s">
        <v>46</v>
      </c>
      <c r="Q439" t="s">
        <v>47</v>
      </c>
      <c r="R439" t="s">
        <v>126</v>
      </c>
      <c r="S439" t="s">
        <v>1089</v>
      </c>
      <c r="T439" s="5">
        <v>44</v>
      </c>
      <c r="U439" s="6">
        <v>275.02999999999997</v>
      </c>
      <c r="V439" s="6">
        <v>139.47</v>
      </c>
      <c r="W439" s="8">
        <v>0</v>
      </c>
      <c r="X439" s="6">
        <f t="shared" si="30"/>
        <v>12101.32</v>
      </c>
      <c r="Y439" s="6">
        <f t="shared" si="31"/>
        <v>6136.68</v>
      </c>
      <c r="Z439" s="6">
        <f t="shared" si="32"/>
        <v>5964.6399999999994</v>
      </c>
      <c r="AA439" t="s">
        <v>679</v>
      </c>
      <c r="AC439" s="5">
        <v>4</v>
      </c>
      <c r="AD439" t="s">
        <v>1123</v>
      </c>
      <c r="AE439" t="str">
        <f t="shared" si="33"/>
        <v>2024-02</v>
      </c>
      <c r="AF439" t="str">
        <f t="shared" si="34"/>
        <v>Q1-2024</v>
      </c>
    </row>
    <row r="440" spans="1:32" x14ac:dyDescent="0.3">
      <c r="A440" t="s">
        <v>1706</v>
      </c>
      <c r="B440" s="5">
        <v>1</v>
      </c>
      <c r="C440" s="4">
        <v>45704</v>
      </c>
      <c r="D440" s="4">
        <v>45714</v>
      </c>
      <c r="E440" t="s">
        <v>119</v>
      </c>
      <c r="F440" t="s">
        <v>120</v>
      </c>
      <c r="G440" t="s">
        <v>84</v>
      </c>
      <c r="H440" t="s">
        <v>41</v>
      </c>
      <c r="I440" t="s">
        <v>75</v>
      </c>
      <c r="J440" t="s">
        <v>1142</v>
      </c>
      <c r="K440" t="s">
        <v>1198</v>
      </c>
      <c r="L440" t="s">
        <v>751</v>
      </c>
      <c r="M440" t="s">
        <v>659</v>
      </c>
      <c r="N440" t="s">
        <v>713</v>
      </c>
      <c r="O440" t="s">
        <v>752</v>
      </c>
      <c r="P440" t="s">
        <v>17</v>
      </c>
      <c r="Q440" t="s">
        <v>18</v>
      </c>
      <c r="R440" t="s">
        <v>1094</v>
      </c>
      <c r="S440" t="s">
        <v>1109</v>
      </c>
      <c r="T440" s="5">
        <v>2</v>
      </c>
      <c r="U440" s="6">
        <v>156.72</v>
      </c>
      <c r="V440" s="6">
        <v>103.53</v>
      </c>
      <c r="W440" s="8">
        <v>0.1129</v>
      </c>
      <c r="X440" s="6">
        <f t="shared" si="30"/>
        <v>278.05262399999998</v>
      </c>
      <c r="Y440" s="6">
        <f t="shared" si="31"/>
        <v>207.06</v>
      </c>
      <c r="Z440" s="6">
        <f t="shared" si="32"/>
        <v>70.992623999999978</v>
      </c>
      <c r="AA440" t="s">
        <v>679</v>
      </c>
      <c r="AC440" s="5"/>
      <c r="AD440" t="s">
        <v>1140</v>
      </c>
      <c r="AE440" t="str">
        <f t="shared" si="33"/>
        <v>2025-02</v>
      </c>
      <c r="AF440" t="str">
        <f t="shared" si="34"/>
        <v>Q1-2025</v>
      </c>
    </row>
    <row r="441" spans="1:32" x14ac:dyDescent="0.3">
      <c r="A441" t="s">
        <v>1707</v>
      </c>
      <c r="B441" s="5">
        <v>4</v>
      </c>
      <c r="C441" s="4">
        <v>45298</v>
      </c>
      <c r="D441" s="4">
        <v>45308</v>
      </c>
      <c r="E441" t="s">
        <v>630</v>
      </c>
      <c r="F441" t="s">
        <v>331</v>
      </c>
      <c r="G441" t="s">
        <v>65</v>
      </c>
      <c r="H441" t="s">
        <v>41</v>
      </c>
      <c r="I441" t="s">
        <v>75</v>
      </c>
      <c r="J441" t="s">
        <v>1142</v>
      </c>
      <c r="K441" t="s">
        <v>1143</v>
      </c>
      <c r="L441" t="s">
        <v>1054</v>
      </c>
      <c r="M441" t="s">
        <v>1002</v>
      </c>
      <c r="N441" t="s">
        <v>1034</v>
      </c>
      <c r="O441" t="s">
        <v>1055</v>
      </c>
      <c r="P441" t="s">
        <v>17</v>
      </c>
      <c r="Q441" t="s">
        <v>18</v>
      </c>
      <c r="R441" t="s">
        <v>1088</v>
      </c>
      <c r="S441" t="s">
        <v>1109</v>
      </c>
      <c r="T441" s="5">
        <v>10</v>
      </c>
      <c r="U441" s="6">
        <v>236.47</v>
      </c>
      <c r="V441" s="6">
        <v>167.38</v>
      </c>
      <c r="W441" s="8">
        <v>0</v>
      </c>
      <c r="X441" s="6">
        <f t="shared" si="30"/>
        <v>2364.6999999999998</v>
      </c>
      <c r="Y441" s="6">
        <f t="shared" si="31"/>
        <v>1673.8</v>
      </c>
      <c r="Z441" s="6">
        <f t="shared" si="32"/>
        <v>690.89999999999986</v>
      </c>
      <c r="AA441" t="s">
        <v>679</v>
      </c>
      <c r="AC441" s="5">
        <v>4</v>
      </c>
      <c r="AD441" t="s">
        <v>1110</v>
      </c>
      <c r="AE441" t="str">
        <f t="shared" si="33"/>
        <v>2024-01</v>
      </c>
      <c r="AF441" t="str">
        <f t="shared" si="34"/>
        <v>Q1-2024</v>
      </c>
    </row>
    <row r="442" spans="1:32" x14ac:dyDescent="0.3">
      <c r="A442" t="s">
        <v>1708</v>
      </c>
      <c r="B442" s="5">
        <v>3</v>
      </c>
      <c r="C442" s="4">
        <v>45596</v>
      </c>
      <c r="D442" s="4">
        <v>45598</v>
      </c>
      <c r="E442" t="s">
        <v>570</v>
      </c>
      <c r="F442" t="s">
        <v>571</v>
      </c>
      <c r="G442" t="s">
        <v>74</v>
      </c>
      <c r="H442" t="s">
        <v>41</v>
      </c>
      <c r="I442" t="s">
        <v>75</v>
      </c>
      <c r="J442" t="s">
        <v>1142</v>
      </c>
      <c r="K442" t="s">
        <v>1205</v>
      </c>
      <c r="L442" t="s">
        <v>979</v>
      </c>
      <c r="M442" t="s">
        <v>929</v>
      </c>
      <c r="N442" t="s">
        <v>971</v>
      </c>
      <c r="O442" t="s">
        <v>980</v>
      </c>
      <c r="P442" t="s">
        <v>29</v>
      </c>
      <c r="Q442" t="s">
        <v>30</v>
      </c>
      <c r="R442" t="s">
        <v>1114</v>
      </c>
      <c r="S442" t="s">
        <v>1109</v>
      </c>
      <c r="T442" s="5">
        <v>10</v>
      </c>
      <c r="U442" s="6">
        <v>315.76</v>
      </c>
      <c r="V442" s="6">
        <v>158.03</v>
      </c>
      <c r="W442" s="8">
        <v>0</v>
      </c>
      <c r="X442" s="6">
        <f t="shared" si="30"/>
        <v>3157.6</v>
      </c>
      <c r="Y442" s="6">
        <f t="shared" si="31"/>
        <v>1580.3</v>
      </c>
      <c r="Z442" s="6">
        <f t="shared" si="32"/>
        <v>1577.3</v>
      </c>
      <c r="AA442" t="s">
        <v>679</v>
      </c>
      <c r="AC442" s="5"/>
      <c r="AD442" t="s">
        <v>1110</v>
      </c>
      <c r="AE442" t="str">
        <f t="shared" si="33"/>
        <v>2024-10</v>
      </c>
      <c r="AF442" t="str">
        <f t="shared" si="34"/>
        <v>Q4-2024</v>
      </c>
    </row>
    <row r="443" spans="1:32" x14ac:dyDescent="0.3">
      <c r="A443" t="s">
        <v>1709</v>
      </c>
      <c r="B443" s="5">
        <v>2</v>
      </c>
      <c r="C443" s="4">
        <v>45884</v>
      </c>
      <c r="D443" s="4">
        <v>45886</v>
      </c>
      <c r="E443" t="s">
        <v>291</v>
      </c>
      <c r="F443" t="s">
        <v>292</v>
      </c>
      <c r="G443" t="s">
        <v>65</v>
      </c>
      <c r="H443" t="s">
        <v>41</v>
      </c>
      <c r="I443" t="s">
        <v>86</v>
      </c>
      <c r="J443" t="s">
        <v>1107</v>
      </c>
      <c r="K443" t="s">
        <v>1439</v>
      </c>
      <c r="L443" t="s">
        <v>924</v>
      </c>
      <c r="M443" t="s">
        <v>795</v>
      </c>
      <c r="N443" t="s">
        <v>898</v>
      </c>
      <c r="O443" t="s">
        <v>925</v>
      </c>
      <c r="P443" t="s">
        <v>39</v>
      </c>
      <c r="Q443" t="s">
        <v>40</v>
      </c>
      <c r="R443" t="s">
        <v>1088</v>
      </c>
      <c r="S443" t="s">
        <v>1109</v>
      </c>
      <c r="T443" s="5">
        <v>1</v>
      </c>
      <c r="U443" s="6">
        <v>154.86000000000001</v>
      </c>
      <c r="V443" s="6">
        <v>97.84</v>
      </c>
      <c r="W443" s="8">
        <v>0</v>
      </c>
      <c r="X443" s="6">
        <f t="shared" si="30"/>
        <v>154.86000000000001</v>
      </c>
      <c r="Y443" s="6">
        <f t="shared" si="31"/>
        <v>97.84</v>
      </c>
      <c r="Z443" s="6">
        <f t="shared" si="32"/>
        <v>57.02000000000001</v>
      </c>
      <c r="AA443" t="s">
        <v>679</v>
      </c>
      <c r="AC443" s="5"/>
      <c r="AD443" t="s">
        <v>1136</v>
      </c>
      <c r="AE443" t="str">
        <f t="shared" si="33"/>
        <v>2025-08</v>
      </c>
      <c r="AF443" t="str">
        <f t="shared" si="34"/>
        <v>Q3-2025</v>
      </c>
    </row>
    <row r="444" spans="1:32" x14ac:dyDescent="0.3">
      <c r="A444" t="s">
        <v>1710</v>
      </c>
      <c r="B444" s="5">
        <v>4</v>
      </c>
      <c r="C444" s="4">
        <v>45521</v>
      </c>
      <c r="D444" s="4">
        <v>45530</v>
      </c>
      <c r="E444" t="s">
        <v>490</v>
      </c>
      <c r="F444" t="s">
        <v>491</v>
      </c>
      <c r="G444" t="s">
        <v>65</v>
      </c>
      <c r="H444" t="s">
        <v>23</v>
      </c>
      <c r="I444" t="s">
        <v>93</v>
      </c>
      <c r="J444" t="s">
        <v>1192</v>
      </c>
      <c r="K444" t="s">
        <v>1227</v>
      </c>
      <c r="L444" t="s">
        <v>1027</v>
      </c>
      <c r="M444" t="s">
        <v>1002</v>
      </c>
      <c r="N444" t="s">
        <v>1003</v>
      </c>
      <c r="O444" t="s">
        <v>1028</v>
      </c>
      <c r="P444" t="s">
        <v>53</v>
      </c>
      <c r="Q444" t="s">
        <v>54</v>
      </c>
      <c r="R444" t="s">
        <v>1114</v>
      </c>
      <c r="S444" t="s">
        <v>1156</v>
      </c>
      <c r="T444" s="5">
        <v>47</v>
      </c>
      <c r="U444" s="6">
        <v>213.5</v>
      </c>
      <c r="V444" s="6">
        <v>131.69</v>
      </c>
      <c r="W444" s="8">
        <v>0</v>
      </c>
      <c r="X444" s="6">
        <f t="shared" si="30"/>
        <v>10034.5</v>
      </c>
      <c r="Y444" s="6">
        <f t="shared" si="31"/>
        <v>6189.43</v>
      </c>
      <c r="Z444" s="6">
        <f t="shared" si="32"/>
        <v>3845.0699999999997</v>
      </c>
      <c r="AA444" t="s">
        <v>679</v>
      </c>
      <c r="AC444" s="5"/>
      <c r="AD444" t="s">
        <v>1105</v>
      </c>
      <c r="AE444" t="str">
        <f t="shared" si="33"/>
        <v>2024-08</v>
      </c>
      <c r="AF444" t="str">
        <f t="shared" si="34"/>
        <v>Q3-2024</v>
      </c>
    </row>
    <row r="445" spans="1:32" x14ac:dyDescent="0.3">
      <c r="A445" t="s">
        <v>1711</v>
      </c>
      <c r="B445" s="5">
        <v>1</v>
      </c>
      <c r="C445" s="4">
        <v>45492</v>
      </c>
      <c r="D445" s="4">
        <v>45492</v>
      </c>
      <c r="E445" t="s">
        <v>381</v>
      </c>
      <c r="F445" t="s">
        <v>382</v>
      </c>
      <c r="G445" t="s">
        <v>65</v>
      </c>
      <c r="H445" t="s">
        <v>23</v>
      </c>
      <c r="I445" t="s">
        <v>93</v>
      </c>
      <c r="J445" t="s">
        <v>1278</v>
      </c>
      <c r="K445" t="s">
        <v>1279</v>
      </c>
      <c r="L445" t="s">
        <v>698</v>
      </c>
      <c r="M445" t="s">
        <v>659</v>
      </c>
      <c r="N445" t="s">
        <v>660</v>
      </c>
      <c r="O445" t="s">
        <v>699</v>
      </c>
      <c r="P445" t="s">
        <v>21</v>
      </c>
      <c r="Q445" t="s">
        <v>22</v>
      </c>
      <c r="R445" t="s">
        <v>1088</v>
      </c>
      <c r="S445" t="s">
        <v>1100</v>
      </c>
      <c r="T445" s="5">
        <v>11</v>
      </c>
      <c r="U445" s="6">
        <v>7.9</v>
      </c>
      <c r="V445" s="6">
        <v>5</v>
      </c>
      <c r="W445" s="8">
        <v>0</v>
      </c>
      <c r="X445" s="6">
        <f t="shared" si="30"/>
        <v>86.9</v>
      </c>
      <c r="Y445" s="6">
        <f t="shared" si="31"/>
        <v>55</v>
      </c>
      <c r="Z445" s="6">
        <f t="shared" si="32"/>
        <v>31.900000000000006</v>
      </c>
      <c r="AA445" t="s">
        <v>679</v>
      </c>
      <c r="AC445" s="5">
        <v>4</v>
      </c>
      <c r="AD445" t="s">
        <v>1096</v>
      </c>
      <c r="AE445" t="str">
        <f t="shared" si="33"/>
        <v>2024-07</v>
      </c>
      <c r="AF445" t="str">
        <f t="shared" si="34"/>
        <v>Q3-2024</v>
      </c>
    </row>
    <row r="446" spans="1:32" x14ac:dyDescent="0.3">
      <c r="A446" t="s">
        <v>1712</v>
      </c>
      <c r="B446" s="5">
        <v>1</v>
      </c>
      <c r="C446" s="4">
        <v>45808</v>
      </c>
      <c r="D446" s="4">
        <v>45813</v>
      </c>
      <c r="E446" t="s">
        <v>340</v>
      </c>
      <c r="F446" t="s">
        <v>341</v>
      </c>
      <c r="G446" t="s">
        <v>74</v>
      </c>
      <c r="H446" t="s">
        <v>41</v>
      </c>
      <c r="I446" t="s">
        <v>75</v>
      </c>
      <c r="J446" t="s">
        <v>1142</v>
      </c>
      <c r="K446" t="s">
        <v>1198</v>
      </c>
      <c r="L446" t="s">
        <v>1025</v>
      </c>
      <c r="M446" t="s">
        <v>1002</v>
      </c>
      <c r="N446" t="s">
        <v>1003</v>
      </c>
      <c r="O446" t="s">
        <v>1026</v>
      </c>
      <c r="P446" t="s">
        <v>42</v>
      </c>
      <c r="Q446" t="s">
        <v>43</v>
      </c>
      <c r="R446" t="s">
        <v>1114</v>
      </c>
      <c r="S446" t="s">
        <v>1095</v>
      </c>
      <c r="T446" s="5">
        <v>13</v>
      </c>
      <c r="U446" s="6">
        <v>283.39999999999998</v>
      </c>
      <c r="V446" s="6">
        <v>211.46</v>
      </c>
      <c r="W446" s="8">
        <v>0</v>
      </c>
      <c r="X446" s="6">
        <f t="shared" si="30"/>
        <v>3684.2</v>
      </c>
      <c r="Y446" s="6">
        <f t="shared" si="31"/>
        <v>2748.98</v>
      </c>
      <c r="Z446" s="6">
        <f t="shared" si="32"/>
        <v>935.2199999999998</v>
      </c>
      <c r="AA446" t="s">
        <v>679</v>
      </c>
      <c r="AC446" s="5"/>
      <c r="AD446" t="s">
        <v>1123</v>
      </c>
      <c r="AE446" t="str">
        <f t="shared" si="33"/>
        <v>2025-05</v>
      </c>
      <c r="AF446" t="str">
        <f t="shared" si="34"/>
        <v>Q2-2025</v>
      </c>
    </row>
    <row r="447" spans="1:32" x14ac:dyDescent="0.3">
      <c r="A447" t="s">
        <v>1713</v>
      </c>
      <c r="B447" s="5">
        <v>2</v>
      </c>
      <c r="C447" s="4">
        <v>45915</v>
      </c>
      <c r="D447" s="4">
        <v>45922</v>
      </c>
      <c r="E447" t="s">
        <v>395</v>
      </c>
      <c r="F447" t="s">
        <v>396</v>
      </c>
      <c r="G447" t="s">
        <v>74</v>
      </c>
      <c r="H447" t="s">
        <v>41</v>
      </c>
      <c r="I447" t="s">
        <v>86</v>
      </c>
      <c r="J447" t="s">
        <v>1107</v>
      </c>
      <c r="K447" t="s">
        <v>1439</v>
      </c>
      <c r="L447" t="s">
        <v>665</v>
      </c>
      <c r="M447" t="s">
        <v>659</v>
      </c>
      <c r="N447" t="s">
        <v>660</v>
      </c>
      <c r="O447" t="s">
        <v>666</v>
      </c>
      <c r="P447" t="s">
        <v>44</v>
      </c>
      <c r="Q447" t="s">
        <v>45</v>
      </c>
      <c r="R447" t="s">
        <v>1088</v>
      </c>
      <c r="S447" t="s">
        <v>1089</v>
      </c>
      <c r="T447" s="5">
        <v>29</v>
      </c>
      <c r="U447" s="6">
        <v>189.7</v>
      </c>
      <c r="V447" s="6">
        <v>134.65</v>
      </c>
      <c r="W447" s="8">
        <v>0.25009999999999999</v>
      </c>
      <c r="X447" s="6">
        <f t="shared" si="30"/>
        <v>4125.4248699999998</v>
      </c>
      <c r="Y447" s="6">
        <f t="shared" si="31"/>
        <v>3904.8500000000004</v>
      </c>
      <c r="Z447" s="6">
        <f t="shared" si="32"/>
        <v>220.57486999999946</v>
      </c>
      <c r="AA447" t="s">
        <v>679</v>
      </c>
      <c r="AC447" s="5"/>
      <c r="AE447" t="str">
        <f t="shared" si="33"/>
        <v>2025-09</v>
      </c>
      <c r="AF447" t="str">
        <f t="shared" si="34"/>
        <v>Q3-2025</v>
      </c>
    </row>
    <row r="448" spans="1:32" x14ac:dyDescent="0.3">
      <c r="A448" t="s">
        <v>1714</v>
      </c>
      <c r="B448" s="5">
        <v>1</v>
      </c>
      <c r="C448" s="4">
        <v>46011</v>
      </c>
      <c r="D448" s="4">
        <v>46019</v>
      </c>
      <c r="E448" t="s">
        <v>530</v>
      </c>
      <c r="F448" t="s">
        <v>531</v>
      </c>
      <c r="G448" t="s">
        <v>65</v>
      </c>
      <c r="H448" t="s">
        <v>31</v>
      </c>
      <c r="I448" t="s">
        <v>67</v>
      </c>
      <c r="J448" t="s">
        <v>1128</v>
      </c>
      <c r="K448" t="s">
        <v>1129</v>
      </c>
      <c r="L448" t="s">
        <v>977</v>
      </c>
      <c r="M448" t="s">
        <v>929</v>
      </c>
      <c r="N448" t="s">
        <v>971</v>
      </c>
      <c r="O448" t="s">
        <v>978</v>
      </c>
      <c r="P448" t="s">
        <v>32</v>
      </c>
      <c r="Q448" t="s">
        <v>33</v>
      </c>
      <c r="R448" t="s">
        <v>1094</v>
      </c>
      <c r="S448" t="s">
        <v>1156</v>
      </c>
      <c r="T448" s="5">
        <v>13</v>
      </c>
      <c r="U448" s="6">
        <v>129.06</v>
      </c>
      <c r="V448" s="6">
        <v>86.07</v>
      </c>
      <c r="W448" s="8">
        <v>0</v>
      </c>
      <c r="X448" s="6">
        <f t="shared" si="30"/>
        <v>1677.78</v>
      </c>
      <c r="Y448" s="6">
        <f t="shared" si="31"/>
        <v>1118.9099999999999</v>
      </c>
      <c r="Z448" s="6">
        <f t="shared" si="32"/>
        <v>558.87000000000012</v>
      </c>
      <c r="AA448" t="s">
        <v>662</v>
      </c>
      <c r="AB448" t="s">
        <v>1414</v>
      </c>
      <c r="AC448" s="5">
        <v>2</v>
      </c>
      <c r="AD448" t="s">
        <v>1136</v>
      </c>
      <c r="AE448" t="str">
        <f t="shared" si="33"/>
        <v>2025-12</v>
      </c>
      <c r="AF448" t="str">
        <f t="shared" si="34"/>
        <v>Q4-2025</v>
      </c>
    </row>
    <row r="449" spans="1:32" x14ac:dyDescent="0.3">
      <c r="A449" t="s">
        <v>1715</v>
      </c>
      <c r="B449" s="5">
        <v>4</v>
      </c>
      <c r="C449" s="4">
        <v>45531</v>
      </c>
      <c r="D449" s="4">
        <v>45542</v>
      </c>
      <c r="E449" t="s">
        <v>201</v>
      </c>
      <c r="F449" t="s">
        <v>202</v>
      </c>
      <c r="G449" t="s">
        <v>65</v>
      </c>
      <c r="H449" t="s">
        <v>23</v>
      </c>
      <c r="I449" t="s">
        <v>93</v>
      </c>
      <c r="J449" t="s">
        <v>1278</v>
      </c>
      <c r="K449" t="s">
        <v>1521</v>
      </c>
      <c r="L449" t="s">
        <v>1052</v>
      </c>
      <c r="M449" t="s">
        <v>1002</v>
      </c>
      <c r="N449" t="s">
        <v>1034</v>
      </c>
      <c r="O449" t="s">
        <v>1053</v>
      </c>
      <c r="P449" t="s">
        <v>42</v>
      </c>
      <c r="Q449" t="s">
        <v>43</v>
      </c>
      <c r="R449" t="s">
        <v>1094</v>
      </c>
      <c r="S449" t="s">
        <v>1095</v>
      </c>
      <c r="T449" s="5">
        <v>10</v>
      </c>
      <c r="U449" s="6">
        <v>116.93</v>
      </c>
      <c r="V449" s="6">
        <v>81.599999999999994</v>
      </c>
      <c r="W449" s="8">
        <v>0</v>
      </c>
      <c r="X449" s="6">
        <f t="shared" si="30"/>
        <v>1169.3000000000002</v>
      </c>
      <c r="Y449" s="6">
        <f t="shared" si="31"/>
        <v>816</v>
      </c>
      <c r="Z449" s="6">
        <f t="shared" si="32"/>
        <v>353.30000000000018</v>
      </c>
      <c r="AA449" t="s">
        <v>662</v>
      </c>
      <c r="AB449" t="s">
        <v>1508</v>
      </c>
      <c r="AC449" s="5">
        <v>5</v>
      </c>
      <c r="AD449" t="s">
        <v>1105</v>
      </c>
      <c r="AE449" t="str">
        <f t="shared" si="33"/>
        <v>2024-08</v>
      </c>
      <c r="AF449" t="str">
        <f t="shared" si="34"/>
        <v>Q3-2024</v>
      </c>
    </row>
    <row r="450" spans="1:32" x14ac:dyDescent="0.3">
      <c r="A450" t="s">
        <v>1716</v>
      </c>
      <c r="B450" s="5">
        <v>3</v>
      </c>
      <c r="C450" s="4">
        <v>45783</v>
      </c>
      <c r="D450" s="4">
        <v>45789</v>
      </c>
      <c r="E450" t="s">
        <v>328</v>
      </c>
      <c r="F450" t="s">
        <v>329</v>
      </c>
      <c r="G450" t="s">
        <v>84</v>
      </c>
      <c r="H450" t="s">
        <v>20</v>
      </c>
      <c r="I450" t="s">
        <v>90</v>
      </c>
      <c r="J450" t="s">
        <v>1171</v>
      </c>
      <c r="K450" t="s">
        <v>1172</v>
      </c>
      <c r="L450" t="s">
        <v>706</v>
      </c>
      <c r="M450" t="s">
        <v>659</v>
      </c>
      <c r="N450" t="s">
        <v>660</v>
      </c>
      <c r="O450" t="s">
        <v>707</v>
      </c>
      <c r="P450" t="s">
        <v>42</v>
      </c>
      <c r="Q450" t="s">
        <v>43</v>
      </c>
      <c r="R450" t="s">
        <v>1088</v>
      </c>
      <c r="S450" t="s">
        <v>1109</v>
      </c>
      <c r="T450" s="5">
        <v>20</v>
      </c>
      <c r="U450" s="6">
        <v>68.099999999999994</v>
      </c>
      <c r="V450" s="6">
        <v>51.44</v>
      </c>
      <c r="W450" s="8">
        <v>0</v>
      </c>
      <c r="X450" s="6">
        <f t="shared" ref="X450:X513" si="35">T450*U450*(1-IF(ISBLANK(W450),0,W450))</f>
        <v>1362</v>
      </c>
      <c r="Y450" s="6">
        <f t="shared" ref="Y450:Y513" si="36">T450*V450</f>
        <v>1028.8</v>
      </c>
      <c r="Z450" s="6">
        <f t="shared" ref="Z450:Z513" si="37">X450-Y450</f>
        <v>333.20000000000005</v>
      </c>
      <c r="AA450" t="s">
        <v>679</v>
      </c>
      <c r="AC450" s="5">
        <v>1</v>
      </c>
      <c r="AD450" t="s">
        <v>1639</v>
      </c>
      <c r="AE450" t="str">
        <f t="shared" ref="AE450:AE513" si="38">TEXT(C450,"yyyy-mm")</f>
        <v>2025-05</v>
      </c>
      <c r="AF450" t="str">
        <f t="shared" ref="AF450:AF513" si="39">"Q"&amp;ROUNDUP(MONTH(C450)/3,0)&amp;"-"&amp;YEAR(C450)</f>
        <v>Q2-2025</v>
      </c>
    </row>
    <row r="451" spans="1:32" x14ac:dyDescent="0.3">
      <c r="A451" t="s">
        <v>1717</v>
      </c>
      <c r="B451" s="5">
        <v>4</v>
      </c>
      <c r="C451" s="4">
        <v>45308</v>
      </c>
      <c r="D451" s="4">
        <v>45313</v>
      </c>
      <c r="E451" t="s">
        <v>87</v>
      </c>
      <c r="F451" t="s">
        <v>88</v>
      </c>
      <c r="G451" t="s">
        <v>80</v>
      </c>
      <c r="H451" t="s">
        <v>23</v>
      </c>
      <c r="I451" t="s">
        <v>81</v>
      </c>
      <c r="J451" t="s">
        <v>1163</v>
      </c>
      <c r="K451" t="s">
        <v>1407</v>
      </c>
      <c r="L451" t="s">
        <v>940</v>
      </c>
      <c r="M451" t="s">
        <v>929</v>
      </c>
      <c r="N451" t="s">
        <v>930</v>
      </c>
      <c r="O451" t="s">
        <v>941</v>
      </c>
      <c r="P451" t="s">
        <v>17</v>
      </c>
      <c r="Q451" t="s">
        <v>18</v>
      </c>
      <c r="R451" t="s">
        <v>1088</v>
      </c>
      <c r="S451" t="s">
        <v>1089</v>
      </c>
      <c r="T451" s="5">
        <v>9</v>
      </c>
      <c r="U451" s="6">
        <v>204.6</v>
      </c>
      <c r="V451" s="6">
        <v>157.07</v>
      </c>
      <c r="W451" s="8">
        <v>0</v>
      </c>
      <c r="X451" s="6">
        <f t="shared" si="35"/>
        <v>1841.3999999999999</v>
      </c>
      <c r="Y451" s="6">
        <f t="shared" si="36"/>
        <v>1413.6299999999999</v>
      </c>
      <c r="Z451" s="6">
        <f t="shared" si="37"/>
        <v>427.77</v>
      </c>
      <c r="AA451" t="s">
        <v>679</v>
      </c>
      <c r="AC451" s="5"/>
      <c r="AD451" t="s">
        <v>1101</v>
      </c>
      <c r="AE451" t="str">
        <f t="shared" si="38"/>
        <v>2024-01</v>
      </c>
      <c r="AF451" t="str">
        <f t="shared" si="39"/>
        <v>Q1-2024</v>
      </c>
    </row>
    <row r="452" spans="1:32" x14ac:dyDescent="0.3">
      <c r="A452" t="s">
        <v>1718</v>
      </c>
      <c r="B452" s="5">
        <v>2</v>
      </c>
      <c r="C452" s="4">
        <v>45819</v>
      </c>
      <c r="D452" s="4">
        <v>45821</v>
      </c>
      <c r="E452" t="s">
        <v>152</v>
      </c>
      <c r="F452" t="s">
        <v>153</v>
      </c>
      <c r="G452" t="s">
        <v>74</v>
      </c>
      <c r="H452" t="s">
        <v>41</v>
      </c>
      <c r="I452" t="s">
        <v>86</v>
      </c>
      <c r="J452" t="s">
        <v>1086</v>
      </c>
      <c r="K452" t="s">
        <v>1234</v>
      </c>
      <c r="L452" t="s">
        <v>991</v>
      </c>
      <c r="M452" t="s">
        <v>929</v>
      </c>
      <c r="N452" t="s">
        <v>971</v>
      </c>
      <c r="O452" t="s">
        <v>992</v>
      </c>
      <c r="P452" t="s">
        <v>48</v>
      </c>
      <c r="Q452" t="s">
        <v>49</v>
      </c>
      <c r="R452" t="s">
        <v>1094</v>
      </c>
      <c r="S452" t="s">
        <v>1156</v>
      </c>
      <c r="T452" s="5">
        <v>11</v>
      </c>
      <c r="U452" s="6">
        <v>322.27</v>
      </c>
      <c r="V452" s="6">
        <v>156.82</v>
      </c>
      <c r="W452" s="8">
        <v>0.1258</v>
      </c>
      <c r="X452" s="6">
        <f t="shared" si="35"/>
        <v>3099.0127739999998</v>
      </c>
      <c r="Y452" s="6">
        <f t="shared" si="36"/>
        <v>1725.02</v>
      </c>
      <c r="Z452" s="6">
        <f t="shared" si="37"/>
        <v>1373.9927739999998</v>
      </c>
      <c r="AA452" t="s">
        <v>679</v>
      </c>
      <c r="AC452" s="5">
        <v>3</v>
      </c>
      <c r="AD452" t="s">
        <v>1105</v>
      </c>
      <c r="AE452" t="str">
        <f t="shared" si="38"/>
        <v>2025-06</v>
      </c>
      <c r="AF452" t="str">
        <f t="shared" si="39"/>
        <v>Q2-2025</v>
      </c>
    </row>
    <row r="453" spans="1:32" x14ac:dyDescent="0.3">
      <c r="A453" t="s">
        <v>1719</v>
      </c>
      <c r="B453" s="5">
        <v>2</v>
      </c>
      <c r="C453" s="4">
        <v>45427</v>
      </c>
      <c r="D453" s="4">
        <v>45434</v>
      </c>
      <c r="E453" t="s">
        <v>583</v>
      </c>
      <c r="F453" t="s">
        <v>584</v>
      </c>
      <c r="G453" t="s">
        <v>74</v>
      </c>
      <c r="H453" t="s">
        <v>41</v>
      </c>
      <c r="I453" t="s">
        <v>86</v>
      </c>
      <c r="J453" t="s">
        <v>1086</v>
      </c>
      <c r="K453" t="s">
        <v>1175</v>
      </c>
      <c r="L453" t="s">
        <v>936</v>
      </c>
      <c r="M453" t="s">
        <v>929</v>
      </c>
      <c r="N453" t="s">
        <v>930</v>
      </c>
      <c r="O453" t="s">
        <v>937</v>
      </c>
      <c r="P453" t="s">
        <v>29</v>
      </c>
      <c r="Q453" t="s">
        <v>30</v>
      </c>
      <c r="R453" t="s">
        <v>1094</v>
      </c>
      <c r="S453" t="s">
        <v>1109</v>
      </c>
      <c r="T453" s="5">
        <v>17</v>
      </c>
      <c r="U453" s="6">
        <v>202.79</v>
      </c>
      <c r="V453" s="6">
        <v>133.72</v>
      </c>
      <c r="W453" s="8">
        <v>0</v>
      </c>
      <c r="X453" s="6">
        <f t="shared" si="35"/>
        <v>3447.43</v>
      </c>
      <c r="Y453" s="6">
        <f t="shared" si="36"/>
        <v>2273.2399999999998</v>
      </c>
      <c r="Z453" s="6">
        <f t="shared" si="37"/>
        <v>1174.19</v>
      </c>
      <c r="AA453" t="s">
        <v>679</v>
      </c>
      <c r="AC453" s="5">
        <v>4</v>
      </c>
      <c r="AD453" t="s">
        <v>1136</v>
      </c>
      <c r="AE453" t="str">
        <f t="shared" si="38"/>
        <v>2024-05</v>
      </c>
      <c r="AF453" t="str">
        <f t="shared" si="39"/>
        <v>Q2-2024</v>
      </c>
    </row>
    <row r="454" spans="1:32" x14ac:dyDescent="0.3">
      <c r="A454" t="s">
        <v>1720</v>
      </c>
      <c r="B454" s="5">
        <v>3</v>
      </c>
      <c r="C454" s="4">
        <v>45612</v>
      </c>
      <c r="D454" s="4">
        <v>45625</v>
      </c>
      <c r="E454" t="s">
        <v>585</v>
      </c>
      <c r="F454" t="s">
        <v>238</v>
      </c>
      <c r="G454" t="s">
        <v>80</v>
      </c>
      <c r="H454" t="s">
        <v>41</v>
      </c>
      <c r="I454" t="s">
        <v>75</v>
      </c>
      <c r="J454" t="s">
        <v>1142</v>
      </c>
      <c r="K454" t="s">
        <v>1198</v>
      </c>
      <c r="L454" t="s">
        <v>839</v>
      </c>
      <c r="M454" t="s">
        <v>795</v>
      </c>
      <c r="N454" t="s">
        <v>837</v>
      </c>
      <c r="O454" t="s">
        <v>840</v>
      </c>
      <c r="P454" t="s">
        <v>21</v>
      </c>
      <c r="Q454" t="s">
        <v>22</v>
      </c>
      <c r="R454" t="s">
        <v>1114</v>
      </c>
      <c r="S454" t="s">
        <v>1100</v>
      </c>
      <c r="T454" s="5">
        <v>15</v>
      </c>
      <c r="U454" s="6">
        <v>241.36</v>
      </c>
      <c r="V454" s="6">
        <v>161.93</v>
      </c>
      <c r="W454" s="8">
        <v>0</v>
      </c>
      <c r="X454" s="6">
        <f t="shared" si="35"/>
        <v>3620.4</v>
      </c>
      <c r="Y454" s="6">
        <f t="shared" si="36"/>
        <v>2428.9500000000003</v>
      </c>
      <c r="Z454" s="6">
        <f t="shared" si="37"/>
        <v>1191.4499999999998</v>
      </c>
      <c r="AA454" t="s">
        <v>679</v>
      </c>
      <c r="AC454" s="5">
        <v>2</v>
      </c>
      <c r="AD454" t="s">
        <v>1136</v>
      </c>
      <c r="AE454" t="str">
        <f t="shared" si="38"/>
        <v>2024-11</v>
      </c>
      <c r="AF454" t="str">
        <f t="shared" si="39"/>
        <v>Q4-2024</v>
      </c>
    </row>
    <row r="455" spans="1:32" x14ac:dyDescent="0.3">
      <c r="A455" t="s">
        <v>1721</v>
      </c>
      <c r="B455" s="5">
        <v>2</v>
      </c>
      <c r="C455" s="4">
        <v>45876</v>
      </c>
      <c r="D455" s="4">
        <v>45879</v>
      </c>
      <c r="E455" t="s">
        <v>391</v>
      </c>
      <c r="F455" t="s">
        <v>392</v>
      </c>
      <c r="G455" t="s">
        <v>74</v>
      </c>
      <c r="H455" t="s">
        <v>20</v>
      </c>
      <c r="I455" t="s">
        <v>112</v>
      </c>
      <c r="J455" t="s">
        <v>1158</v>
      </c>
      <c r="K455" t="s">
        <v>1320</v>
      </c>
      <c r="L455" t="s">
        <v>800</v>
      </c>
      <c r="M455" t="s">
        <v>795</v>
      </c>
      <c r="N455" t="s">
        <v>796</v>
      </c>
      <c r="O455" t="s">
        <v>801</v>
      </c>
      <c r="P455" t="s">
        <v>42</v>
      </c>
      <c r="Q455" t="s">
        <v>43</v>
      </c>
      <c r="R455" t="s">
        <v>1094</v>
      </c>
      <c r="S455" t="s">
        <v>1156</v>
      </c>
      <c r="T455" s="5">
        <v>27</v>
      </c>
      <c r="U455" s="6">
        <v>236.61</v>
      </c>
      <c r="V455" s="6">
        <v>166.88</v>
      </c>
      <c r="W455" s="8">
        <v>0</v>
      </c>
      <c r="X455" s="6">
        <f t="shared" si="35"/>
        <v>6388.47</v>
      </c>
      <c r="Y455" s="6">
        <f t="shared" si="36"/>
        <v>4505.76</v>
      </c>
      <c r="Z455" s="6">
        <f t="shared" si="37"/>
        <v>1882.71</v>
      </c>
      <c r="AA455" t="s">
        <v>679</v>
      </c>
      <c r="AC455" s="5">
        <v>2</v>
      </c>
      <c r="AD455" t="s">
        <v>1090</v>
      </c>
      <c r="AE455" t="str">
        <f t="shared" si="38"/>
        <v>2025-08</v>
      </c>
      <c r="AF455" t="str">
        <f t="shared" si="39"/>
        <v>Q3-2025</v>
      </c>
    </row>
    <row r="456" spans="1:32" x14ac:dyDescent="0.3">
      <c r="A456" t="s">
        <v>1722</v>
      </c>
      <c r="B456" s="5">
        <v>3</v>
      </c>
      <c r="C456" s="4">
        <v>45950</v>
      </c>
      <c r="D456" s="4">
        <v>45953</v>
      </c>
      <c r="E456" t="s">
        <v>422</v>
      </c>
      <c r="F456" t="s">
        <v>423</v>
      </c>
      <c r="G456" t="s">
        <v>74</v>
      </c>
      <c r="H456" t="s">
        <v>20</v>
      </c>
      <c r="I456" t="s">
        <v>71</v>
      </c>
      <c r="J456" t="s">
        <v>1112</v>
      </c>
      <c r="K456" t="s">
        <v>1178</v>
      </c>
      <c r="L456" t="s">
        <v>788</v>
      </c>
      <c r="M456" t="s">
        <v>659</v>
      </c>
      <c r="N456" t="s">
        <v>754</v>
      </c>
      <c r="O456" t="s">
        <v>789</v>
      </c>
      <c r="P456" t="s">
        <v>34</v>
      </c>
      <c r="Q456" t="s">
        <v>35</v>
      </c>
      <c r="R456" t="s">
        <v>1094</v>
      </c>
      <c r="S456" t="s">
        <v>1109</v>
      </c>
      <c r="T456" s="5">
        <v>16</v>
      </c>
      <c r="U456" s="6">
        <v>60.89</v>
      </c>
      <c r="V456" s="6">
        <v>46.29</v>
      </c>
      <c r="W456" s="8">
        <v>0</v>
      </c>
      <c r="X456" s="6">
        <f t="shared" si="35"/>
        <v>974.24</v>
      </c>
      <c r="Y456" s="6">
        <f t="shared" si="36"/>
        <v>740.64</v>
      </c>
      <c r="Z456" s="6">
        <f t="shared" si="37"/>
        <v>233.60000000000002</v>
      </c>
      <c r="AA456" t="s">
        <v>679</v>
      </c>
      <c r="AC456" s="5">
        <v>5</v>
      </c>
      <c r="AD456" t="s">
        <v>1369</v>
      </c>
      <c r="AE456" t="str">
        <f t="shared" si="38"/>
        <v>2025-10</v>
      </c>
      <c r="AF456" t="str">
        <f t="shared" si="39"/>
        <v>Q4-2025</v>
      </c>
    </row>
    <row r="457" spans="1:32" x14ac:dyDescent="0.3">
      <c r="A457" t="s">
        <v>1723</v>
      </c>
      <c r="B457" s="5">
        <v>3</v>
      </c>
      <c r="C457" s="4">
        <v>45803</v>
      </c>
      <c r="D457" s="4">
        <v>45810</v>
      </c>
      <c r="E457" t="s">
        <v>618</v>
      </c>
      <c r="F457" t="s">
        <v>122</v>
      </c>
      <c r="G457" t="s">
        <v>74</v>
      </c>
      <c r="H457" t="s">
        <v>31</v>
      </c>
      <c r="I457" t="s">
        <v>160</v>
      </c>
      <c r="J457" t="s">
        <v>1092</v>
      </c>
      <c r="K457" t="s">
        <v>1135</v>
      </c>
      <c r="L457" t="s">
        <v>802</v>
      </c>
      <c r="M457" t="s">
        <v>795</v>
      </c>
      <c r="N457" t="s">
        <v>796</v>
      </c>
      <c r="O457" t="s">
        <v>803</v>
      </c>
      <c r="P457" t="s">
        <v>17</v>
      </c>
      <c r="Q457" t="s">
        <v>18</v>
      </c>
      <c r="R457" t="s">
        <v>126</v>
      </c>
      <c r="S457" t="s">
        <v>1156</v>
      </c>
      <c r="T457" s="5">
        <v>13</v>
      </c>
      <c r="U457" s="6">
        <v>254.14</v>
      </c>
      <c r="V457" s="6">
        <v>169.93</v>
      </c>
      <c r="W457" s="8">
        <v>0</v>
      </c>
      <c r="X457" s="6">
        <f t="shared" si="35"/>
        <v>3303.8199999999997</v>
      </c>
      <c r="Y457" s="6">
        <f t="shared" si="36"/>
        <v>2209.09</v>
      </c>
      <c r="Z457" s="6">
        <f t="shared" si="37"/>
        <v>1094.7299999999996</v>
      </c>
      <c r="AA457" t="s">
        <v>679</v>
      </c>
      <c r="AC457" s="5">
        <v>1</v>
      </c>
      <c r="AD457" t="s">
        <v>1101</v>
      </c>
      <c r="AE457" t="str">
        <f t="shared" si="38"/>
        <v>2025-05</v>
      </c>
      <c r="AF457" t="str">
        <f t="shared" si="39"/>
        <v>Q2-2025</v>
      </c>
    </row>
    <row r="458" spans="1:32" x14ac:dyDescent="0.3">
      <c r="A458" t="s">
        <v>1724</v>
      </c>
      <c r="B458" s="5">
        <v>1</v>
      </c>
      <c r="C458" s="4">
        <v>46000</v>
      </c>
      <c r="D458" s="4">
        <v>46006</v>
      </c>
      <c r="E458" t="s">
        <v>633</v>
      </c>
      <c r="F458" t="s">
        <v>506</v>
      </c>
      <c r="G458" t="s">
        <v>65</v>
      </c>
      <c r="H458" t="s">
        <v>23</v>
      </c>
      <c r="I458" t="s">
        <v>93</v>
      </c>
      <c r="J458" t="s">
        <v>1450</v>
      </c>
      <c r="K458" t="s">
        <v>1451</v>
      </c>
      <c r="L458" t="s">
        <v>989</v>
      </c>
      <c r="M458" t="s">
        <v>929</v>
      </c>
      <c r="N458" t="s">
        <v>971</v>
      </c>
      <c r="O458" t="s">
        <v>990</v>
      </c>
      <c r="P458" t="s">
        <v>46</v>
      </c>
      <c r="Q458" t="s">
        <v>47</v>
      </c>
      <c r="R458" t="s">
        <v>1088</v>
      </c>
      <c r="S458" t="s">
        <v>1095</v>
      </c>
      <c r="T458" s="5">
        <v>6</v>
      </c>
      <c r="U458" s="6">
        <v>338.97</v>
      </c>
      <c r="V458" s="6">
        <v>177.7</v>
      </c>
      <c r="W458" s="8">
        <v>0</v>
      </c>
      <c r="X458" s="6">
        <f t="shared" si="35"/>
        <v>2033.8200000000002</v>
      </c>
      <c r="Y458" s="6">
        <f t="shared" si="36"/>
        <v>1066.1999999999998</v>
      </c>
      <c r="Z458" s="6">
        <f t="shared" si="37"/>
        <v>967.62000000000035</v>
      </c>
      <c r="AA458" t="s">
        <v>679</v>
      </c>
      <c r="AC458" s="5">
        <v>5</v>
      </c>
      <c r="AD458" t="s">
        <v>1096</v>
      </c>
      <c r="AE458" t="str">
        <f t="shared" si="38"/>
        <v>2025-12</v>
      </c>
      <c r="AF458" t="str">
        <f t="shared" si="39"/>
        <v>Q4-2025</v>
      </c>
    </row>
    <row r="459" spans="1:32" x14ac:dyDescent="0.3">
      <c r="A459" t="s">
        <v>1725</v>
      </c>
      <c r="B459" s="5">
        <v>4</v>
      </c>
      <c r="C459" s="4">
        <v>45505</v>
      </c>
      <c r="D459" s="4">
        <v>45513</v>
      </c>
      <c r="E459" t="s">
        <v>246</v>
      </c>
      <c r="F459" t="s">
        <v>247</v>
      </c>
      <c r="G459" t="s">
        <v>74</v>
      </c>
      <c r="H459" t="s">
        <v>23</v>
      </c>
      <c r="I459" t="s">
        <v>81</v>
      </c>
      <c r="J459" t="s">
        <v>1163</v>
      </c>
      <c r="K459" t="s">
        <v>1164</v>
      </c>
      <c r="L459" t="s">
        <v>725</v>
      </c>
      <c r="M459" t="s">
        <v>659</v>
      </c>
      <c r="N459" t="s">
        <v>713</v>
      </c>
      <c r="O459" t="s">
        <v>726</v>
      </c>
      <c r="P459" t="s">
        <v>21</v>
      </c>
      <c r="Q459" t="s">
        <v>22</v>
      </c>
      <c r="R459" t="s">
        <v>1088</v>
      </c>
      <c r="S459" t="s">
        <v>1095</v>
      </c>
      <c r="T459" s="5">
        <v>7</v>
      </c>
      <c r="U459" s="6">
        <v>138.79</v>
      </c>
      <c r="V459" s="6">
        <v>94.07</v>
      </c>
      <c r="W459" s="8">
        <v>0</v>
      </c>
      <c r="X459" s="6">
        <f t="shared" si="35"/>
        <v>971.53</v>
      </c>
      <c r="Y459" s="6">
        <f t="shared" si="36"/>
        <v>658.49</v>
      </c>
      <c r="Z459" s="6">
        <f t="shared" si="37"/>
        <v>313.03999999999996</v>
      </c>
      <c r="AA459" t="s">
        <v>679</v>
      </c>
      <c r="AC459" s="5"/>
      <c r="AD459" t="s">
        <v>1105</v>
      </c>
      <c r="AE459" t="str">
        <f t="shared" si="38"/>
        <v>2024-08</v>
      </c>
      <c r="AF459" t="str">
        <f t="shared" si="39"/>
        <v>Q3-2024</v>
      </c>
    </row>
    <row r="460" spans="1:32" x14ac:dyDescent="0.3">
      <c r="A460" t="s">
        <v>1726</v>
      </c>
      <c r="B460" s="5">
        <v>1</v>
      </c>
      <c r="C460" s="4">
        <v>45715</v>
      </c>
      <c r="D460" s="4">
        <v>45726</v>
      </c>
      <c r="E460" t="s">
        <v>235</v>
      </c>
      <c r="F460" t="s">
        <v>236</v>
      </c>
      <c r="G460" t="s">
        <v>104</v>
      </c>
      <c r="H460" t="s">
        <v>41</v>
      </c>
      <c r="I460" t="s">
        <v>75</v>
      </c>
      <c r="J460" t="s">
        <v>1142</v>
      </c>
      <c r="K460" t="s">
        <v>1143</v>
      </c>
      <c r="L460" t="s">
        <v>804</v>
      </c>
      <c r="M460" t="s">
        <v>795</v>
      </c>
      <c r="N460" t="s">
        <v>796</v>
      </c>
      <c r="O460" t="s">
        <v>805</v>
      </c>
      <c r="P460" t="s">
        <v>27</v>
      </c>
      <c r="Q460" t="s">
        <v>28</v>
      </c>
      <c r="R460" t="s">
        <v>1114</v>
      </c>
      <c r="S460" t="s">
        <v>1095</v>
      </c>
      <c r="T460" s="5">
        <v>30</v>
      </c>
      <c r="U460" s="6">
        <v>175.99</v>
      </c>
      <c r="V460" s="6">
        <v>129.88</v>
      </c>
      <c r="W460" s="8">
        <v>0.1847</v>
      </c>
      <c r="X460" s="6">
        <f t="shared" si="35"/>
        <v>4304.5394100000003</v>
      </c>
      <c r="Y460" s="6">
        <f t="shared" si="36"/>
        <v>3896.3999999999996</v>
      </c>
      <c r="Z460" s="6">
        <f t="shared" si="37"/>
        <v>408.13941000000068</v>
      </c>
      <c r="AA460" t="s">
        <v>679</v>
      </c>
      <c r="AC460" s="5">
        <v>3</v>
      </c>
      <c r="AD460" t="s">
        <v>1110</v>
      </c>
      <c r="AE460" t="str">
        <f t="shared" si="38"/>
        <v>2025-02</v>
      </c>
      <c r="AF460" t="str">
        <f t="shared" si="39"/>
        <v>Q1-2025</v>
      </c>
    </row>
    <row r="461" spans="1:32" x14ac:dyDescent="0.3">
      <c r="A461" t="s">
        <v>1727</v>
      </c>
      <c r="B461" s="5">
        <v>4</v>
      </c>
      <c r="C461" s="4">
        <v>45469</v>
      </c>
      <c r="D461" s="4">
        <v>45481</v>
      </c>
      <c r="E461" t="s">
        <v>303</v>
      </c>
      <c r="F461" t="s">
        <v>304</v>
      </c>
      <c r="G461" t="s">
        <v>74</v>
      </c>
      <c r="H461" t="s">
        <v>31</v>
      </c>
      <c r="I461" t="s">
        <v>127</v>
      </c>
      <c r="J461" t="s">
        <v>1098</v>
      </c>
      <c r="K461" t="s">
        <v>1099</v>
      </c>
      <c r="L461" t="s">
        <v>790</v>
      </c>
      <c r="M461" t="s">
        <v>659</v>
      </c>
      <c r="N461" t="s">
        <v>754</v>
      </c>
      <c r="O461" t="s">
        <v>791</v>
      </c>
      <c r="P461" t="s">
        <v>46</v>
      </c>
      <c r="Q461" t="s">
        <v>47</v>
      </c>
      <c r="R461" t="s">
        <v>1088</v>
      </c>
      <c r="S461" t="s">
        <v>1109</v>
      </c>
      <c r="T461" s="5">
        <v>17</v>
      </c>
      <c r="U461" s="6">
        <v>108.4</v>
      </c>
      <c r="V461" s="6">
        <v>76.42</v>
      </c>
      <c r="W461" s="8">
        <v>0.25019999999999998</v>
      </c>
      <c r="X461" s="6">
        <f t="shared" si="35"/>
        <v>1381.7314400000002</v>
      </c>
      <c r="Y461" s="6">
        <f t="shared" si="36"/>
        <v>1299.1400000000001</v>
      </c>
      <c r="Z461" s="6">
        <f t="shared" si="37"/>
        <v>82.591440000000148</v>
      </c>
      <c r="AA461" t="s">
        <v>662</v>
      </c>
      <c r="AB461" t="s">
        <v>1240</v>
      </c>
      <c r="AC461" s="5">
        <v>3</v>
      </c>
      <c r="AD461" t="s">
        <v>1136</v>
      </c>
      <c r="AE461" t="str">
        <f t="shared" si="38"/>
        <v>2024-06</v>
      </c>
      <c r="AF461" t="str">
        <f t="shared" si="39"/>
        <v>Q2-2024</v>
      </c>
    </row>
    <row r="462" spans="1:32" x14ac:dyDescent="0.3">
      <c r="A462" t="s">
        <v>1728</v>
      </c>
      <c r="B462" s="5">
        <v>4</v>
      </c>
      <c r="C462" s="4">
        <v>45731</v>
      </c>
      <c r="D462" s="4">
        <v>45732</v>
      </c>
      <c r="E462" t="s">
        <v>434</v>
      </c>
      <c r="F462" t="s">
        <v>435</v>
      </c>
      <c r="G462" t="s">
        <v>80</v>
      </c>
      <c r="H462" t="s">
        <v>20</v>
      </c>
      <c r="I462" t="s">
        <v>112</v>
      </c>
      <c r="J462" t="s">
        <v>1158</v>
      </c>
      <c r="K462" t="s">
        <v>1320</v>
      </c>
      <c r="L462" t="s">
        <v>912</v>
      </c>
      <c r="M462" t="s">
        <v>795</v>
      </c>
      <c r="N462" t="s">
        <v>898</v>
      </c>
      <c r="O462" t="s">
        <v>913</v>
      </c>
      <c r="P462" t="s">
        <v>24</v>
      </c>
      <c r="Q462" t="s">
        <v>25</v>
      </c>
      <c r="R462" t="s">
        <v>1088</v>
      </c>
      <c r="S462" t="s">
        <v>1089</v>
      </c>
      <c r="T462" s="5">
        <v>19</v>
      </c>
      <c r="U462" s="6">
        <v>222.79</v>
      </c>
      <c r="V462" s="6">
        <v>136.19999999999999</v>
      </c>
      <c r="W462" s="8">
        <v>0.29909999999999998</v>
      </c>
      <c r="X462" s="6">
        <f t="shared" si="35"/>
        <v>2966.9167090000005</v>
      </c>
      <c r="Y462" s="6">
        <f t="shared" si="36"/>
        <v>2587.7999999999997</v>
      </c>
      <c r="Z462" s="6">
        <f t="shared" si="37"/>
        <v>379.11670900000081</v>
      </c>
      <c r="AA462" t="s">
        <v>679</v>
      </c>
      <c r="AC462" s="5">
        <v>1</v>
      </c>
      <c r="AD462" t="s">
        <v>1110</v>
      </c>
      <c r="AE462" t="str">
        <f t="shared" si="38"/>
        <v>2025-03</v>
      </c>
      <c r="AF462" t="str">
        <f t="shared" si="39"/>
        <v>Q1-2025</v>
      </c>
    </row>
    <row r="463" spans="1:32" x14ac:dyDescent="0.3">
      <c r="A463" t="s">
        <v>1729</v>
      </c>
      <c r="B463" s="5">
        <v>3</v>
      </c>
      <c r="C463" s="4">
        <v>45378</v>
      </c>
      <c r="D463" s="4">
        <v>45386</v>
      </c>
      <c r="E463" t="s">
        <v>530</v>
      </c>
      <c r="F463" t="s">
        <v>531</v>
      </c>
      <c r="G463" t="s">
        <v>65</v>
      </c>
      <c r="H463" t="s">
        <v>20</v>
      </c>
      <c r="I463" t="s">
        <v>112</v>
      </c>
      <c r="J463" t="s">
        <v>1201</v>
      </c>
      <c r="K463" t="s">
        <v>1250</v>
      </c>
      <c r="L463" t="s">
        <v>808</v>
      </c>
      <c r="M463" t="s">
        <v>795</v>
      </c>
      <c r="N463" t="s">
        <v>796</v>
      </c>
      <c r="O463" t="s">
        <v>809</v>
      </c>
      <c r="P463" t="s">
        <v>50</v>
      </c>
      <c r="Q463" t="s">
        <v>51</v>
      </c>
      <c r="R463" t="s">
        <v>126</v>
      </c>
      <c r="S463" t="s">
        <v>1109</v>
      </c>
      <c r="T463" s="5">
        <v>8</v>
      </c>
      <c r="U463" s="6">
        <v>176.93</v>
      </c>
      <c r="V463" s="6">
        <v>94.12</v>
      </c>
      <c r="W463" s="8">
        <v>0</v>
      </c>
      <c r="X463" s="6">
        <f t="shared" si="35"/>
        <v>1415.44</v>
      </c>
      <c r="Y463" s="6">
        <f t="shared" si="36"/>
        <v>752.96</v>
      </c>
      <c r="Z463" s="6">
        <f t="shared" si="37"/>
        <v>662.48</v>
      </c>
      <c r="AA463" t="s">
        <v>679</v>
      </c>
      <c r="AC463" s="5">
        <v>4</v>
      </c>
      <c r="AD463" t="s">
        <v>1553</v>
      </c>
      <c r="AE463" t="str">
        <f t="shared" si="38"/>
        <v>2024-03</v>
      </c>
      <c r="AF463" t="str">
        <f t="shared" si="39"/>
        <v>Q1-2024</v>
      </c>
    </row>
    <row r="464" spans="1:32" x14ac:dyDescent="0.3">
      <c r="A464" t="s">
        <v>1730</v>
      </c>
      <c r="B464" s="5">
        <v>1</v>
      </c>
      <c r="C464" s="4">
        <v>45365</v>
      </c>
      <c r="D464" s="4">
        <v>45377</v>
      </c>
      <c r="E464" t="s">
        <v>263</v>
      </c>
      <c r="F464" t="s">
        <v>264</v>
      </c>
      <c r="G464" t="s">
        <v>74</v>
      </c>
      <c r="H464" t="s">
        <v>23</v>
      </c>
      <c r="I464" t="s">
        <v>109</v>
      </c>
      <c r="J464" t="s">
        <v>1145</v>
      </c>
      <c r="K464" t="s">
        <v>1211</v>
      </c>
      <c r="L464" t="s">
        <v>1044</v>
      </c>
      <c r="M464" t="s">
        <v>1002</v>
      </c>
      <c r="N464" t="s">
        <v>1034</v>
      </c>
      <c r="O464" t="s">
        <v>1045</v>
      </c>
      <c r="P464" t="s">
        <v>24</v>
      </c>
      <c r="Q464" t="s">
        <v>25</v>
      </c>
      <c r="R464" t="s">
        <v>1088</v>
      </c>
      <c r="S464" t="s">
        <v>1100</v>
      </c>
      <c r="T464" s="5">
        <v>39</v>
      </c>
      <c r="U464" s="6">
        <v>315.75</v>
      </c>
      <c r="V464" s="6">
        <v>175.12</v>
      </c>
      <c r="W464" s="8">
        <v>0</v>
      </c>
      <c r="X464" s="6">
        <f t="shared" si="35"/>
        <v>12314.25</v>
      </c>
      <c r="Y464" s="6">
        <f t="shared" si="36"/>
        <v>6829.68</v>
      </c>
      <c r="Z464" s="6">
        <f t="shared" si="37"/>
        <v>5484.57</v>
      </c>
      <c r="AA464" t="s">
        <v>679</v>
      </c>
      <c r="AC464" s="5">
        <v>4</v>
      </c>
      <c r="AD464" t="s">
        <v>1110</v>
      </c>
      <c r="AE464" t="str">
        <f t="shared" si="38"/>
        <v>2024-03</v>
      </c>
      <c r="AF464" t="str">
        <f t="shared" si="39"/>
        <v>Q1-2024</v>
      </c>
    </row>
    <row r="465" spans="1:32" x14ac:dyDescent="0.3">
      <c r="A465" t="s">
        <v>1731</v>
      </c>
      <c r="B465" s="5">
        <v>5</v>
      </c>
      <c r="C465" s="4">
        <v>45673</v>
      </c>
      <c r="D465" s="4">
        <v>45682</v>
      </c>
      <c r="E465" t="s">
        <v>540</v>
      </c>
      <c r="F465" t="s">
        <v>541</v>
      </c>
      <c r="G465" t="s">
        <v>65</v>
      </c>
      <c r="H465" t="s">
        <v>20</v>
      </c>
      <c r="I465" t="s">
        <v>112</v>
      </c>
      <c r="J465" t="s">
        <v>1201</v>
      </c>
      <c r="K465" t="s">
        <v>1221</v>
      </c>
      <c r="L465" t="s">
        <v>719</v>
      </c>
      <c r="M465" t="s">
        <v>659</v>
      </c>
      <c r="N465" t="s">
        <v>713</v>
      </c>
      <c r="O465" t="s">
        <v>720</v>
      </c>
      <c r="P465" t="s">
        <v>46</v>
      </c>
      <c r="Q465" t="s">
        <v>47</v>
      </c>
      <c r="R465" t="s">
        <v>1088</v>
      </c>
      <c r="S465" t="s">
        <v>1156</v>
      </c>
      <c r="T465" s="5">
        <v>12</v>
      </c>
      <c r="U465" s="6">
        <v>6.47</v>
      </c>
      <c r="V465" s="6">
        <v>5</v>
      </c>
      <c r="W465" s="8">
        <v>0.15329999999999999</v>
      </c>
      <c r="X465" s="6">
        <f t="shared" si="35"/>
        <v>65.737787999999995</v>
      </c>
      <c r="Y465" s="6">
        <f t="shared" si="36"/>
        <v>60</v>
      </c>
      <c r="Z465" s="6">
        <f t="shared" si="37"/>
        <v>5.7377879999999948</v>
      </c>
      <c r="AA465" t="s">
        <v>679</v>
      </c>
      <c r="AC465" s="5">
        <v>3</v>
      </c>
      <c r="AD465" t="s">
        <v>1096</v>
      </c>
      <c r="AE465" t="str">
        <f t="shared" si="38"/>
        <v>2025-01</v>
      </c>
      <c r="AF465" t="str">
        <f t="shared" si="39"/>
        <v>Q1-2025</v>
      </c>
    </row>
    <row r="466" spans="1:32" x14ac:dyDescent="0.3">
      <c r="A466" t="s">
        <v>1732</v>
      </c>
      <c r="B466" s="5">
        <v>4</v>
      </c>
      <c r="C466" s="4">
        <v>45554</v>
      </c>
      <c r="D466" s="4">
        <v>45562</v>
      </c>
      <c r="E466" t="s">
        <v>252</v>
      </c>
      <c r="F466" t="s">
        <v>253</v>
      </c>
      <c r="G466" t="s">
        <v>65</v>
      </c>
      <c r="H466" t="s">
        <v>41</v>
      </c>
      <c r="I466" t="s">
        <v>86</v>
      </c>
      <c r="J466" t="s">
        <v>1086</v>
      </c>
      <c r="K466" t="s">
        <v>1234</v>
      </c>
      <c r="L466" t="s">
        <v>698</v>
      </c>
      <c r="M466" t="s">
        <v>659</v>
      </c>
      <c r="N466" t="s">
        <v>660</v>
      </c>
      <c r="O466" t="s">
        <v>699</v>
      </c>
      <c r="P466" t="s">
        <v>42</v>
      </c>
      <c r="Q466" t="s">
        <v>43</v>
      </c>
      <c r="R466" t="s">
        <v>126</v>
      </c>
      <c r="S466" t="s">
        <v>1089</v>
      </c>
      <c r="T466" s="5">
        <v>4</v>
      </c>
      <c r="U466" s="6">
        <v>8.57</v>
      </c>
      <c r="V466" s="6">
        <v>5</v>
      </c>
      <c r="W466" s="8">
        <v>0</v>
      </c>
      <c r="X466" s="6">
        <f t="shared" si="35"/>
        <v>34.28</v>
      </c>
      <c r="Y466" s="6">
        <f t="shared" si="36"/>
        <v>20</v>
      </c>
      <c r="Z466" s="6">
        <f t="shared" si="37"/>
        <v>14.280000000000001</v>
      </c>
      <c r="AA466" t="s">
        <v>679</v>
      </c>
      <c r="AC466" s="5">
        <v>1</v>
      </c>
      <c r="AD466" t="s">
        <v>1148</v>
      </c>
      <c r="AE466" t="str">
        <f t="shared" si="38"/>
        <v>2024-09</v>
      </c>
      <c r="AF466" t="str">
        <f t="shared" si="39"/>
        <v>Q3-2024</v>
      </c>
    </row>
    <row r="467" spans="1:32" x14ac:dyDescent="0.3">
      <c r="A467" t="s">
        <v>1733</v>
      </c>
      <c r="B467" s="5">
        <v>2</v>
      </c>
      <c r="C467" s="4">
        <v>45757</v>
      </c>
      <c r="D467" s="4">
        <v>45770</v>
      </c>
      <c r="E467" t="s">
        <v>225</v>
      </c>
      <c r="F467" t="s">
        <v>1734</v>
      </c>
      <c r="G467" t="s">
        <v>84</v>
      </c>
      <c r="H467" t="s">
        <v>31</v>
      </c>
      <c r="I467" t="s">
        <v>127</v>
      </c>
      <c r="J467" t="s">
        <v>1116</v>
      </c>
      <c r="K467" t="s">
        <v>1357</v>
      </c>
      <c r="L467" t="s">
        <v>669</v>
      </c>
      <c r="M467" t="s">
        <v>659</v>
      </c>
      <c r="N467" t="s">
        <v>660</v>
      </c>
      <c r="O467" t="s">
        <v>670</v>
      </c>
      <c r="P467" t="s">
        <v>53</v>
      </c>
      <c r="Q467" t="s">
        <v>54</v>
      </c>
      <c r="R467" t="s">
        <v>1088</v>
      </c>
      <c r="S467" t="s">
        <v>1095</v>
      </c>
      <c r="T467" s="5">
        <v>13</v>
      </c>
      <c r="U467" s="6">
        <v>9.82</v>
      </c>
      <c r="V467" s="6">
        <v>5</v>
      </c>
      <c r="W467" s="8">
        <v>0</v>
      </c>
      <c r="X467" s="6">
        <f t="shared" si="35"/>
        <v>127.66</v>
      </c>
      <c r="Y467" s="6">
        <f t="shared" si="36"/>
        <v>65</v>
      </c>
      <c r="Z467" s="6">
        <f t="shared" si="37"/>
        <v>62.66</v>
      </c>
      <c r="AA467" t="s">
        <v>679</v>
      </c>
      <c r="AC467" s="5"/>
      <c r="AD467" t="s">
        <v>1123</v>
      </c>
      <c r="AE467" t="str">
        <f t="shared" si="38"/>
        <v>2025-04</v>
      </c>
      <c r="AF467" t="str">
        <f t="shared" si="39"/>
        <v>Q2-2025</v>
      </c>
    </row>
    <row r="468" spans="1:32" x14ac:dyDescent="0.3">
      <c r="A468" t="s">
        <v>1735</v>
      </c>
      <c r="B468" s="5">
        <v>4</v>
      </c>
      <c r="C468" s="4">
        <v>45966</v>
      </c>
      <c r="D468" s="4">
        <v>45979</v>
      </c>
      <c r="E468" t="s">
        <v>379</v>
      </c>
      <c r="F468" t="s">
        <v>380</v>
      </c>
      <c r="G468" t="s">
        <v>104</v>
      </c>
      <c r="H468" t="s">
        <v>31</v>
      </c>
      <c r="I468" t="s">
        <v>160</v>
      </c>
      <c r="J468" t="s">
        <v>1092</v>
      </c>
      <c r="K468" t="s">
        <v>1135</v>
      </c>
      <c r="L468" t="s">
        <v>912</v>
      </c>
      <c r="M468" t="s">
        <v>795</v>
      </c>
      <c r="N468" t="s">
        <v>898</v>
      </c>
      <c r="O468" t="s">
        <v>913</v>
      </c>
      <c r="P468" t="s">
        <v>21</v>
      </c>
      <c r="Q468" t="s">
        <v>22</v>
      </c>
      <c r="R468" t="s">
        <v>1088</v>
      </c>
      <c r="S468" t="s">
        <v>1109</v>
      </c>
      <c r="T468" s="5">
        <v>23</v>
      </c>
      <c r="U468" s="6">
        <v>214.47</v>
      </c>
      <c r="V468" s="6">
        <v>136.19999999999999</v>
      </c>
      <c r="W468" s="8">
        <v>0</v>
      </c>
      <c r="X468" s="6">
        <f t="shared" si="35"/>
        <v>4932.8100000000004</v>
      </c>
      <c r="Y468" s="6">
        <f t="shared" si="36"/>
        <v>3132.6</v>
      </c>
      <c r="Z468" s="6">
        <f t="shared" si="37"/>
        <v>1800.2100000000005</v>
      </c>
      <c r="AA468" t="s">
        <v>679</v>
      </c>
      <c r="AC468" s="5"/>
      <c r="AD468" t="s">
        <v>1096</v>
      </c>
      <c r="AE468" t="str">
        <f t="shared" si="38"/>
        <v>2025-11</v>
      </c>
      <c r="AF468" t="str">
        <f t="shared" si="39"/>
        <v>Q4-2025</v>
      </c>
    </row>
    <row r="469" spans="1:32" x14ac:dyDescent="0.3">
      <c r="A469" t="s">
        <v>1736</v>
      </c>
      <c r="B469" s="5">
        <v>3</v>
      </c>
      <c r="C469" s="4">
        <v>45673</v>
      </c>
      <c r="D469" s="4">
        <v>45673</v>
      </c>
      <c r="E469" t="s">
        <v>649</v>
      </c>
      <c r="F469" t="s">
        <v>650</v>
      </c>
      <c r="G469" t="s">
        <v>84</v>
      </c>
      <c r="H469" t="s">
        <v>23</v>
      </c>
      <c r="I469" t="s">
        <v>109</v>
      </c>
      <c r="J469" t="s">
        <v>1138</v>
      </c>
      <c r="K469" t="s">
        <v>1371</v>
      </c>
      <c r="L469" t="s">
        <v>932</v>
      </c>
      <c r="M469" t="s">
        <v>929</v>
      </c>
      <c r="N469" t="s">
        <v>930</v>
      </c>
      <c r="O469" t="s">
        <v>933</v>
      </c>
      <c r="P469" t="s">
        <v>17</v>
      </c>
      <c r="Q469" t="s">
        <v>18</v>
      </c>
      <c r="R469" t="s">
        <v>1114</v>
      </c>
      <c r="S469" t="s">
        <v>1156</v>
      </c>
      <c r="T469" s="5">
        <v>26</v>
      </c>
      <c r="U469" s="6">
        <v>213.79</v>
      </c>
      <c r="V469" s="6">
        <v>136.69</v>
      </c>
      <c r="W469" s="8">
        <v>0.129</v>
      </c>
      <c r="X469" s="6">
        <f t="shared" si="35"/>
        <v>4841.4883399999999</v>
      </c>
      <c r="Y469" s="6">
        <f t="shared" si="36"/>
        <v>3553.94</v>
      </c>
      <c r="Z469" s="6">
        <f t="shared" si="37"/>
        <v>1287.5483399999998</v>
      </c>
      <c r="AA469" t="s">
        <v>679</v>
      </c>
      <c r="AC469" s="5">
        <v>2</v>
      </c>
      <c r="AD469" t="s">
        <v>1110</v>
      </c>
      <c r="AE469" t="str">
        <f t="shared" si="38"/>
        <v>2025-01</v>
      </c>
      <c r="AF469" t="str">
        <f t="shared" si="39"/>
        <v>Q1-2025</v>
      </c>
    </row>
    <row r="470" spans="1:32" x14ac:dyDescent="0.3">
      <c r="A470" t="s">
        <v>1737</v>
      </c>
      <c r="B470" s="5">
        <v>5</v>
      </c>
      <c r="C470" s="4">
        <v>45690</v>
      </c>
      <c r="D470" s="4">
        <v>45694</v>
      </c>
      <c r="E470" t="s">
        <v>124</v>
      </c>
      <c r="F470" t="s">
        <v>125</v>
      </c>
      <c r="G470" t="s">
        <v>65</v>
      </c>
      <c r="H470" t="s">
        <v>23</v>
      </c>
      <c r="I470" t="s">
        <v>109</v>
      </c>
      <c r="J470" t="s">
        <v>1300</v>
      </c>
      <c r="K470" t="s">
        <v>1301</v>
      </c>
      <c r="L470" t="s">
        <v>762</v>
      </c>
      <c r="M470" t="s">
        <v>659</v>
      </c>
      <c r="N470" t="s">
        <v>754</v>
      </c>
      <c r="O470" t="s">
        <v>763</v>
      </c>
      <c r="P470" t="s">
        <v>34</v>
      </c>
      <c r="Q470" t="s">
        <v>35</v>
      </c>
      <c r="R470" t="s">
        <v>1094</v>
      </c>
      <c r="S470" t="s">
        <v>1095</v>
      </c>
      <c r="T470" s="5">
        <v>15</v>
      </c>
      <c r="U470" s="6">
        <v>7.81</v>
      </c>
      <c r="V470" s="6">
        <v>5</v>
      </c>
      <c r="W470" s="8">
        <v>0</v>
      </c>
      <c r="X470" s="6">
        <f t="shared" si="35"/>
        <v>117.14999999999999</v>
      </c>
      <c r="Y470" s="6">
        <f t="shared" si="36"/>
        <v>75</v>
      </c>
      <c r="Z470" s="6">
        <f t="shared" si="37"/>
        <v>42.149999999999991</v>
      </c>
      <c r="AA470" t="s">
        <v>662</v>
      </c>
      <c r="AB470" t="s">
        <v>1122</v>
      </c>
      <c r="AC470" s="5">
        <v>4</v>
      </c>
      <c r="AD470" t="s">
        <v>1231</v>
      </c>
      <c r="AE470" t="str">
        <f t="shared" si="38"/>
        <v>2025-02</v>
      </c>
      <c r="AF470" t="str">
        <f t="shared" si="39"/>
        <v>Q1-2025</v>
      </c>
    </row>
    <row r="471" spans="1:32" x14ac:dyDescent="0.3">
      <c r="A471" t="s">
        <v>1738</v>
      </c>
      <c r="B471" s="5">
        <v>4</v>
      </c>
      <c r="C471" s="4">
        <v>45413</v>
      </c>
      <c r="D471" s="4">
        <v>45414</v>
      </c>
      <c r="E471" t="s">
        <v>428</v>
      </c>
      <c r="F471" t="s">
        <v>429</v>
      </c>
      <c r="G471" t="s">
        <v>104</v>
      </c>
      <c r="H471" t="s">
        <v>31</v>
      </c>
      <c r="I471" t="s">
        <v>127</v>
      </c>
      <c r="J471" t="s">
        <v>1098</v>
      </c>
      <c r="K471" t="s">
        <v>1217</v>
      </c>
      <c r="L471" t="s">
        <v>954</v>
      </c>
      <c r="M471" t="s">
        <v>929</v>
      </c>
      <c r="N471" t="s">
        <v>930</v>
      </c>
      <c r="O471" t="s">
        <v>955</v>
      </c>
      <c r="P471" t="s">
        <v>39</v>
      </c>
      <c r="Q471" t="s">
        <v>40</v>
      </c>
      <c r="R471" t="s">
        <v>1114</v>
      </c>
      <c r="S471" t="s">
        <v>1089</v>
      </c>
      <c r="T471" s="5">
        <v>9</v>
      </c>
      <c r="U471" s="6">
        <v>148.4</v>
      </c>
      <c r="V471" s="6">
        <v>99.65</v>
      </c>
      <c r="W471" s="8">
        <v>0</v>
      </c>
      <c r="X471" s="6">
        <f t="shared" si="35"/>
        <v>1335.6000000000001</v>
      </c>
      <c r="Y471" s="6">
        <f t="shared" si="36"/>
        <v>896.85</v>
      </c>
      <c r="Z471" s="6">
        <f t="shared" si="37"/>
        <v>438.75000000000011</v>
      </c>
      <c r="AA471" t="s">
        <v>679</v>
      </c>
      <c r="AC471" s="5">
        <v>2</v>
      </c>
      <c r="AD471" t="s">
        <v>1148</v>
      </c>
      <c r="AE471" t="str">
        <f t="shared" si="38"/>
        <v>2024-05</v>
      </c>
      <c r="AF471" t="str">
        <f t="shared" si="39"/>
        <v>Q2-2024</v>
      </c>
    </row>
    <row r="472" spans="1:32" x14ac:dyDescent="0.3">
      <c r="A472" t="s">
        <v>1739</v>
      </c>
      <c r="B472" s="5">
        <v>3</v>
      </c>
      <c r="C472" s="4">
        <v>45633</v>
      </c>
      <c r="D472" s="4">
        <v>45641</v>
      </c>
      <c r="E472" t="s">
        <v>488</v>
      </c>
      <c r="F472" t="s">
        <v>489</v>
      </c>
      <c r="G472" t="s">
        <v>74</v>
      </c>
      <c r="H472" t="s">
        <v>23</v>
      </c>
      <c r="I472" t="s">
        <v>81</v>
      </c>
      <c r="J472" t="s">
        <v>1163</v>
      </c>
      <c r="K472" t="s">
        <v>1164</v>
      </c>
      <c r="L472" t="s">
        <v>717</v>
      </c>
      <c r="M472" t="s">
        <v>659</v>
      </c>
      <c r="N472" t="s">
        <v>713</v>
      </c>
      <c r="O472" t="s">
        <v>718</v>
      </c>
      <c r="P472" t="s">
        <v>50</v>
      </c>
      <c r="Q472" t="s">
        <v>51</v>
      </c>
      <c r="R472" t="s">
        <v>1088</v>
      </c>
      <c r="S472" t="s">
        <v>1109</v>
      </c>
      <c r="T472" s="5">
        <v>29</v>
      </c>
      <c r="U472" s="6">
        <v>6.36</v>
      </c>
      <c r="V472" s="6">
        <v>5</v>
      </c>
      <c r="W472" s="8">
        <v>0</v>
      </c>
      <c r="X472" s="6">
        <f t="shared" si="35"/>
        <v>184.44</v>
      </c>
      <c r="Y472" s="6">
        <f t="shared" si="36"/>
        <v>145</v>
      </c>
      <c r="Z472" s="6">
        <f t="shared" si="37"/>
        <v>39.44</v>
      </c>
      <c r="AA472" t="s">
        <v>679</v>
      </c>
      <c r="AC472" s="5">
        <v>4</v>
      </c>
      <c r="AD472" t="s">
        <v>1105</v>
      </c>
      <c r="AE472" t="str">
        <f t="shared" si="38"/>
        <v>2024-12</v>
      </c>
      <c r="AF472" t="str">
        <f t="shared" si="39"/>
        <v>Q4-2024</v>
      </c>
    </row>
    <row r="473" spans="1:32" x14ac:dyDescent="0.3">
      <c r="A473" t="s">
        <v>1740</v>
      </c>
      <c r="B473" s="5">
        <v>1</v>
      </c>
      <c r="C473" s="4">
        <v>45545</v>
      </c>
      <c r="D473" s="4">
        <v>45547</v>
      </c>
      <c r="E473" t="s">
        <v>150</v>
      </c>
      <c r="F473" t="s">
        <v>151</v>
      </c>
      <c r="G473" t="s">
        <v>84</v>
      </c>
      <c r="H473" t="s">
        <v>31</v>
      </c>
      <c r="I473" t="s">
        <v>67</v>
      </c>
      <c r="J473" t="s">
        <v>1304</v>
      </c>
      <c r="K473" t="s">
        <v>1363</v>
      </c>
      <c r="L473" t="s">
        <v>887</v>
      </c>
      <c r="M473" t="s">
        <v>795</v>
      </c>
      <c r="N473" t="s">
        <v>837</v>
      </c>
      <c r="O473" t="s">
        <v>888</v>
      </c>
      <c r="P473" t="s">
        <v>24</v>
      </c>
      <c r="Q473" t="s">
        <v>25</v>
      </c>
      <c r="R473" t="s">
        <v>1094</v>
      </c>
      <c r="S473" t="s">
        <v>1100</v>
      </c>
      <c r="T473" s="5">
        <v>9</v>
      </c>
      <c r="U473" s="6">
        <v>107.96</v>
      </c>
      <c r="V473" s="6">
        <v>111.35</v>
      </c>
      <c r="W473" s="8">
        <v>0.32619999999999999</v>
      </c>
      <c r="X473" s="6">
        <f t="shared" si="35"/>
        <v>654.69103199999995</v>
      </c>
      <c r="Y473" s="6">
        <f t="shared" si="36"/>
        <v>1002.15</v>
      </c>
      <c r="Z473" s="6">
        <f t="shared" si="37"/>
        <v>-347.45896800000003</v>
      </c>
      <c r="AA473" t="s">
        <v>679</v>
      </c>
      <c r="AC473" s="5"/>
      <c r="AD473" t="s">
        <v>1148</v>
      </c>
      <c r="AE473" t="str">
        <f t="shared" si="38"/>
        <v>2024-09</v>
      </c>
      <c r="AF473" t="str">
        <f t="shared" si="39"/>
        <v>Q3-2024</v>
      </c>
    </row>
    <row r="474" spans="1:32" x14ac:dyDescent="0.3">
      <c r="A474" t="s">
        <v>1741</v>
      </c>
      <c r="B474" s="5">
        <v>2</v>
      </c>
      <c r="C474" s="4">
        <v>45641</v>
      </c>
      <c r="D474" s="4">
        <v>45643</v>
      </c>
      <c r="E474" t="s">
        <v>459</v>
      </c>
      <c r="F474" t="s">
        <v>460</v>
      </c>
      <c r="G474" t="s">
        <v>74</v>
      </c>
      <c r="H474" t="s">
        <v>23</v>
      </c>
      <c r="I474" t="s">
        <v>93</v>
      </c>
      <c r="J474" t="s">
        <v>1450</v>
      </c>
      <c r="K474" t="s">
        <v>1528</v>
      </c>
      <c r="L474" t="s">
        <v>1050</v>
      </c>
      <c r="M474" t="s">
        <v>1002</v>
      </c>
      <c r="N474" t="s">
        <v>1034</v>
      </c>
      <c r="O474" t="s">
        <v>1051</v>
      </c>
      <c r="P474" t="s">
        <v>17</v>
      </c>
      <c r="Q474" t="s">
        <v>18</v>
      </c>
      <c r="R474" t="s">
        <v>1088</v>
      </c>
      <c r="S474" t="s">
        <v>1095</v>
      </c>
      <c r="T474" s="5">
        <v>48</v>
      </c>
      <c r="U474" s="6">
        <v>194.16</v>
      </c>
      <c r="V474" s="6">
        <v>108.75</v>
      </c>
      <c r="W474" s="8">
        <v>0</v>
      </c>
      <c r="X474" s="6">
        <f t="shared" si="35"/>
        <v>9319.68</v>
      </c>
      <c r="Y474" s="6">
        <f t="shared" si="36"/>
        <v>5220</v>
      </c>
      <c r="Z474" s="6">
        <f t="shared" si="37"/>
        <v>4099.68</v>
      </c>
      <c r="AA474" t="s">
        <v>662</v>
      </c>
      <c r="AB474" t="s">
        <v>1414</v>
      </c>
      <c r="AC474" s="5">
        <v>1</v>
      </c>
      <c r="AD474" t="s">
        <v>1110</v>
      </c>
      <c r="AE474" t="str">
        <f t="shared" si="38"/>
        <v>2024-12</v>
      </c>
      <c r="AF474" t="str">
        <f t="shared" si="39"/>
        <v>Q4-2024</v>
      </c>
    </row>
    <row r="475" spans="1:32" x14ac:dyDescent="0.3">
      <c r="A475" t="s">
        <v>1742</v>
      </c>
      <c r="B475" s="5">
        <v>3</v>
      </c>
      <c r="C475" s="4">
        <v>45979</v>
      </c>
      <c r="D475" s="4">
        <v>45988</v>
      </c>
      <c r="E475" t="s">
        <v>250</v>
      </c>
      <c r="F475" t="s">
        <v>251</v>
      </c>
      <c r="G475" t="s">
        <v>74</v>
      </c>
      <c r="H475" t="s">
        <v>31</v>
      </c>
      <c r="I475" t="s">
        <v>127</v>
      </c>
      <c r="J475" t="s">
        <v>1116</v>
      </c>
      <c r="K475" t="s">
        <v>1357</v>
      </c>
      <c r="L475" t="s">
        <v>968</v>
      </c>
      <c r="M475" t="s">
        <v>929</v>
      </c>
      <c r="N475" t="s">
        <v>930</v>
      </c>
      <c r="O475" t="s">
        <v>969</v>
      </c>
      <c r="P475" t="s">
        <v>21</v>
      </c>
      <c r="Q475" t="s">
        <v>22</v>
      </c>
      <c r="R475" t="s">
        <v>126</v>
      </c>
      <c r="S475" t="s">
        <v>1156</v>
      </c>
      <c r="T475" s="5">
        <v>5</v>
      </c>
      <c r="U475" s="6">
        <v>203.49</v>
      </c>
      <c r="V475" s="6">
        <v>133.06</v>
      </c>
      <c r="W475" s="8">
        <v>0</v>
      </c>
      <c r="X475" s="6">
        <f t="shared" si="35"/>
        <v>1017.45</v>
      </c>
      <c r="Y475" s="6">
        <f t="shared" si="36"/>
        <v>665.3</v>
      </c>
      <c r="Z475" s="6">
        <f t="shared" si="37"/>
        <v>352.15000000000009</v>
      </c>
      <c r="AA475" t="s">
        <v>679</v>
      </c>
      <c r="AC475" s="5">
        <v>1</v>
      </c>
      <c r="AD475" t="s">
        <v>1090</v>
      </c>
      <c r="AE475" t="str">
        <f t="shared" si="38"/>
        <v>2025-11</v>
      </c>
      <c r="AF475" t="str">
        <f t="shared" si="39"/>
        <v>Q4-2025</v>
      </c>
    </row>
    <row r="476" spans="1:32" x14ac:dyDescent="0.3">
      <c r="A476" t="s">
        <v>1743</v>
      </c>
      <c r="B476" s="5">
        <v>5</v>
      </c>
      <c r="C476" s="4">
        <v>45395</v>
      </c>
      <c r="D476" s="4">
        <v>45402</v>
      </c>
      <c r="E476" t="s">
        <v>369</v>
      </c>
      <c r="F476" t="s">
        <v>370</v>
      </c>
      <c r="G476" t="s">
        <v>65</v>
      </c>
      <c r="H476" t="s">
        <v>23</v>
      </c>
      <c r="I476" t="s">
        <v>109</v>
      </c>
      <c r="J476" t="s">
        <v>1138</v>
      </c>
      <c r="K476" t="s">
        <v>1139</v>
      </c>
      <c r="L476" t="s">
        <v>745</v>
      </c>
      <c r="M476" t="s">
        <v>659</v>
      </c>
      <c r="N476" t="s">
        <v>713</v>
      </c>
      <c r="O476" t="s">
        <v>746</v>
      </c>
      <c r="P476" t="s">
        <v>46</v>
      </c>
      <c r="Q476" t="s">
        <v>47</v>
      </c>
      <c r="R476" t="s">
        <v>1094</v>
      </c>
      <c r="S476" t="s">
        <v>1095</v>
      </c>
      <c r="T476" s="5">
        <v>20</v>
      </c>
      <c r="U476" s="6">
        <v>154.43</v>
      </c>
      <c r="V476" s="6">
        <v>91.12</v>
      </c>
      <c r="W476" s="8">
        <v>0</v>
      </c>
      <c r="X476" s="6">
        <f t="shared" si="35"/>
        <v>3088.6000000000004</v>
      </c>
      <c r="Y476" s="6">
        <f t="shared" si="36"/>
        <v>1822.4</v>
      </c>
      <c r="Z476" s="6">
        <f t="shared" si="37"/>
        <v>1266.2000000000003</v>
      </c>
      <c r="AA476" t="s">
        <v>679</v>
      </c>
      <c r="AC476" s="5">
        <v>4</v>
      </c>
      <c r="AD476" t="s">
        <v>1110</v>
      </c>
      <c r="AE476" t="str">
        <f t="shared" si="38"/>
        <v>2024-04</v>
      </c>
      <c r="AF476" t="str">
        <f t="shared" si="39"/>
        <v>Q2-2024</v>
      </c>
    </row>
    <row r="477" spans="1:32" x14ac:dyDescent="0.3">
      <c r="A477" t="s">
        <v>1744</v>
      </c>
      <c r="B477" s="5">
        <v>5</v>
      </c>
      <c r="C477" s="4">
        <v>45417</v>
      </c>
      <c r="D477" s="4">
        <v>45419</v>
      </c>
      <c r="E477" t="s">
        <v>526</v>
      </c>
      <c r="F477" t="s">
        <v>527</v>
      </c>
      <c r="G477" t="s">
        <v>74</v>
      </c>
      <c r="H477" t="s">
        <v>20</v>
      </c>
      <c r="I477" t="s">
        <v>90</v>
      </c>
      <c r="J477" t="s">
        <v>1171</v>
      </c>
      <c r="K477" t="s">
        <v>1183</v>
      </c>
      <c r="L477" t="s">
        <v>836</v>
      </c>
      <c r="M477" t="s">
        <v>795</v>
      </c>
      <c r="N477" t="s">
        <v>837</v>
      </c>
      <c r="O477" t="s">
        <v>838</v>
      </c>
      <c r="P477" t="s">
        <v>46</v>
      </c>
      <c r="Q477" t="s">
        <v>47</v>
      </c>
      <c r="R477" t="s">
        <v>1088</v>
      </c>
      <c r="S477" t="s">
        <v>1109</v>
      </c>
      <c r="T477" s="5">
        <v>13</v>
      </c>
      <c r="U477" s="6">
        <v>222.77</v>
      </c>
      <c r="V477" s="6">
        <v>145.32</v>
      </c>
      <c r="W477" s="8">
        <v>0</v>
      </c>
      <c r="X477" s="6">
        <f t="shared" si="35"/>
        <v>2896.01</v>
      </c>
      <c r="Y477" s="6">
        <f t="shared" si="36"/>
        <v>1889.1599999999999</v>
      </c>
      <c r="Z477" s="6">
        <f t="shared" si="37"/>
        <v>1006.8500000000004</v>
      </c>
      <c r="AA477" t="s">
        <v>679</v>
      </c>
      <c r="AC477" s="5">
        <v>4</v>
      </c>
      <c r="AE477" t="str">
        <f t="shared" si="38"/>
        <v>2024-05</v>
      </c>
      <c r="AF477" t="str">
        <f t="shared" si="39"/>
        <v>Q2-2024</v>
      </c>
    </row>
    <row r="478" spans="1:32" x14ac:dyDescent="0.3">
      <c r="A478" t="s">
        <v>1745</v>
      </c>
      <c r="B478" s="5">
        <v>4</v>
      </c>
      <c r="C478" s="4">
        <v>45493</v>
      </c>
      <c r="D478" s="4">
        <v>45498</v>
      </c>
      <c r="E478" t="s">
        <v>113</v>
      </c>
      <c r="F478" t="s">
        <v>114</v>
      </c>
      <c r="G478" t="s">
        <v>104</v>
      </c>
      <c r="H478" t="s">
        <v>31</v>
      </c>
      <c r="I478" t="s">
        <v>127</v>
      </c>
      <c r="J478" t="s">
        <v>1116</v>
      </c>
      <c r="K478" t="s">
        <v>1117</v>
      </c>
      <c r="L478" t="s">
        <v>904</v>
      </c>
      <c r="M478" t="s">
        <v>795</v>
      </c>
      <c r="N478" t="s">
        <v>898</v>
      </c>
      <c r="O478" t="s">
        <v>905</v>
      </c>
      <c r="P478" t="s">
        <v>44</v>
      </c>
      <c r="Q478" t="s">
        <v>45</v>
      </c>
      <c r="R478" t="s">
        <v>126</v>
      </c>
      <c r="S478" t="s">
        <v>1089</v>
      </c>
      <c r="T478" s="5">
        <v>33</v>
      </c>
      <c r="U478" s="6">
        <v>301.25</v>
      </c>
      <c r="V478" s="6">
        <v>186.51</v>
      </c>
      <c r="W478" s="8"/>
      <c r="X478" s="6">
        <f t="shared" si="35"/>
        <v>9941.25</v>
      </c>
      <c r="Y478" s="6">
        <f t="shared" si="36"/>
        <v>6154.83</v>
      </c>
      <c r="Z478" s="6">
        <f t="shared" si="37"/>
        <v>3786.42</v>
      </c>
      <c r="AA478" t="s">
        <v>679</v>
      </c>
      <c r="AC478" s="5">
        <v>3</v>
      </c>
      <c r="AD478" t="s">
        <v>1746</v>
      </c>
      <c r="AE478" t="str">
        <f t="shared" si="38"/>
        <v>2024-07</v>
      </c>
      <c r="AF478" t="str">
        <f t="shared" si="39"/>
        <v>Q3-2024</v>
      </c>
    </row>
    <row r="479" spans="1:32" x14ac:dyDescent="0.3">
      <c r="A479" t="s">
        <v>1747</v>
      </c>
      <c r="B479" s="5">
        <v>2</v>
      </c>
      <c r="C479" s="4">
        <v>45542</v>
      </c>
      <c r="D479" s="4">
        <v>45550</v>
      </c>
      <c r="E479" t="s">
        <v>364</v>
      </c>
      <c r="F479" t="s">
        <v>365</v>
      </c>
      <c r="G479" t="s">
        <v>65</v>
      </c>
      <c r="H479" t="s">
        <v>20</v>
      </c>
      <c r="I479" t="s">
        <v>71</v>
      </c>
      <c r="J479" t="s">
        <v>1166</v>
      </c>
      <c r="K479" t="s">
        <v>1196</v>
      </c>
      <c r="L479" t="s">
        <v>680</v>
      </c>
      <c r="M479" t="s">
        <v>659</v>
      </c>
      <c r="N479" t="s">
        <v>660</v>
      </c>
      <c r="O479" t="s">
        <v>681</v>
      </c>
      <c r="P479" t="s">
        <v>48</v>
      </c>
      <c r="Q479" t="s">
        <v>49</v>
      </c>
      <c r="R479" t="s">
        <v>1088</v>
      </c>
      <c r="S479" t="s">
        <v>1095</v>
      </c>
      <c r="T479" s="5">
        <v>9</v>
      </c>
      <c r="U479" s="6">
        <v>52.71</v>
      </c>
      <c r="V479" s="6">
        <v>36.96</v>
      </c>
      <c r="W479" s="8">
        <v>0</v>
      </c>
      <c r="X479" s="6">
        <f t="shared" si="35"/>
        <v>474.39</v>
      </c>
      <c r="Y479" s="6">
        <f t="shared" si="36"/>
        <v>332.64</v>
      </c>
      <c r="Z479" s="6">
        <f t="shared" si="37"/>
        <v>141.75</v>
      </c>
      <c r="AA479" t="s">
        <v>679</v>
      </c>
      <c r="AC479" s="5"/>
      <c r="AD479" t="s">
        <v>1101</v>
      </c>
      <c r="AE479" t="str">
        <f t="shared" si="38"/>
        <v>2024-09</v>
      </c>
      <c r="AF479" t="str">
        <f t="shared" si="39"/>
        <v>Q3-2024</v>
      </c>
    </row>
    <row r="480" spans="1:32" x14ac:dyDescent="0.3">
      <c r="A480" t="s">
        <v>1748</v>
      </c>
      <c r="B480" s="5">
        <v>5</v>
      </c>
      <c r="C480" s="4">
        <v>45901</v>
      </c>
      <c r="D480" s="4">
        <v>45910</v>
      </c>
      <c r="E480" t="s">
        <v>281</v>
      </c>
      <c r="F480" t="s">
        <v>282</v>
      </c>
      <c r="G480" t="s">
        <v>80</v>
      </c>
      <c r="H480" t="s">
        <v>41</v>
      </c>
      <c r="I480" t="s">
        <v>86</v>
      </c>
      <c r="J480" t="s">
        <v>1107</v>
      </c>
      <c r="K480" t="s">
        <v>1108</v>
      </c>
      <c r="L480" t="s">
        <v>973</v>
      </c>
      <c r="M480" t="s">
        <v>929</v>
      </c>
      <c r="N480" t="s">
        <v>971</v>
      </c>
      <c r="O480" t="s">
        <v>974</v>
      </c>
      <c r="P480" t="s">
        <v>39</v>
      </c>
      <c r="Q480" t="s">
        <v>40</v>
      </c>
      <c r="R480" t="s">
        <v>1088</v>
      </c>
      <c r="S480" t="s">
        <v>1100</v>
      </c>
      <c r="T480" s="5">
        <v>12</v>
      </c>
      <c r="U480" s="6">
        <v>78.2</v>
      </c>
      <c r="V480" s="6">
        <v>45.81</v>
      </c>
      <c r="W480" s="8">
        <v>0</v>
      </c>
      <c r="X480" s="6">
        <f t="shared" si="35"/>
        <v>938.40000000000009</v>
      </c>
      <c r="Y480" s="6">
        <f t="shared" si="36"/>
        <v>549.72</v>
      </c>
      <c r="Z480" s="6">
        <f t="shared" si="37"/>
        <v>388.68000000000006</v>
      </c>
      <c r="AA480" t="s">
        <v>679</v>
      </c>
      <c r="AC480" s="5">
        <v>4</v>
      </c>
      <c r="AD480" t="s">
        <v>1096</v>
      </c>
      <c r="AE480" t="str">
        <f t="shared" si="38"/>
        <v>2025-09</v>
      </c>
      <c r="AF480" t="str">
        <f t="shared" si="39"/>
        <v>Q3-2025</v>
      </c>
    </row>
    <row r="481" spans="1:32" x14ac:dyDescent="0.3">
      <c r="A481" t="s">
        <v>1749</v>
      </c>
      <c r="B481" s="5">
        <v>5</v>
      </c>
      <c r="C481" s="4">
        <v>45525</v>
      </c>
      <c r="D481" s="4">
        <v>45532</v>
      </c>
      <c r="E481" t="s">
        <v>119</v>
      </c>
      <c r="F481" t="s">
        <v>120</v>
      </c>
      <c r="G481" t="s">
        <v>84</v>
      </c>
      <c r="H481" t="s">
        <v>20</v>
      </c>
      <c r="I481" t="s">
        <v>71</v>
      </c>
      <c r="J481" t="s">
        <v>1112</v>
      </c>
      <c r="K481" t="s">
        <v>1178</v>
      </c>
      <c r="L481" t="s">
        <v>800</v>
      </c>
      <c r="M481" t="s">
        <v>795</v>
      </c>
      <c r="N481" t="s">
        <v>796</v>
      </c>
      <c r="O481" t="s">
        <v>801</v>
      </c>
      <c r="P481" t="s">
        <v>17</v>
      </c>
      <c r="Q481" t="s">
        <v>18</v>
      </c>
      <c r="R481" t="s">
        <v>1094</v>
      </c>
      <c r="S481" t="s">
        <v>1109</v>
      </c>
      <c r="T481" s="5">
        <v>10</v>
      </c>
      <c r="U481" s="6">
        <v>239.5</v>
      </c>
      <c r="V481" s="6">
        <v>166.88</v>
      </c>
      <c r="W481" s="8"/>
      <c r="X481" s="6">
        <f t="shared" si="35"/>
        <v>2395</v>
      </c>
      <c r="Y481" s="6">
        <f t="shared" si="36"/>
        <v>1668.8</v>
      </c>
      <c r="Z481" s="6">
        <f t="shared" si="37"/>
        <v>726.2</v>
      </c>
      <c r="AA481" t="s">
        <v>679</v>
      </c>
      <c r="AC481" s="5"/>
      <c r="AD481" t="s">
        <v>1140</v>
      </c>
      <c r="AE481" t="str">
        <f t="shared" si="38"/>
        <v>2024-08</v>
      </c>
      <c r="AF481" t="str">
        <f t="shared" si="39"/>
        <v>Q3-2024</v>
      </c>
    </row>
    <row r="482" spans="1:32" x14ac:dyDescent="0.3">
      <c r="A482" t="s">
        <v>1750</v>
      </c>
      <c r="B482" s="5">
        <v>4</v>
      </c>
      <c r="C482" s="4">
        <v>45891</v>
      </c>
      <c r="D482" s="4">
        <v>45894</v>
      </c>
      <c r="E482" t="s">
        <v>619</v>
      </c>
      <c r="F482" t="s">
        <v>620</v>
      </c>
      <c r="G482" t="s">
        <v>74</v>
      </c>
      <c r="H482" t="s">
        <v>31</v>
      </c>
      <c r="I482" t="s">
        <v>67</v>
      </c>
      <c r="J482" t="s">
        <v>1128</v>
      </c>
      <c r="K482" t="s">
        <v>1129</v>
      </c>
      <c r="L482" t="s">
        <v>956</v>
      </c>
      <c r="M482" t="s">
        <v>929</v>
      </c>
      <c r="N482" t="s">
        <v>930</v>
      </c>
      <c r="O482" t="s">
        <v>957</v>
      </c>
      <c r="P482" t="s">
        <v>46</v>
      </c>
      <c r="Q482" t="s">
        <v>47</v>
      </c>
      <c r="R482" t="s">
        <v>1088</v>
      </c>
      <c r="S482" t="s">
        <v>1156</v>
      </c>
      <c r="T482" s="5">
        <v>6</v>
      </c>
      <c r="U482" s="6">
        <v>226.81</v>
      </c>
      <c r="V482" s="6">
        <v>190.78</v>
      </c>
      <c r="W482" s="8">
        <v>0.23350000000000001</v>
      </c>
      <c r="X482" s="6">
        <f t="shared" si="35"/>
        <v>1043.0991900000001</v>
      </c>
      <c r="Y482" s="6">
        <f t="shared" si="36"/>
        <v>1144.68</v>
      </c>
      <c r="Z482" s="6">
        <f t="shared" si="37"/>
        <v>-101.58080999999993</v>
      </c>
      <c r="AA482" t="s">
        <v>679</v>
      </c>
      <c r="AC482" s="5"/>
      <c r="AD482" t="s">
        <v>1496</v>
      </c>
      <c r="AE482" t="str">
        <f t="shared" si="38"/>
        <v>2025-08</v>
      </c>
      <c r="AF482" t="str">
        <f t="shared" si="39"/>
        <v>Q3-2025</v>
      </c>
    </row>
    <row r="483" spans="1:32" x14ac:dyDescent="0.3">
      <c r="A483" t="s">
        <v>1751</v>
      </c>
      <c r="B483" s="5">
        <v>4</v>
      </c>
      <c r="C483" s="4">
        <v>45462</v>
      </c>
      <c r="D483" s="4">
        <v>45476</v>
      </c>
      <c r="E483" t="s">
        <v>248</v>
      </c>
      <c r="F483" t="s">
        <v>249</v>
      </c>
      <c r="G483" t="s">
        <v>65</v>
      </c>
      <c r="H483" t="s">
        <v>31</v>
      </c>
      <c r="I483" t="s">
        <v>67</v>
      </c>
      <c r="J483" t="s">
        <v>1304</v>
      </c>
      <c r="K483" t="s">
        <v>1363</v>
      </c>
      <c r="L483" t="s">
        <v>946</v>
      </c>
      <c r="M483" t="s">
        <v>929</v>
      </c>
      <c r="N483" t="s">
        <v>930</v>
      </c>
      <c r="O483" t="s">
        <v>947</v>
      </c>
      <c r="P483" t="s">
        <v>46</v>
      </c>
      <c r="Q483" t="s">
        <v>47</v>
      </c>
      <c r="R483" t="s">
        <v>1094</v>
      </c>
      <c r="S483" t="s">
        <v>1109</v>
      </c>
      <c r="T483" s="5">
        <v>7</v>
      </c>
      <c r="U483" s="6">
        <v>189.45</v>
      </c>
      <c r="V483" s="6">
        <v>93.94</v>
      </c>
      <c r="W483" s="8">
        <v>5.74E-2</v>
      </c>
      <c r="X483" s="6">
        <f t="shared" si="35"/>
        <v>1250.0289899999998</v>
      </c>
      <c r="Y483" s="6">
        <f t="shared" si="36"/>
        <v>657.57999999999993</v>
      </c>
      <c r="Z483" s="6">
        <f t="shared" si="37"/>
        <v>592.44898999999987</v>
      </c>
      <c r="AA483" t="s">
        <v>679</v>
      </c>
      <c r="AC483" s="5"/>
      <c r="AD483" t="s">
        <v>1101</v>
      </c>
      <c r="AE483" t="str">
        <f t="shared" si="38"/>
        <v>2024-06</v>
      </c>
      <c r="AF483" t="str">
        <f t="shared" si="39"/>
        <v>Q2-2024</v>
      </c>
    </row>
    <row r="484" spans="1:32" x14ac:dyDescent="0.3">
      <c r="A484" t="s">
        <v>1752</v>
      </c>
      <c r="B484" s="5">
        <v>5</v>
      </c>
      <c r="C484" s="4">
        <v>45581</v>
      </c>
      <c r="D484" s="4">
        <v>45593</v>
      </c>
      <c r="E484" t="s">
        <v>178</v>
      </c>
      <c r="F484" t="s">
        <v>179</v>
      </c>
      <c r="G484" t="s">
        <v>74</v>
      </c>
      <c r="H484" t="s">
        <v>31</v>
      </c>
      <c r="I484" t="s">
        <v>67</v>
      </c>
      <c r="J484" t="s">
        <v>1304</v>
      </c>
      <c r="K484" t="s">
        <v>1305</v>
      </c>
      <c r="L484" t="s">
        <v>948</v>
      </c>
      <c r="M484" t="s">
        <v>929</v>
      </c>
      <c r="N484" t="s">
        <v>930</v>
      </c>
      <c r="O484" t="s">
        <v>949</v>
      </c>
      <c r="P484" t="s">
        <v>29</v>
      </c>
      <c r="Q484" t="s">
        <v>30</v>
      </c>
      <c r="R484" t="s">
        <v>1114</v>
      </c>
      <c r="S484" t="s">
        <v>1089</v>
      </c>
      <c r="T484" s="5">
        <v>18</v>
      </c>
      <c r="U484" s="6">
        <v>58.46</v>
      </c>
      <c r="V484" s="6">
        <v>44.35</v>
      </c>
      <c r="W484" s="8">
        <v>0</v>
      </c>
      <c r="X484" s="6">
        <f t="shared" si="35"/>
        <v>1052.28</v>
      </c>
      <c r="Y484" s="6">
        <f t="shared" si="36"/>
        <v>798.30000000000007</v>
      </c>
      <c r="Z484" s="6">
        <f t="shared" si="37"/>
        <v>253.9799999999999</v>
      </c>
      <c r="AA484" t="s">
        <v>679</v>
      </c>
      <c r="AC484" s="5"/>
      <c r="AD484" t="s">
        <v>1101</v>
      </c>
      <c r="AE484" t="str">
        <f t="shared" si="38"/>
        <v>2024-10</v>
      </c>
      <c r="AF484" t="str">
        <f t="shared" si="39"/>
        <v>Q4-2024</v>
      </c>
    </row>
    <row r="485" spans="1:32" x14ac:dyDescent="0.3">
      <c r="A485" t="s">
        <v>1753</v>
      </c>
      <c r="B485" s="5">
        <v>3</v>
      </c>
      <c r="C485" s="4">
        <v>45695</v>
      </c>
      <c r="D485" s="4">
        <v>45707</v>
      </c>
      <c r="E485" t="s">
        <v>190</v>
      </c>
      <c r="F485" t="s">
        <v>1754</v>
      </c>
      <c r="G485" t="s">
        <v>84</v>
      </c>
      <c r="H485" t="s">
        <v>41</v>
      </c>
      <c r="I485" t="s">
        <v>86</v>
      </c>
      <c r="J485" t="s">
        <v>1086</v>
      </c>
      <c r="K485" t="s">
        <v>1234</v>
      </c>
      <c r="L485" t="s">
        <v>987</v>
      </c>
      <c r="M485" t="s">
        <v>929</v>
      </c>
      <c r="N485" t="s">
        <v>971</v>
      </c>
      <c r="O485" t="s">
        <v>988</v>
      </c>
      <c r="P485" t="s">
        <v>44</v>
      </c>
      <c r="Q485" t="s">
        <v>45</v>
      </c>
      <c r="R485" t="s">
        <v>1094</v>
      </c>
      <c r="S485" t="s">
        <v>1156</v>
      </c>
      <c r="T485" s="5">
        <v>22</v>
      </c>
      <c r="U485" s="6">
        <v>268.48</v>
      </c>
      <c r="V485" s="6">
        <v>181.22</v>
      </c>
      <c r="W485" s="8">
        <v>0.2777</v>
      </c>
      <c r="X485" s="6">
        <f t="shared" si="35"/>
        <v>4266.3082880000002</v>
      </c>
      <c r="Y485" s="6">
        <f t="shared" si="36"/>
        <v>3986.84</v>
      </c>
      <c r="Z485" s="6">
        <f t="shared" si="37"/>
        <v>279.46828800000003</v>
      </c>
      <c r="AA485" t="s">
        <v>679</v>
      </c>
      <c r="AC485" s="5">
        <v>2</v>
      </c>
      <c r="AE485" t="str">
        <f t="shared" si="38"/>
        <v>2025-02</v>
      </c>
      <c r="AF485" t="str">
        <f t="shared" si="39"/>
        <v>Q1-2025</v>
      </c>
    </row>
    <row r="486" spans="1:32" x14ac:dyDescent="0.3">
      <c r="A486" t="s">
        <v>1755</v>
      </c>
      <c r="B486" s="5">
        <v>1</v>
      </c>
      <c r="C486" s="4">
        <v>45881</v>
      </c>
      <c r="D486" s="4">
        <v>45886</v>
      </c>
      <c r="E486" t="s">
        <v>455</v>
      </c>
      <c r="F486" t="s">
        <v>456</v>
      </c>
      <c r="G486" t="s">
        <v>65</v>
      </c>
      <c r="H486" t="s">
        <v>31</v>
      </c>
      <c r="I486" t="s">
        <v>127</v>
      </c>
      <c r="J486" t="s">
        <v>1116</v>
      </c>
      <c r="K486" t="s">
        <v>1117</v>
      </c>
      <c r="L486" t="s">
        <v>904</v>
      </c>
      <c r="M486" t="s">
        <v>795</v>
      </c>
      <c r="N486" t="s">
        <v>898</v>
      </c>
      <c r="O486" t="s">
        <v>905</v>
      </c>
      <c r="P486" t="s">
        <v>21</v>
      </c>
      <c r="Q486" t="s">
        <v>22</v>
      </c>
      <c r="R486" t="s">
        <v>1088</v>
      </c>
      <c r="S486" t="s">
        <v>1109</v>
      </c>
      <c r="T486" s="5">
        <v>14</v>
      </c>
      <c r="U486" s="6">
        <v>282.16000000000003</v>
      </c>
      <c r="V486" s="6">
        <v>186.51</v>
      </c>
      <c r="W486" s="8">
        <v>0</v>
      </c>
      <c r="X486" s="6">
        <f t="shared" si="35"/>
        <v>3950.2400000000002</v>
      </c>
      <c r="Y486" s="6">
        <f t="shared" si="36"/>
        <v>2611.14</v>
      </c>
      <c r="Z486" s="6">
        <f t="shared" si="37"/>
        <v>1339.1000000000004</v>
      </c>
      <c r="AA486" t="s">
        <v>679</v>
      </c>
      <c r="AC486" s="5"/>
      <c r="AD486" t="s">
        <v>1524</v>
      </c>
      <c r="AE486" t="str">
        <f t="shared" si="38"/>
        <v>2025-08</v>
      </c>
      <c r="AF486" t="str">
        <f t="shared" si="39"/>
        <v>Q3-2025</v>
      </c>
    </row>
    <row r="487" spans="1:32" x14ac:dyDescent="0.3">
      <c r="A487" t="s">
        <v>1756</v>
      </c>
      <c r="B487" s="5">
        <v>3</v>
      </c>
      <c r="C487" s="4">
        <v>45336</v>
      </c>
      <c r="D487" s="4">
        <v>45349</v>
      </c>
      <c r="E487" t="s">
        <v>385</v>
      </c>
      <c r="F487" t="s">
        <v>386</v>
      </c>
      <c r="G487" t="s">
        <v>74</v>
      </c>
      <c r="H487" t="s">
        <v>20</v>
      </c>
      <c r="I487" t="s">
        <v>71</v>
      </c>
      <c r="J487" t="s">
        <v>1112</v>
      </c>
      <c r="K487" t="s">
        <v>1178</v>
      </c>
      <c r="L487" t="s">
        <v>741</v>
      </c>
      <c r="M487" t="s">
        <v>659</v>
      </c>
      <c r="N487" t="s">
        <v>713</v>
      </c>
      <c r="O487" t="s">
        <v>742</v>
      </c>
      <c r="P487" t="s">
        <v>29</v>
      </c>
      <c r="Q487" t="s">
        <v>30</v>
      </c>
      <c r="R487" t="s">
        <v>1088</v>
      </c>
      <c r="S487" t="s">
        <v>1095</v>
      </c>
      <c r="T487" s="5">
        <v>3</v>
      </c>
      <c r="U487" s="6">
        <v>28.44</v>
      </c>
      <c r="V487" s="6">
        <v>20.54</v>
      </c>
      <c r="W487" s="8">
        <v>0</v>
      </c>
      <c r="X487" s="6">
        <f t="shared" si="35"/>
        <v>85.320000000000007</v>
      </c>
      <c r="Y487" s="6">
        <f t="shared" si="36"/>
        <v>61.62</v>
      </c>
      <c r="Z487" s="6">
        <f t="shared" si="37"/>
        <v>23.70000000000001</v>
      </c>
      <c r="AA487" t="s">
        <v>679</v>
      </c>
      <c r="AC487" s="5"/>
      <c r="AD487" t="s">
        <v>1110</v>
      </c>
      <c r="AE487" t="str">
        <f t="shared" si="38"/>
        <v>2024-02</v>
      </c>
      <c r="AF487" t="str">
        <f t="shared" si="39"/>
        <v>Q1-2024</v>
      </c>
    </row>
    <row r="488" spans="1:32" x14ac:dyDescent="0.3">
      <c r="A488" t="s">
        <v>1757</v>
      </c>
      <c r="B488" s="5">
        <v>1</v>
      </c>
      <c r="C488" s="4">
        <v>45668</v>
      </c>
      <c r="D488" s="4">
        <v>45669</v>
      </c>
      <c r="E488" t="s">
        <v>350</v>
      </c>
      <c r="F488" t="s">
        <v>351</v>
      </c>
      <c r="G488" t="s">
        <v>65</v>
      </c>
      <c r="H488" t="s">
        <v>31</v>
      </c>
      <c r="I488" t="s">
        <v>127</v>
      </c>
      <c r="J488" t="s">
        <v>1116</v>
      </c>
      <c r="K488" t="s">
        <v>1357</v>
      </c>
      <c r="L488" t="s">
        <v>964</v>
      </c>
      <c r="M488" t="s">
        <v>929</v>
      </c>
      <c r="N488" t="s">
        <v>930</v>
      </c>
      <c r="O488" t="s">
        <v>965</v>
      </c>
      <c r="P488" t="s">
        <v>27</v>
      </c>
      <c r="Q488" t="s">
        <v>28</v>
      </c>
      <c r="R488" t="s">
        <v>1094</v>
      </c>
      <c r="S488" t="s">
        <v>1109</v>
      </c>
      <c r="T488" s="5">
        <v>2</v>
      </c>
      <c r="U488" s="6">
        <v>192.15</v>
      </c>
      <c r="V488" s="6">
        <v>101.47</v>
      </c>
      <c r="W488" s="8">
        <v>0</v>
      </c>
      <c r="X488" s="6">
        <f t="shared" si="35"/>
        <v>384.3</v>
      </c>
      <c r="Y488" s="6">
        <f t="shared" si="36"/>
        <v>202.94</v>
      </c>
      <c r="Z488" s="6">
        <f t="shared" si="37"/>
        <v>181.36</v>
      </c>
      <c r="AA488" t="s">
        <v>679</v>
      </c>
      <c r="AC488" s="5">
        <v>5</v>
      </c>
      <c r="AD488" t="s">
        <v>1101</v>
      </c>
      <c r="AE488" t="str">
        <f t="shared" si="38"/>
        <v>2025-01</v>
      </c>
      <c r="AF488" t="str">
        <f t="shared" si="39"/>
        <v>Q1-2025</v>
      </c>
    </row>
    <row r="489" spans="1:32" x14ac:dyDescent="0.3">
      <c r="A489" t="s">
        <v>1758</v>
      </c>
      <c r="B489" s="5">
        <v>3</v>
      </c>
      <c r="C489" s="4">
        <v>45399</v>
      </c>
      <c r="D489" s="4">
        <v>45413</v>
      </c>
      <c r="E489" t="s">
        <v>121</v>
      </c>
      <c r="F489" t="s">
        <v>122</v>
      </c>
      <c r="G489" t="s">
        <v>74</v>
      </c>
      <c r="H489" t="s">
        <v>31</v>
      </c>
      <c r="I489" t="s">
        <v>127</v>
      </c>
      <c r="J489" t="s">
        <v>1116</v>
      </c>
      <c r="K489" t="s">
        <v>1153</v>
      </c>
      <c r="L489" t="s">
        <v>836</v>
      </c>
      <c r="M489" t="s">
        <v>795</v>
      </c>
      <c r="N489" t="s">
        <v>837</v>
      </c>
      <c r="O489" t="s">
        <v>838</v>
      </c>
      <c r="P489" t="s">
        <v>29</v>
      </c>
      <c r="Q489" t="s">
        <v>30</v>
      </c>
      <c r="R489" t="s">
        <v>1114</v>
      </c>
      <c r="S489" t="s">
        <v>1109</v>
      </c>
      <c r="T489" s="5">
        <v>348</v>
      </c>
      <c r="U489" s="6">
        <v>215.56</v>
      </c>
      <c r="V489" s="6">
        <v>145.32</v>
      </c>
      <c r="W489" s="8">
        <v>0</v>
      </c>
      <c r="X489" s="6">
        <f t="shared" si="35"/>
        <v>75014.880000000005</v>
      </c>
      <c r="Y489" s="6">
        <f t="shared" si="36"/>
        <v>50571.360000000001</v>
      </c>
      <c r="Z489" s="6">
        <f t="shared" si="37"/>
        <v>24443.520000000004</v>
      </c>
      <c r="AA489" t="s">
        <v>679</v>
      </c>
      <c r="AC489" s="5">
        <v>5</v>
      </c>
      <c r="AD489" t="s">
        <v>1349</v>
      </c>
      <c r="AE489" t="str">
        <f t="shared" si="38"/>
        <v>2024-04</v>
      </c>
      <c r="AF489" t="str">
        <f t="shared" si="39"/>
        <v>Q2-2024</v>
      </c>
    </row>
    <row r="490" spans="1:32" x14ac:dyDescent="0.3">
      <c r="A490" t="s">
        <v>1759</v>
      </c>
      <c r="B490" s="5">
        <v>5</v>
      </c>
      <c r="C490" s="4">
        <v>46014</v>
      </c>
      <c r="D490" s="4">
        <v>46027</v>
      </c>
      <c r="E490" t="s">
        <v>94</v>
      </c>
      <c r="F490" t="s">
        <v>95</v>
      </c>
      <c r="G490" t="s">
        <v>74</v>
      </c>
      <c r="H490" t="s">
        <v>41</v>
      </c>
      <c r="I490" t="s">
        <v>86</v>
      </c>
      <c r="J490" t="s">
        <v>1086</v>
      </c>
      <c r="K490" t="s">
        <v>1234</v>
      </c>
      <c r="L490" t="s">
        <v>1050</v>
      </c>
      <c r="M490" t="s">
        <v>1002</v>
      </c>
      <c r="N490" t="s">
        <v>1034</v>
      </c>
      <c r="O490" t="s">
        <v>1051</v>
      </c>
      <c r="P490" t="s">
        <v>50</v>
      </c>
      <c r="Q490" t="s">
        <v>51</v>
      </c>
      <c r="R490" t="s">
        <v>1114</v>
      </c>
      <c r="S490" t="s">
        <v>1156</v>
      </c>
      <c r="T490" s="5">
        <v>14</v>
      </c>
      <c r="U490" s="6">
        <v>192.13</v>
      </c>
      <c r="V490" s="6">
        <v>108.75</v>
      </c>
      <c r="W490" s="8">
        <v>0</v>
      </c>
      <c r="X490" s="6">
        <f t="shared" si="35"/>
        <v>2689.8199999999997</v>
      </c>
      <c r="Y490" s="6">
        <f t="shared" si="36"/>
        <v>1522.5</v>
      </c>
      <c r="Z490" s="6">
        <f t="shared" si="37"/>
        <v>1167.3199999999997</v>
      </c>
      <c r="AA490" t="s">
        <v>679</v>
      </c>
      <c r="AC490" s="5">
        <v>4</v>
      </c>
      <c r="AD490" t="s">
        <v>1148</v>
      </c>
      <c r="AE490" t="str">
        <f t="shared" si="38"/>
        <v>2025-12</v>
      </c>
      <c r="AF490" t="str">
        <f t="shared" si="39"/>
        <v>Q4-2025</v>
      </c>
    </row>
    <row r="491" spans="1:32" x14ac:dyDescent="0.3">
      <c r="A491" t="s">
        <v>1760</v>
      </c>
      <c r="B491" s="5">
        <v>5</v>
      </c>
      <c r="C491" s="4">
        <v>45596</v>
      </c>
      <c r="D491" s="4">
        <v>45601</v>
      </c>
      <c r="E491" t="s">
        <v>494</v>
      </c>
      <c r="F491" t="s">
        <v>495</v>
      </c>
      <c r="G491" t="s">
        <v>104</v>
      </c>
      <c r="H491" t="s">
        <v>31</v>
      </c>
      <c r="I491" t="s">
        <v>127</v>
      </c>
      <c r="J491" t="s">
        <v>1116</v>
      </c>
      <c r="K491" t="s">
        <v>1153</v>
      </c>
      <c r="L491" t="s">
        <v>725</v>
      </c>
      <c r="M491" t="s">
        <v>659</v>
      </c>
      <c r="N491" t="s">
        <v>713</v>
      </c>
      <c r="O491" t="s">
        <v>726</v>
      </c>
      <c r="P491" t="s">
        <v>46</v>
      </c>
      <c r="Q491" t="s">
        <v>47</v>
      </c>
      <c r="R491" t="s">
        <v>1094</v>
      </c>
      <c r="S491" t="s">
        <v>1156</v>
      </c>
      <c r="T491" s="5">
        <v>13</v>
      </c>
      <c r="U491" s="6">
        <v>134.29</v>
      </c>
      <c r="V491" s="6">
        <v>94.07</v>
      </c>
      <c r="W491" s="8">
        <v>0</v>
      </c>
      <c r="X491" s="6">
        <f t="shared" si="35"/>
        <v>1745.77</v>
      </c>
      <c r="Y491" s="6">
        <f t="shared" si="36"/>
        <v>1222.9099999999999</v>
      </c>
      <c r="Z491" s="6">
        <f t="shared" si="37"/>
        <v>522.86000000000013</v>
      </c>
      <c r="AA491" t="s">
        <v>679</v>
      </c>
      <c r="AC491" s="5"/>
      <c r="AD491" t="s">
        <v>1148</v>
      </c>
      <c r="AE491" t="str">
        <f t="shared" si="38"/>
        <v>2024-10</v>
      </c>
      <c r="AF491" t="str">
        <f t="shared" si="39"/>
        <v>Q4-2024</v>
      </c>
    </row>
    <row r="492" spans="1:32" x14ac:dyDescent="0.3">
      <c r="A492" t="s">
        <v>1761</v>
      </c>
      <c r="B492" s="5">
        <v>2</v>
      </c>
      <c r="C492" s="4">
        <v>45344</v>
      </c>
      <c r="D492" s="4">
        <v>45355</v>
      </c>
      <c r="E492" t="s">
        <v>479</v>
      </c>
      <c r="F492" t="s">
        <v>480</v>
      </c>
      <c r="G492" t="s">
        <v>84</v>
      </c>
      <c r="H492" t="s">
        <v>20</v>
      </c>
      <c r="I492" t="s">
        <v>90</v>
      </c>
      <c r="J492" t="s">
        <v>1262</v>
      </c>
      <c r="K492" t="s">
        <v>1274</v>
      </c>
      <c r="L492" t="s">
        <v>964</v>
      </c>
      <c r="M492" t="s">
        <v>929</v>
      </c>
      <c r="N492" t="s">
        <v>930</v>
      </c>
      <c r="O492" t="s">
        <v>965</v>
      </c>
      <c r="P492" t="s">
        <v>17</v>
      </c>
      <c r="Q492" t="s">
        <v>18</v>
      </c>
      <c r="R492" t="s">
        <v>1114</v>
      </c>
      <c r="S492" t="s">
        <v>1156</v>
      </c>
      <c r="T492" s="5">
        <v>4</v>
      </c>
      <c r="U492" s="6">
        <v>191.05</v>
      </c>
      <c r="V492" s="6">
        <v>101.47</v>
      </c>
      <c r="W492" s="8">
        <v>0</v>
      </c>
      <c r="X492" s="6">
        <f t="shared" si="35"/>
        <v>764.2</v>
      </c>
      <c r="Y492" s="6">
        <f t="shared" si="36"/>
        <v>405.88</v>
      </c>
      <c r="Z492" s="6">
        <f t="shared" si="37"/>
        <v>358.32000000000005</v>
      </c>
      <c r="AA492" t="s">
        <v>679</v>
      </c>
      <c r="AC492" s="5">
        <v>4</v>
      </c>
      <c r="AD492" t="s">
        <v>1105</v>
      </c>
      <c r="AE492" t="str">
        <f t="shared" si="38"/>
        <v>2024-02</v>
      </c>
      <c r="AF492" t="str">
        <f t="shared" si="39"/>
        <v>Q1-2024</v>
      </c>
    </row>
    <row r="493" spans="1:32" x14ac:dyDescent="0.3">
      <c r="A493" t="s">
        <v>1762</v>
      </c>
      <c r="B493" s="5">
        <v>4</v>
      </c>
      <c r="C493" s="4">
        <v>45976</v>
      </c>
      <c r="D493" s="4">
        <v>45979</v>
      </c>
      <c r="E493" t="s">
        <v>231</v>
      </c>
      <c r="F493" t="s">
        <v>232</v>
      </c>
      <c r="G493" t="s">
        <v>65</v>
      </c>
      <c r="H493" t="s">
        <v>20</v>
      </c>
      <c r="I493" t="s">
        <v>112</v>
      </c>
      <c r="J493" t="s">
        <v>1158</v>
      </c>
      <c r="K493" t="s">
        <v>1159</v>
      </c>
      <c r="L493" t="s">
        <v>1013</v>
      </c>
      <c r="M493" t="s">
        <v>1002</v>
      </c>
      <c r="N493" t="s">
        <v>1003</v>
      </c>
      <c r="O493" t="s">
        <v>1014</v>
      </c>
      <c r="P493" t="s">
        <v>50</v>
      </c>
      <c r="Q493" t="s">
        <v>51</v>
      </c>
      <c r="R493" t="s">
        <v>126</v>
      </c>
      <c r="S493" t="s">
        <v>1109</v>
      </c>
      <c r="T493" s="5">
        <v>13</v>
      </c>
      <c r="U493" s="6">
        <v>122.65</v>
      </c>
      <c r="V493" s="6">
        <v>75.239999999999995</v>
      </c>
      <c r="W493" s="8">
        <v>0</v>
      </c>
      <c r="X493" s="6">
        <f t="shared" si="35"/>
        <v>1594.45</v>
      </c>
      <c r="Y493" s="6">
        <f t="shared" si="36"/>
        <v>978.11999999999989</v>
      </c>
      <c r="Z493" s="6">
        <f t="shared" si="37"/>
        <v>616.33000000000015</v>
      </c>
      <c r="AA493" t="s">
        <v>679</v>
      </c>
      <c r="AC493" s="5">
        <v>2</v>
      </c>
      <c r="AD493" t="s">
        <v>1746</v>
      </c>
      <c r="AE493" t="str">
        <f t="shared" si="38"/>
        <v>2025-11</v>
      </c>
      <c r="AF493" t="str">
        <f t="shared" si="39"/>
        <v>Q4-2025</v>
      </c>
    </row>
    <row r="494" spans="1:32" x14ac:dyDescent="0.3">
      <c r="A494" t="s">
        <v>1763</v>
      </c>
      <c r="B494" s="5">
        <v>3</v>
      </c>
      <c r="C494" s="4">
        <v>45478</v>
      </c>
      <c r="D494" s="4">
        <v>45484</v>
      </c>
      <c r="E494" t="s">
        <v>551</v>
      </c>
      <c r="F494" t="s">
        <v>552</v>
      </c>
      <c r="G494" t="s">
        <v>65</v>
      </c>
      <c r="H494" t="s">
        <v>23</v>
      </c>
      <c r="I494" t="s">
        <v>81</v>
      </c>
      <c r="J494" t="s">
        <v>1163</v>
      </c>
      <c r="K494" t="s">
        <v>1164</v>
      </c>
      <c r="L494" t="s">
        <v>820</v>
      </c>
      <c r="M494" t="s">
        <v>795</v>
      </c>
      <c r="N494" t="s">
        <v>796</v>
      </c>
      <c r="O494" t="s">
        <v>821</v>
      </c>
      <c r="P494" t="s">
        <v>44</v>
      </c>
      <c r="Q494" t="s">
        <v>45</v>
      </c>
      <c r="R494" t="s">
        <v>1088</v>
      </c>
      <c r="S494" t="s">
        <v>1109</v>
      </c>
      <c r="T494" s="5">
        <v>40</v>
      </c>
      <c r="U494" s="6">
        <v>102.75</v>
      </c>
      <c r="V494" s="6">
        <v>67.19</v>
      </c>
      <c r="W494" s="8">
        <v>0.109</v>
      </c>
      <c r="X494" s="6">
        <f t="shared" si="35"/>
        <v>3662.01</v>
      </c>
      <c r="Y494" s="6">
        <f t="shared" si="36"/>
        <v>2687.6</v>
      </c>
      <c r="Z494" s="6">
        <f t="shared" si="37"/>
        <v>974.41000000000031</v>
      </c>
      <c r="AA494" t="s">
        <v>679</v>
      </c>
      <c r="AC494" s="5">
        <v>1</v>
      </c>
      <c r="AD494" t="s">
        <v>1148</v>
      </c>
      <c r="AE494" t="str">
        <f t="shared" si="38"/>
        <v>2024-07</v>
      </c>
      <c r="AF494" t="str">
        <f t="shared" si="39"/>
        <v>Q3-2024</v>
      </c>
    </row>
    <row r="495" spans="1:32" x14ac:dyDescent="0.3">
      <c r="A495" t="s">
        <v>1764</v>
      </c>
      <c r="B495" s="5">
        <v>5</v>
      </c>
      <c r="C495" s="4">
        <v>45818</v>
      </c>
      <c r="D495" s="4">
        <v>45828</v>
      </c>
      <c r="E495" t="s">
        <v>196</v>
      </c>
      <c r="F495" t="s">
        <v>197</v>
      </c>
      <c r="G495" t="s">
        <v>65</v>
      </c>
      <c r="H495" t="s">
        <v>31</v>
      </c>
      <c r="I495" t="s">
        <v>160</v>
      </c>
      <c r="J495" t="s">
        <v>1092</v>
      </c>
      <c r="K495" t="s">
        <v>1150</v>
      </c>
      <c r="L495" t="s">
        <v>794</v>
      </c>
      <c r="M495" t="s">
        <v>795</v>
      </c>
      <c r="N495" t="s">
        <v>796</v>
      </c>
      <c r="O495" t="s">
        <v>797</v>
      </c>
      <c r="P495" t="s">
        <v>46</v>
      </c>
      <c r="Q495" t="s">
        <v>47</v>
      </c>
      <c r="R495" t="s">
        <v>1088</v>
      </c>
      <c r="S495" t="s">
        <v>1089</v>
      </c>
      <c r="T495" s="5">
        <v>14</v>
      </c>
      <c r="U495" s="6">
        <v>88.26</v>
      </c>
      <c r="V495" s="6">
        <v>51.47</v>
      </c>
      <c r="W495" s="8">
        <v>0</v>
      </c>
      <c r="X495" s="6">
        <f t="shared" si="35"/>
        <v>1235.6400000000001</v>
      </c>
      <c r="Y495" s="6">
        <f t="shared" si="36"/>
        <v>720.57999999999993</v>
      </c>
      <c r="Z495" s="6">
        <f t="shared" si="37"/>
        <v>515.06000000000017</v>
      </c>
      <c r="AA495" t="s">
        <v>679</v>
      </c>
      <c r="AC495" s="5"/>
      <c r="AD495" t="s">
        <v>1101</v>
      </c>
      <c r="AE495" t="str">
        <f t="shared" si="38"/>
        <v>2025-06</v>
      </c>
      <c r="AF495" t="str">
        <f t="shared" si="39"/>
        <v>Q2-2025</v>
      </c>
    </row>
    <row r="496" spans="1:32" x14ac:dyDescent="0.3">
      <c r="A496" t="s">
        <v>1765</v>
      </c>
      <c r="B496" s="5">
        <v>5</v>
      </c>
      <c r="C496" s="4">
        <v>45484</v>
      </c>
      <c r="D496" s="4">
        <v>45494</v>
      </c>
      <c r="E496" t="s">
        <v>599</v>
      </c>
      <c r="F496" t="s">
        <v>600</v>
      </c>
      <c r="G496" t="s">
        <v>74</v>
      </c>
      <c r="H496" t="s">
        <v>23</v>
      </c>
      <c r="I496" t="s">
        <v>93</v>
      </c>
      <c r="J496" t="s">
        <v>1450</v>
      </c>
      <c r="K496" t="s">
        <v>1451</v>
      </c>
      <c r="L496" t="s">
        <v>1025</v>
      </c>
      <c r="M496" t="s">
        <v>1002</v>
      </c>
      <c r="N496" t="s">
        <v>1003</v>
      </c>
      <c r="O496" t="s">
        <v>1026</v>
      </c>
      <c r="P496" t="s">
        <v>48</v>
      </c>
      <c r="Q496" t="s">
        <v>49</v>
      </c>
      <c r="R496" t="s">
        <v>1094</v>
      </c>
      <c r="S496" t="s">
        <v>1156</v>
      </c>
      <c r="T496" s="5">
        <v>4</v>
      </c>
      <c r="U496" s="6">
        <v>326.20999999999998</v>
      </c>
      <c r="V496" s="6">
        <v>211.46</v>
      </c>
      <c r="W496" s="8">
        <v>0</v>
      </c>
      <c r="X496" s="6">
        <f t="shared" si="35"/>
        <v>1304.8399999999999</v>
      </c>
      <c r="Y496" s="6">
        <f t="shared" si="36"/>
        <v>845.84</v>
      </c>
      <c r="Z496" s="6">
        <f t="shared" si="37"/>
        <v>458.99999999999989</v>
      </c>
      <c r="AA496" t="s">
        <v>679</v>
      </c>
      <c r="AC496" s="5"/>
      <c r="AD496" t="s">
        <v>1096</v>
      </c>
      <c r="AE496" t="str">
        <f t="shared" si="38"/>
        <v>2024-07</v>
      </c>
      <c r="AF496" t="str">
        <f t="shared" si="39"/>
        <v>Q3-2024</v>
      </c>
    </row>
    <row r="497" spans="1:32" x14ac:dyDescent="0.3">
      <c r="A497" t="s">
        <v>1766</v>
      </c>
      <c r="B497" s="5">
        <v>4</v>
      </c>
      <c r="C497" s="4">
        <v>45780</v>
      </c>
      <c r="D497" s="4">
        <v>45789</v>
      </c>
      <c r="E497" t="s">
        <v>330</v>
      </c>
      <c r="F497" t="s">
        <v>331</v>
      </c>
      <c r="G497" t="s">
        <v>80</v>
      </c>
      <c r="H497" t="s">
        <v>31</v>
      </c>
      <c r="I497" t="s">
        <v>67</v>
      </c>
      <c r="J497" t="s">
        <v>1304</v>
      </c>
      <c r="K497" t="s">
        <v>1363</v>
      </c>
      <c r="L497" t="s">
        <v>908</v>
      </c>
      <c r="M497" t="s">
        <v>795</v>
      </c>
      <c r="N497" t="s">
        <v>898</v>
      </c>
      <c r="O497" t="s">
        <v>909</v>
      </c>
      <c r="P497" t="s">
        <v>48</v>
      </c>
      <c r="Q497" t="s">
        <v>49</v>
      </c>
      <c r="R497" t="s">
        <v>1088</v>
      </c>
      <c r="S497" t="s">
        <v>1095</v>
      </c>
      <c r="T497" s="5">
        <v>6</v>
      </c>
      <c r="U497" s="6">
        <v>269.35000000000002</v>
      </c>
      <c r="V497" s="6">
        <v>145.38</v>
      </c>
      <c r="W497" s="8">
        <v>6.5199999999999994E-2</v>
      </c>
      <c r="X497" s="6">
        <f t="shared" si="35"/>
        <v>1510.73028</v>
      </c>
      <c r="Y497" s="6">
        <f t="shared" si="36"/>
        <v>872.28</v>
      </c>
      <c r="Z497" s="6">
        <f t="shared" si="37"/>
        <v>638.45028000000002</v>
      </c>
      <c r="AA497" t="s">
        <v>679</v>
      </c>
      <c r="AC497" s="5">
        <v>4</v>
      </c>
      <c r="AD497" t="s">
        <v>1101</v>
      </c>
      <c r="AE497" t="str">
        <f t="shared" si="38"/>
        <v>2025-05</v>
      </c>
      <c r="AF497" t="str">
        <f t="shared" si="39"/>
        <v>Q2-2025</v>
      </c>
    </row>
    <row r="498" spans="1:32" x14ac:dyDescent="0.3">
      <c r="A498" t="s">
        <v>1767</v>
      </c>
      <c r="B498" s="5">
        <v>5</v>
      </c>
      <c r="C498" s="4">
        <v>45748</v>
      </c>
      <c r="D498" s="4">
        <v>45759</v>
      </c>
      <c r="E498" t="s">
        <v>299</v>
      </c>
      <c r="F498" t="s">
        <v>300</v>
      </c>
      <c r="G498" t="s">
        <v>84</v>
      </c>
      <c r="H498" t="s">
        <v>20</v>
      </c>
      <c r="I498" t="s">
        <v>112</v>
      </c>
      <c r="J498" t="s">
        <v>1201</v>
      </c>
      <c r="K498" t="s">
        <v>1202</v>
      </c>
      <c r="L498" t="s">
        <v>794</v>
      </c>
      <c r="M498" t="s">
        <v>795</v>
      </c>
      <c r="N498" t="s">
        <v>796</v>
      </c>
      <c r="O498" t="s">
        <v>797</v>
      </c>
      <c r="P498" t="s">
        <v>17</v>
      </c>
      <c r="Q498" t="s">
        <v>18</v>
      </c>
      <c r="R498" t="s">
        <v>126</v>
      </c>
      <c r="S498" t="s">
        <v>1095</v>
      </c>
      <c r="T498" s="5">
        <v>46</v>
      </c>
      <c r="U498" s="6">
        <v>78</v>
      </c>
      <c r="V498" s="6">
        <v>51.47</v>
      </c>
      <c r="W498" s="8">
        <v>0</v>
      </c>
      <c r="X498" s="6">
        <f t="shared" si="35"/>
        <v>3588</v>
      </c>
      <c r="Y498" s="6">
        <f t="shared" si="36"/>
        <v>2367.62</v>
      </c>
      <c r="Z498" s="6">
        <f t="shared" si="37"/>
        <v>1220.3800000000001</v>
      </c>
      <c r="AA498" t="s">
        <v>679</v>
      </c>
      <c r="AC498" s="5">
        <v>5</v>
      </c>
      <c r="AD498" t="s">
        <v>1101</v>
      </c>
      <c r="AE498" t="str">
        <f t="shared" si="38"/>
        <v>2025-04</v>
      </c>
      <c r="AF498" t="str">
        <f t="shared" si="39"/>
        <v>Q2-2025</v>
      </c>
    </row>
    <row r="499" spans="1:32" x14ac:dyDescent="0.3">
      <c r="A499" t="s">
        <v>1768</v>
      </c>
      <c r="B499" s="5">
        <v>2</v>
      </c>
      <c r="C499" s="4">
        <v>45342</v>
      </c>
      <c r="D499" s="4">
        <v>45349</v>
      </c>
      <c r="E499" t="s">
        <v>612</v>
      </c>
      <c r="F499" t="s">
        <v>613</v>
      </c>
      <c r="G499" t="s">
        <v>65</v>
      </c>
      <c r="H499" t="s">
        <v>20</v>
      </c>
      <c r="I499" t="s">
        <v>71</v>
      </c>
      <c r="J499" t="s">
        <v>1166</v>
      </c>
      <c r="K499" t="s">
        <v>1196</v>
      </c>
      <c r="L499" t="s">
        <v>774</v>
      </c>
      <c r="M499" t="s">
        <v>659</v>
      </c>
      <c r="N499" t="s">
        <v>754</v>
      </c>
      <c r="O499" t="s">
        <v>775</v>
      </c>
      <c r="P499" t="s">
        <v>48</v>
      </c>
      <c r="Q499" t="s">
        <v>49</v>
      </c>
      <c r="R499" t="s">
        <v>1094</v>
      </c>
      <c r="S499" t="s">
        <v>1109</v>
      </c>
      <c r="T499" s="5">
        <v>3</v>
      </c>
      <c r="U499" s="6">
        <v>154.66999999999999</v>
      </c>
      <c r="V499" s="6">
        <v>103.88</v>
      </c>
      <c r="W499" s="8">
        <v>0</v>
      </c>
      <c r="X499" s="6">
        <f t="shared" si="35"/>
        <v>464.01</v>
      </c>
      <c r="Y499" s="6">
        <f t="shared" si="36"/>
        <v>311.64</v>
      </c>
      <c r="Z499" s="6">
        <f t="shared" si="37"/>
        <v>152.37</v>
      </c>
      <c r="AA499" t="s">
        <v>679</v>
      </c>
      <c r="AC499" s="5">
        <v>2</v>
      </c>
      <c r="AE499" t="str">
        <f t="shared" si="38"/>
        <v>2024-02</v>
      </c>
      <c r="AF499" t="str">
        <f t="shared" si="39"/>
        <v>Q1-2024</v>
      </c>
    </row>
    <row r="500" spans="1:32" x14ac:dyDescent="0.3">
      <c r="A500" t="s">
        <v>1769</v>
      </c>
      <c r="B500" s="5">
        <v>5</v>
      </c>
      <c r="C500" s="4">
        <v>45318</v>
      </c>
      <c r="D500" s="4">
        <v>45328</v>
      </c>
      <c r="E500" t="s">
        <v>257</v>
      </c>
      <c r="F500" t="s">
        <v>258</v>
      </c>
      <c r="G500" t="s">
        <v>65</v>
      </c>
      <c r="H500" t="s">
        <v>20</v>
      </c>
      <c r="I500" t="s">
        <v>90</v>
      </c>
      <c r="J500" t="s">
        <v>1171</v>
      </c>
      <c r="K500" t="s">
        <v>1379</v>
      </c>
      <c r="L500" t="s">
        <v>753</v>
      </c>
      <c r="M500" t="s">
        <v>659</v>
      </c>
      <c r="N500" t="s">
        <v>754</v>
      </c>
      <c r="O500" t="s">
        <v>755</v>
      </c>
      <c r="P500" t="s">
        <v>27</v>
      </c>
      <c r="Q500" t="s">
        <v>28</v>
      </c>
      <c r="R500" t="s">
        <v>1114</v>
      </c>
      <c r="S500" t="s">
        <v>1109</v>
      </c>
      <c r="T500" s="5">
        <v>8</v>
      </c>
      <c r="U500" s="6">
        <v>8.1</v>
      </c>
      <c r="V500" s="6">
        <v>5</v>
      </c>
      <c r="W500" s="8">
        <v>0</v>
      </c>
      <c r="X500" s="6">
        <f t="shared" si="35"/>
        <v>64.8</v>
      </c>
      <c r="Y500" s="6">
        <f t="shared" si="36"/>
        <v>40</v>
      </c>
      <c r="Z500" s="6">
        <f t="shared" si="37"/>
        <v>24.799999999999997</v>
      </c>
      <c r="AA500" t="s">
        <v>679</v>
      </c>
      <c r="AC500" s="5">
        <v>2</v>
      </c>
      <c r="AD500" t="s">
        <v>1136</v>
      </c>
      <c r="AE500" t="str">
        <f t="shared" si="38"/>
        <v>2024-01</v>
      </c>
      <c r="AF500" t="str">
        <f t="shared" si="39"/>
        <v>Q1-2024</v>
      </c>
    </row>
    <row r="501" spans="1:32" x14ac:dyDescent="0.3">
      <c r="A501" t="s">
        <v>1770</v>
      </c>
      <c r="B501" s="5">
        <v>3</v>
      </c>
      <c r="C501" s="4">
        <v>46000</v>
      </c>
      <c r="D501" s="4">
        <v>46006</v>
      </c>
      <c r="E501" t="s">
        <v>148</v>
      </c>
      <c r="F501" t="s">
        <v>149</v>
      </c>
      <c r="G501" t="s">
        <v>65</v>
      </c>
      <c r="H501" t="s">
        <v>20</v>
      </c>
      <c r="I501" t="s">
        <v>112</v>
      </c>
      <c r="J501" t="s">
        <v>1158</v>
      </c>
      <c r="K501" t="s">
        <v>1159</v>
      </c>
      <c r="L501" t="s">
        <v>749</v>
      </c>
      <c r="M501" t="s">
        <v>659</v>
      </c>
      <c r="N501" t="s">
        <v>713</v>
      </c>
      <c r="O501" t="s">
        <v>750</v>
      </c>
      <c r="P501" t="s">
        <v>32</v>
      </c>
      <c r="Q501" t="s">
        <v>33</v>
      </c>
      <c r="R501" t="s">
        <v>1088</v>
      </c>
      <c r="S501" t="s">
        <v>1109</v>
      </c>
      <c r="T501" s="5">
        <v>3</v>
      </c>
      <c r="U501" s="6">
        <v>7.94</v>
      </c>
      <c r="V501" s="6">
        <v>5</v>
      </c>
      <c r="W501" s="8">
        <v>0</v>
      </c>
      <c r="X501" s="6">
        <f t="shared" si="35"/>
        <v>23.82</v>
      </c>
      <c r="Y501" s="6">
        <f t="shared" si="36"/>
        <v>15</v>
      </c>
      <c r="Z501" s="6">
        <f t="shared" si="37"/>
        <v>8.82</v>
      </c>
      <c r="AA501" t="s">
        <v>679</v>
      </c>
      <c r="AC501" s="5">
        <v>5</v>
      </c>
      <c r="AD501" t="s">
        <v>1101</v>
      </c>
      <c r="AE501" t="str">
        <f t="shared" si="38"/>
        <v>2025-12</v>
      </c>
      <c r="AF501" t="str">
        <f t="shared" si="39"/>
        <v>Q4-2025</v>
      </c>
    </row>
    <row r="502" spans="1:32" x14ac:dyDescent="0.3">
      <c r="A502" t="s">
        <v>1771</v>
      </c>
      <c r="B502" s="5">
        <v>5</v>
      </c>
      <c r="C502" s="4">
        <v>45634</v>
      </c>
      <c r="D502" s="4">
        <v>45648</v>
      </c>
      <c r="E502" t="s">
        <v>603</v>
      </c>
      <c r="F502" t="s">
        <v>1772</v>
      </c>
      <c r="G502" t="s">
        <v>74</v>
      </c>
      <c r="H502" t="s">
        <v>20</v>
      </c>
      <c r="I502" t="s">
        <v>112</v>
      </c>
      <c r="J502" t="s">
        <v>1158</v>
      </c>
      <c r="K502" t="s">
        <v>1159</v>
      </c>
      <c r="L502" t="s">
        <v>983</v>
      </c>
      <c r="M502" t="s">
        <v>929</v>
      </c>
      <c r="N502" t="s">
        <v>971</v>
      </c>
      <c r="O502" t="s">
        <v>984</v>
      </c>
      <c r="P502" t="s">
        <v>50</v>
      </c>
      <c r="Q502" t="s">
        <v>51</v>
      </c>
      <c r="R502" t="s">
        <v>1114</v>
      </c>
      <c r="S502" t="s">
        <v>1109</v>
      </c>
      <c r="T502" s="5">
        <v>7</v>
      </c>
      <c r="U502" s="6">
        <v>199.65</v>
      </c>
      <c r="V502" s="6">
        <v>106.87</v>
      </c>
      <c r="W502" s="8">
        <v>0</v>
      </c>
      <c r="X502" s="6">
        <f t="shared" si="35"/>
        <v>1397.55</v>
      </c>
      <c r="Y502" s="6">
        <f t="shared" si="36"/>
        <v>748.09</v>
      </c>
      <c r="Z502" s="6">
        <f t="shared" si="37"/>
        <v>649.45999999999992</v>
      </c>
      <c r="AA502" t="s">
        <v>679</v>
      </c>
      <c r="AC502" s="5"/>
      <c r="AD502" t="s">
        <v>1101</v>
      </c>
      <c r="AE502" t="str">
        <f t="shared" si="38"/>
        <v>2024-12</v>
      </c>
      <c r="AF502" t="str">
        <f t="shared" si="39"/>
        <v>Q4-2024</v>
      </c>
    </row>
    <row r="503" spans="1:32" x14ac:dyDescent="0.3">
      <c r="A503" t="s">
        <v>1773</v>
      </c>
      <c r="B503" s="5">
        <v>1</v>
      </c>
      <c r="C503" s="4">
        <v>46008</v>
      </c>
      <c r="D503" s="4">
        <v>46010</v>
      </c>
      <c r="E503" t="s">
        <v>314</v>
      </c>
      <c r="F503" t="s">
        <v>315</v>
      </c>
      <c r="G503" t="s">
        <v>104</v>
      </c>
      <c r="H503" t="s">
        <v>23</v>
      </c>
      <c r="I503" t="s">
        <v>81</v>
      </c>
      <c r="J503" t="s">
        <v>1163</v>
      </c>
      <c r="K503" t="s">
        <v>1164</v>
      </c>
      <c r="L503" t="s">
        <v>1005</v>
      </c>
      <c r="M503" t="s">
        <v>1002</v>
      </c>
      <c r="N503" t="s">
        <v>1003</v>
      </c>
      <c r="O503" t="s">
        <v>1006</v>
      </c>
      <c r="P503" t="s">
        <v>42</v>
      </c>
      <c r="Q503" t="s">
        <v>43</v>
      </c>
      <c r="R503" t="s">
        <v>1114</v>
      </c>
      <c r="S503" t="s">
        <v>1089</v>
      </c>
      <c r="T503" s="5">
        <v>2</v>
      </c>
      <c r="U503" s="6">
        <v>116.93</v>
      </c>
      <c r="V503" s="6">
        <v>76.489999999999995</v>
      </c>
      <c r="W503" s="8">
        <v>0</v>
      </c>
      <c r="X503" s="6">
        <f t="shared" si="35"/>
        <v>233.86</v>
      </c>
      <c r="Y503" s="6">
        <f t="shared" si="36"/>
        <v>152.97999999999999</v>
      </c>
      <c r="Z503" s="6">
        <f t="shared" si="37"/>
        <v>80.880000000000024</v>
      </c>
      <c r="AA503" t="s">
        <v>679</v>
      </c>
      <c r="AC503" s="5">
        <v>3</v>
      </c>
      <c r="AD503" t="s">
        <v>1101</v>
      </c>
      <c r="AE503" t="str">
        <f t="shared" si="38"/>
        <v>2025-12</v>
      </c>
      <c r="AF503" t="str">
        <f t="shared" si="39"/>
        <v>Q4-2025</v>
      </c>
    </row>
    <row r="504" spans="1:32" x14ac:dyDescent="0.3">
      <c r="A504" t="s">
        <v>1774</v>
      </c>
      <c r="B504" s="5">
        <v>3</v>
      </c>
      <c r="C504" s="4">
        <v>45859</v>
      </c>
      <c r="D504" s="4">
        <v>45861</v>
      </c>
      <c r="E504" t="s">
        <v>128</v>
      </c>
      <c r="F504" t="s">
        <v>129</v>
      </c>
      <c r="G504" t="s">
        <v>65</v>
      </c>
      <c r="H504" t="s">
        <v>41</v>
      </c>
      <c r="I504" t="s">
        <v>75</v>
      </c>
      <c r="J504" t="s">
        <v>1142</v>
      </c>
      <c r="K504" t="s">
        <v>1205</v>
      </c>
      <c r="L504" t="s">
        <v>776</v>
      </c>
      <c r="M504" t="s">
        <v>659</v>
      </c>
      <c r="N504" t="s">
        <v>754</v>
      </c>
      <c r="O504" t="s">
        <v>777</v>
      </c>
      <c r="P504" t="s">
        <v>46</v>
      </c>
      <c r="Q504" t="s">
        <v>47</v>
      </c>
      <c r="R504" t="s">
        <v>1114</v>
      </c>
      <c r="S504" t="s">
        <v>1156</v>
      </c>
      <c r="T504" s="5">
        <v>18</v>
      </c>
      <c r="U504" s="6">
        <v>51.9</v>
      </c>
      <c r="V504" s="6">
        <v>38.229999999999997</v>
      </c>
      <c r="W504" s="8">
        <v>0</v>
      </c>
      <c r="X504" s="6">
        <f t="shared" si="35"/>
        <v>934.19999999999993</v>
      </c>
      <c r="Y504" s="6">
        <f t="shared" si="36"/>
        <v>688.14</v>
      </c>
      <c r="Z504" s="6">
        <f t="shared" si="37"/>
        <v>246.05999999999995</v>
      </c>
      <c r="AA504" t="s">
        <v>679</v>
      </c>
      <c r="AC504" s="5"/>
      <c r="AD504" t="s">
        <v>1136</v>
      </c>
      <c r="AE504" t="str">
        <f t="shared" si="38"/>
        <v>2025-07</v>
      </c>
      <c r="AF504" t="str">
        <f t="shared" si="39"/>
        <v>Q3-2025</v>
      </c>
    </row>
    <row r="505" spans="1:32" x14ac:dyDescent="0.3">
      <c r="A505" t="s">
        <v>1775</v>
      </c>
      <c r="B505" s="5">
        <v>1</v>
      </c>
      <c r="C505" s="4">
        <v>45328</v>
      </c>
      <c r="D505" s="4">
        <v>45329</v>
      </c>
      <c r="E505" t="s">
        <v>649</v>
      </c>
      <c r="F505" t="s">
        <v>650</v>
      </c>
      <c r="G505" t="s">
        <v>84</v>
      </c>
      <c r="H505" t="s">
        <v>23</v>
      </c>
      <c r="I505" t="s">
        <v>93</v>
      </c>
      <c r="J505" t="s">
        <v>1278</v>
      </c>
      <c r="K505" t="s">
        <v>1351</v>
      </c>
      <c r="L505" t="s">
        <v>712</v>
      </c>
      <c r="M505" t="s">
        <v>659</v>
      </c>
      <c r="N505" t="s">
        <v>713</v>
      </c>
      <c r="O505" t="s">
        <v>714</v>
      </c>
      <c r="P505" t="s">
        <v>37</v>
      </c>
      <c r="Q505" t="s">
        <v>38</v>
      </c>
      <c r="R505" t="s">
        <v>1114</v>
      </c>
      <c r="S505" t="s">
        <v>1156</v>
      </c>
      <c r="T505" s="5">
        <v>10</v>
      </c>
      <c r="U505" s="6">
        <v>6.36</v>
      </c>
      <c r="V505" s="6">
        <v>5</v>
      </c>
      <c r="W505" s="8">
        <v>0</v>
      </c>
      <c r="X505" s="6">
        <f t="shared" si="35"/>
        <v>63.6</v>
      </c>
      <c r="Y505" s="6">
        <f t="shared" si="36"/>
        <v>50</v>
      </c>
      <c r="Z505" s="6">
        <f t="shared" si="37"/>
        <v>13.600000000000001</v>
      </c>
      <c r="AA505" t="s">
        <v>679</v>
      </c>
      <c r="AC505" s="5">
        <v>5</v>
      </c>
      <c r="AD505" t="s">
        <v>1140</v>
      </c>
      <c r="AE505" t="str">
        <f t="shared" si="38"/>
        <v>2024-02</v>
      </c>
      <c r="AF505" t="str">
        <f t="shared" si="39"/>
        <v>Q1-2024</v>
      </c>
    </row>
    <row r="506" spans="1:32" x14ac:dyDescent="0.3">
      <c r="A506" t="s">
        <v>1776</v>
      </c>
      <c r="B506" s="5">
        <v>1</v>
      </c>
      <c r="C506" s="4">
        <v>45855</v>
      </c>
      <c r="D506" s="4">
        <v>45868</v>
      </c>
      <c r="E506" t="s">
        <v>641</v>
      </c>
      <c r="F506" t="s">
        <v>642</v>
      </c>
      <c r="G506" t="s">
        <v>84</v>
      </c>
      <c r="H506" t="s">
        <v>41</v>
      </c>
      <c r="I506" t="s">
        <v>75</v>
      </c>
      <c r="J506" t="s">
        <v>1142</v>
      </c>
      <c r="K506" t="s">
        <v>1143</v>
      </c>
      <c r="L506" t="s">
        <v>700</v>
      </c>
      <c r="M506" t="s">
        <v>659</v>
      </c>
      <c r="N506" t="s">
        <v>660</v>
      </c>
      <c r="O506" t="s">
        <v>701</v>
      </c>
      <c r="P506" t="s">
        <v>24</v>
      </c>
      <c r="Q506" t="s">
        <v>25</v>
      </c>
      <c r="R506" t="s">
        <v>1088</v>
      </c>
      <c r="S506" t="s">
        <v>1089</v>
      </c>
      <c r="T506" s="5">
        <v>14</v>
      </c>
      <c r="U506" s="6">
        <v>89.06</v>
      </c>
      <c r="V506" s="6">
        <v>56.99</v>
      </c>
      <c r="W506" s="8">
        <v>0.17469999999999999</v>
      </c>
      <c r="X506" s="6">
        <f t="shared" si="35"/>
        <v>1029.0170520000001</v>
      </c>
      <c r="Y506" s="6">
        <f t="shared" si="36"/>
        <v>797.86</v>
      </c>
      <c r="Z506" s="6">
        <f t="shared" si="37"/>
        <v>231.15705200000014</v>
      </c>
      <c r="AA506" t="s">
        <v>662</v>
      </c>
      <c r="AB506" t="s">
        <v>1289</v>
      </c>
      <c r="AC506" s="5">
        <v>1</v>
      </c>
      <c r="AD506" t="s">
        <v>1140</v>
      </c>
      <c r="AE506" t="str">
        <f t="shared" si="38"/>
        <v>2025-07</v>
      </c>
      <c r="AF506" t="str">
        <f t="shared" si="39"/>
        <v>Q3-2025</v>
      </c>
    </row>
    <row r="507" spans="1:32" x14ac:dyDescent="0.3">
      <c r="A507" t="s">
        <v>1777</v>
      </c>
      <c r="B507" s="5">
        <v>3</v>
      </c>
      <c r="C507" s="4">
        <v>45387</v>
      </c>
      <c r="D507" s="4">
        <v>45392</v>
      </c>
      <c r="E507" t="s">
        <v>360</v>
      </c>
      <c r="F507" t="s">
        <v>361</v>
      </c>
      <c r="G507" t="s">
        <v>65</v>
      </c>
      <c r="H507" t="s">
        <v>20</v>
      </c>
      <c r="I507" t="s">
        <v>112</v>
      </c>
      <c r="J507" t="s">
        <v>1158</v>
      </c>
      <c r="K507" t="s">
        <v>1416</v>
      </c>
      <c r="L507" t="s">
        <v>725</v>
      </c>
      <c r="M507" t="s">
        <v>659</v>
      </c>
      <c r="N507" t="s">
        <v>713</v>
      </c>
      <c r="O507" t="s">
        <v>726</v>
      </c>
      <c r="P507" t="s">
        <v>27</v>
      </c>
      <c r="Q507" t="s">
        <v>28</v>
      </c>
      <c r="R507" t="s">
        <v>1094</v>
      </c>
      <c r="S507" t="s">
        <v>1089</v>
      </c>
      <c r="T507" s="5">
        <v>14</v>
      </c>
      <c r="U507" s="6">
        <v>140.02000000000001</v>
      </c>
      <c r="V507" s="6">
        <v>94.07</v>
      </c>
      <c r="W507" s="8">
        <v>7.6200000000000004E-2</v>
      </c>
      <c r="X507" s="6">
        <f t="shared" si="35"/>
        <v>1810.9066640000001</v>
      </c>
      <c r="Y507" s="6">
        <f t="shared" si="36"/>
        <v>1316.98</v>
      </c>
      <c r="Z507" s="6">
        <f t="shared" si="37"/>
        <v>493.92666400000007</v>
      </c>
      <c r="AA507" t="s">
        <v>679</v>
      </c>
      <c r="AC507" s="5">
        <v>1</v>
      </c>
      <c r="AD507" t="s">
        <v>1778</v>
      </c>
      <c r="AE507" t="str">
        <f t="shared" si="38"/>
        <v>2024-04</v>
      </c>
      <c r="AF507" t="str">
        <f t="shared" si="39"/>
        <v>Q2-2024</v>
      </c>
    </row>
    <row r="508" spans="1:32" x14ac:dyDescent="0.3">
      <c r="A508" t="s">
        <v>1779</v>
      </c>
      <c r="B508" s="5">
        <v>5</v>
      </c>
      <c r="C508" s="4">
        <v>45925</v>
      </c>
      <c r="D508" s="4">
        <v>45933</v>
      </c>
      <c r="E508" t="s">
        <v>440</v>
      </c>
      <c r="F508" t="s">
        <v>220</v>
      </c>
      <c r="G508" t="s">
        <v>65</v>
      </c>
      <c r="H508" t="s">
        <v>23</v>
      </c>
      <c r="I508" t="s">
        <v>81</v>
      </c>
      <c r="J508" t="s">
        <v>1119</v>
      </c>
      <c r="K508" t="s">
        <v>1120</v>
      </c>
      <c r="L508" t="s">
        <v>694</v>
      </c>
      <c r="M508" t="s">
        <v>659</v>
      </c>
      <c r="N508" t="s">
        <v>660</v>
      </c>
      <c r="O508" t="s">
        <v>695</v>
      </c>
      <c r="P508" t="s">
        <v>17</v>
      </c>
      <c r="Q508" t="s">
        <v>18</v>
      </c>
      <c r="R508" t="s">
        <v>1088</v>
      </c>
      <c r="S508" t="s">
        <v>1109</v>
      </c>
      <c r="T508" s="5">
        <v>4</v>
      </c>
      <c r="U508" s="6">
        <v>182.42</v>
      </c>
      <c r="V508" s="6">
        <v>105.86</v>
      </c>
      <c r="W508" s="8">
        <v>0</v>
      </c>
      <c r="X508" s="6">
        <f t="shared" si="35"/>
        <v>729.68</v>
      </c>
      <c r="Y508" s="6">
        <f t="shared" si="36"/>
        <v>423.44</v>
      </c>
      <c r="Z508" s="6">
        <f t="shared" si="37"/>
        <v>306.23999999999995</v>
      </c>
      <c r="AA508" t="s">
        <v>679</v>
      </c>
      <c r="AC508" s="5"/>
      <c r="AD508" t="s">
        <v>1110</v>
      </c>
      <c r="AE508" t="str">
        <f t="shared" si="38"/>
        <v>2025-09</v>
      </c>
      <c r="AF508" t="str">
        <f t="shared" si="39"/>
        <v>Q3-2025</v>
      </c>
    </row>
    <row r="509" spans="1:32" x14ac:dyDescent="0.3">
      <c r="A509" t="s">
        <v>1780</v>
      </c>
      <c r="B509" s="5">
        <v>2</v>
      </c>
      <c r="C509" s="4">
        <v>45825</v>
      </c>
      <c r="D509" s="4">
        <v>45828</v>
      </c>
      <c r="E509" t="s">
        <v>273</v>
      </c>
      <c r="F509" t="s">
        <v>274</v>
      </c>
      <c r="G509" t="s">
        <v>65</v>
      </c>
      <c r="H509" t="s">
        <v>23</v>
      </c>
      <c r="I509" t="s">
        <v>109</v>
      </c>
      <c r="J509" t="s">
        <v>1138</v>
      </c>
      <c r="K509" t="s">
        <v>1255</v>
      </c>
      <c r="L509" t="s">
        <v>741</v>
      </c>
      <c r="M509" t="s">
        <v>659</v>
      </c>
      <c r="N509" t="s">
        <v>713</v>
      </c>
      <c r="O509" t="s">
        <v>742</v>
      </c>
      <c r="P509" t="s">
        <v>44</v>
      </c>
      <c r="Q509" t="s">
        <v>45</v>
      </c>
      <c r="R509" t="s">
        <v>1088</v>
      </c>
      <c r="S509" t="s">
        <v>1156</v>
      </c>
      <c r="T509" s="5">
        <v>18</v>
      </c>
      <c r="U509" s="6">
        <v>26.02</v>
      </c>
      <c r="V509" s="6">
        <v>20.54</v>
      </c>
      <c r="W509" s="8">
        <v>0.2611</v>
      </c>
      <c r="X509" s="6">
        <f t="shared" si="35"/>
        <v>346.07120400000002</v>
      </c>
      <c r="Y509" s="6">
        <f t="shared" si="36"/>
        <v>369.71999999999997</v>
      </c>
      <c r="Z509" s="6">
        <f t="shared" si="37"/>
        <v>-23.648795999999948</v>
      </c>
      <c r="AA509" t="s">
        <v>662</v>
      </c>
      <c r="AB509" t="s">
        <v>1508</v>
      </c>
      <c r="AC509" s="5"/>
      <c r="AD509" t="s">
        <v>1110</v>
      </c>
      <c r="AE509" t="str">
        <f t="shared" si="38"/>
        <v>2025-06</v>
      </c>
      <c r="AF509" t="str">
        <f t="shared" si="39"/>
        <v>Q2-2025</v>
      </c>
    </row>
    <row r="510" spans="1:32" x14ac:dyDescent="0.3">
      <c r="A510" t="s">
        <v>1781</v>
      </c>
      <c r="B510" s="5">
        <v>5</v>
      </c>
      <c r="C510" s="4">
        <v>45738</v>
      </c>
      <c r="D510" s="4">
        <v>45741</v>
      </c>
      <c r="E510" t="s">
        <v>336</v>
      </c>
      <c r="F510" t="s">
        <v>337</v>
      </c>
      <c r="G510" t="s">
        <v>74</v>
      </c>
      <c r="H510" t="s">
        <v>23</v>
      </c>
      <c r="I510" t="s">
        <v>109</v>
      </c>
      <c r="J510" t="s">
        <v>1300</v>
      </c>
      <c r="K510" t="s">
        <v>1429</v>
      </c>
      <c r="L510" t="s">
        <v>814</v>
      </c>
      <c r="M510" t="s">
        <v>795</v>
      </c>
      <c r="N510" t="s">
        <v>796</v>
      </c>
      <c r="O510" t="s">
        <v>815</v>
      </c>
      <c r="P510" t="s">
        <v>44</v>
      </c>
      <c r="Q510" t="s">
        <v>45</v>
      </c>
      <c r="R510" t="s">
        <v>1088</v>
      </c>
      <c r="S510" t="s">
        <v>1095</v>
      </c>
      <c r="T510" s="5">
        <v>26</v>
      </c>
      <c r="U510" s="6">
        <v>151.58000000000001</v>
      </c>
      <c r="V510" s="6">
        <v>124.03</v>
      </c>
      <c r="W510" s="8">
        <v>3.4000000000000002E-2</v>
      </c>
      <c r="X510" s="6">
        <f t="shared" si="35"/>
        <v>3807.0832800000003</v>
      </c>
      <c r="Y510" s="6">
        <f t="shared" si="36"/>
        <v>3224.78</v>
      </c>
      <c r="Z510" s="6">
        <f t="shared" si="37"/>
        <v>582.30328000000009</v>
      </c>
      <c r="AA510" t="s">
        <v>679</v>
      </c>
      <c r="AC510" s="5">
        <v>3</v>
      </c>
      <c r="AD510" t="s">
        <v>1136</v>
      </c>
      <c r="AE510" t="str">
        <f t="shared" si="38"/>
        <v>2025-03</v>
      </c>
      <c r="AF510" t="str">
        <f t="shared" si="39"/>
        <v>Q1-2025</v>
      </c>
    </row>
    <row r="511" spans="1:32" x14ac:dyDescent="0.3">
      <c r="A511" t="s">
        <v>1782</v>
      </c>
      <c r="B511" s="5">
        <v>2</v>
      </c>
      <c r="C511" s="4">
        <v>45320</v>
      </c>
      <c r="D511" s="4">
        <v>45330</v>
      </c>
      <c r="E511" t="s">
        <v>461</v>
      </c>
      <c r="F511" t="s">
        <v>462</v>
      </c>
      <c r="G511" t="s">
        <v>65</v>
      </c>
      <c r="H511" t="s">
        <v>31</v>
      </c>
      <c r="I511" t="s">
        <v>127</v>
      </c>
      <c r="J511" t="s">
        <v>1098</v>
      </c>
      <c r="K511" t="s">
        <v>1099</v>
      </c>
      <c r="L511" t="s">
        <v>932</v>
      </c>
      <c r="M511" t="s">
        <v>929</v>
      </c>
      <c r="N511" t="s">
        <v>930</v>
      </c>
      <c r="O511" t="s">
        <v>933</v>
      </c>
      <c r="P511" t="s">
        <v>42</v>
      </c>
      <c r="Q511" t="s">
        <v>43</v>
      </c>
      <c r="R511" t="s">
        <v>126</v>
      </c>
      <c r="S511" t="s">
        <v>1156</v>
      </c>
      <c r="T511" s="5">
        <v>6</v>
      </c>
      <c r="U511" s="6">
        <v>190.82</v>
      </c>
      <c r="V511" s="6">
        <v>136.69</v>
      </c>
      <c r="W511" s="8">
        <v>0</v>
      </c>
      <c r="X511" s="6">
        <f t="shared" si="35"/>
        <v>1144.92</v>
      </c>
      <c r="Y511" s="6">
        <f t="shared" si="36"/>
        <v>820.14</v>
      </c>
      <c r="Z511" s="6">
        <f t="shared" si="37"/>
        <v>324.78000000000009</v>
      </c>
      <c r="AA511" t="s">
        <v>679</v>
      </c>
      <c r="AC511" s="5">
        <v>4</v>
      </c>
      <c r="AD511" t="s">
        <v>1096</v>
      </c>
      <c r="AE511" t="str">
        <f t="shared" si="38"/>
        <v>2024-01</v>
      </c>
      <c r="AF511" t="str">
        <f t="shared" si="39"/>
        <v>Q1-2024</v>
      </c>
    </row>
    <row r="512" spans="1:32" x14ac:dyDescent="0.3">
      <c r="A512" t="s">
        <v>1783</v>
      </c>
      <c r="B512" s="5">
        <v>3</v>
      </c>
      <c r="C512" s="4">
        <v>45335</v>
      </c>
      <c r="D512" s="4">
        <v>45339</v>
      </c>
      <c r="E512" t="s">
        <v>142</v>
      </c>
      <c r="F512" t="s">
        <v>143</v>
      </c>
      <c r="G512" t="s">
        <v>74</v>
      </c>
      <c r="H512" t="s">
        <v>31</v>
      </c>
      <c r="I512" t="s">
        <v>67</v>
      </c>
      <c r="J512" t="s">
        <v>1128</v>
      </c>
      <c r="K512" t="s">
        <v>1181</v>
      </c>
      <c r="L512" t="s">
        <v>770</v>
      </c>
      <c r="M512" t="s">
        <v>659</v>
      </c>
      <c r="N512" t="s">
        <v>754</v>
      </c>
      <c r="O512" t="s">
        <v>771</v>
      </c>
      <c r="P512" t="s">
        <v>48</v>
      </c>
      <c r="Q512" t="s">
        <v>49</v>
      </c>
      <c r="R512" t="s">
        <v>1114</v>
      </c>
      <c r="S512" t="s">
        <v>1109</v>
      </c>
      <c r="T512" s="5">
        <v>14</v>
      </c>
      <c r="U512" s="6">
        <v>30</v>
      </c>
      <c r="V512" s="6">
        <v>25.38</v>
      </c>
      <c r="W512" s="8">
        <v>0</v>
      </c>
      <c r="X512" s="6">
        <f t="shared" si="35"/>
        <v>420</v>
      </c>
      <c r="Y512" s="6">
        <f t="shared" si="36"/>
        <v>355.32</v>
      </c>
      <c r="Z512" s="6">
        <f t="shared" si="37"/>
        <v>64.680000000000007</v>
      </c>
      <c r="AA512" t="s">
        <v>679</v>
      </c>
      <c r="AC512" s="5">
        <v>1</v>
      </c>
      <c r="AD512" t="s">
        <v>1123</v>
      </c>
      <c r="AE512" t="str">
        <f t="shared" si="38"/>
        <v>2024-02</v>
      </c>
      <c r="AF512" t="str">
        <f t="shared" si="39"/>
        <v>Q1-2024</v>
      </c>
    </row>
    <row r="513" spans="1:32" x14ac:dyDescent="0.3">
      <c r="A513" t="s">
        <v>1784</v>
      </c>
      <c r="B513" s="5">
        <v>4</v>
      </c>
      <c r="C513" s="4">
        <v>45423</v>
      </c>
      <c r="D513" s="4">
        <v>45431</v>
      </c>
      <c r="E513" t="s">
        <v>283</v>
      </c>
      <c r="F513" t="s">
        <v>284</v>
      </c>
      <c r="G513" t="s">
        <v>84</v>
      </c>
      <c r="H513" t="s">
        <v>20</v>
      </c>
      <c r="I513" t="s">
        <v>71</v>
      </c>
      <c r="J513" t="s">
        <v>1166</v>
      </c>
      <c r="K513" t="s">
        <v>1167</v>
      </c>
      <c r="L513" t="s">
        <v>1019</v>
      </c>
      <c r="M513" t="s">
        <v>1002</v>
      </c>
      <c r="N513" t="s">
        <v>1003</v>
      </c>
      <c r="O513" t="s">
        <v>1020</v>
      </c>
      <c r="P513" t="s">
        <v>27</v>
      </c>
      <c r="Q513" t="s">
        <v>28</v>
      </c>
      <c r="R513" t="s">
        <v>1094</v>
      </c>
      <c r="S513" t="s">
        <v>1109</v>
      </c>
      <c r="T513" s="5">
        <v>19</v>
      </c>
      <c r="U513" s="6">
        <v>211.72</v>
      </c>
      <c r="V513" s="6">
        <v>129.36000000000001</v>
      </c>
      <c r="W513" s="8">
        <v>0</v>
      </c>
      <c r="X513" s="6">
        <f t="shared" si="35"/>
        <v>4022.68</v>
      </c>
      <c r="Y513" s="6">
        <f t="shared" si="36"/>
        <v>2457.84</v>
      </c>
      <c r="Z513" s="6">
        <f t="shared" si="37"/>
        <v>1564.8399999999997</v>
      </c>
      <c r="AA513" t="s">
        <v>679</v>
      </c>
      <c r="AC513" s="5">
        <v>5</v>
      </c>
      <c r="AD513" t="s">
        <v>1090</v>
      </c>
      <c r="AE513" t="str">
        <f t="shared" si="38"/>
        <v>2024-05</v>
      </c>
      <c r="AF513" t="str">
        <f t="shared" si="39"/>
        <v>Q2-2024</v>
      </c>
    </row>
    <row r="514" spans="1:32" x14ac:dyDescent="0.3">
      <c r="A514" t="s">
        <v>1785</v>
      </c>
      <c r="B514" s="5">
        <v>4</v>
      </c>
      <c r="C514" s="4">
        <v>45394</v>
      </c>
      <c r="D514" s="4">
        <v>45401</v>
      </c>
      <c r="E514" t="s">
        <v>490</v>
      </c>
      <c r="F514" t="s">
        <v>491</v>
      </c>
      <c r="G514" t="s">
        <v>65</v>
      </c>
      <c r="H514" t="s">
        <v>23</v>
      </c>
      <c r="I514" t="s">
        <v>93</v>
      </c>
      <c r="J514" t="s">
        <v>1278</v>
      </c>
      <c r="K514" t="s">
        <v>1521</v>
      </c>
      <c r="L514" t="s">
        <v>673</v>
      </c>
      <c r="M514" t="s">
        <v>659</v>
      </c>
      <c r="N514" t="s">
        <v>660</v>
      </c>
      <c r="O514" t="s">
        <v>674</v>
      </c>
      <c r="P514" t="s">
        <v>48</v>
      </c>
      <c r="Q514" t="s">
        <v>49</v>
      </c>
      <c r="R514" t="s">
        <v>1088</v>
      </c>
      <c r="S514" t="s">
        <v>1109</v>
      </c>
      <c r="T514" s="5">
        <v>4</v>
      </c>
      <c r="U514" s="6">
        <v>8.4</v>
      </c>
      <c r="V514" s="6">
        <v>5</v>
      </c>
      <c r="W514" s="8">
        <v>0.10059999999999999</v>
      </c>
      <c r="X514" s="6">
        <f t="shared" ref="X514:X577" si="40">T514*U514*(1-IF(ISBLANK(W514),0,W514))</f>
        <v>30.219840000000001</v>
      </c>
      <c r="Y514" s="6">
        <f t="shared" ref="Y514:Y577" si="41">T514*V514</f>
        <v>20</v>
      </c>
      <c r="Z514" s="6">
        <f t="shared" ref="Z514:Z577" si="42">X514-Y514</f>
        <v>10.219840000000001</v>
      </c>
      <c r="AA514" t="s">
        <v>679</v>
      </c>
      <c r="AC514" s="5">
        <v>4</v>
      </c>
      <c r="AD514" t="s">
        <v>1140</v>
      </c>
      <c r="AE514" t="str">
        <f t="shared" ref="AE514:AE577" si="43">TEXT(C514,"yyyy-mm")</f>
        <v>2024-04</v>
      </c>
      <c r="AF514" t="str">
        <f t="shared" ref="AF514:AF577" si="44">"Q"&amp;ROUNDUP(MONTH(C514)/3,0)&amp;"-"&amp;YEAR(C514)</f>
        <v>Q2-2024</v>
      </c>
    </row>
    <row r="515" spans="1:32" x14ac:dyDescent="0.3">
      <c r="A515" t="s">
        <v>1786</v>
      </c>
      <c r="B515" s="5">
        <v>5</v>
      </c>
      <c r="C515" s="4">
        <v>45419</v>
      </c>
      <c r="D515" s="4">
        <v>45430</v>
      </c>
      <c r="E515" t="s">
        <v>68</v>
      </c>
      <c r="F515" t="s">
        <v>69</v>
      </c>
      <c r="G515" t="s">
        <v>65</v>
      </c>
      <c r="H515" t="s">
        <v>20</v>
      </c>
      <c r="I515" t="s">
        <v>112</v>
      </c>
      <c r="J515" t="s">
        <v>1158</v>
      </c>
      <c r="K515" t="s">
        <v>1416</v>
      </c>
      <c r="L515" t="s">
        <v>843</v>
      </c>
      <c r="M515" t="s">
        <v>795</v>
      </c>
      <c r="N515" t="s">
        <v>837</v>
      </c>
      <c r="O515" t="s">
        <v>844</v>
      </c>
      <c r="P515" t="s">
        <v>24</v>
      </c>
      <c r="Q515" t="s">
        <v>25</v>
      </c>
      <c r="R515" t="s">
        <v>1114</v>
      </c>
      <c r="S515" t="s">
        <v>1109</v>
      </c>
      <c r="T515" s="5">
        <v>17</v>
      </c>
      <c r="U515" s="6">
        <v>235.76</v>
      </c>
      <c r="V515" s="6">
        <v>170.4</v>
      </c>
      <c r="W515" s="8">
        <v>0</v>
      </c>
      <c r="X515" s="6">
        <f t="shared" si="40"/>
        <v>4007.92</v>
      </c>
      <c r="Y515" s="6">
        <f t="shared" si="41"/>
        <v>2896.8</v>
      </c>
      <c r="Z515" s="6">
        <f t="shared" si="42"/>
        <v>1111.1199999999999</v>
      </c>
      <c r="AA515" t="s">
        <v>679</v>
      </c>
      <c r="AC515" s="5">
        <v>4</v>
      </c>
      <c r="AD515" t="s">
        <v>1136</v>
      </c>
      <c r="AE515" t="str">
        <f t="shared" si="43"/>
        <v>2024-05</v>
      </c>
      <c r="AF515" t="str">
        <f t="shared" si="44"/>
        <v>Q2-2024</v>
      </c>
    </row>
    <row r="516" spans="1:32" x14ac:dyDescent="0.3">
      <c r="A516" t="s">
        <v>1787</v>
      </c>
      <c r="B516" s="5">
        <v>4</v>
      </c>
      <c r="C516" s="4">
        <v>45496</v>
      </c>
      <c r="D516" s="4">
        <v>45498</v>
      </c>
      <c r="E516" t="s">
        <v>243</v>
      </c>
      <c r="F516" t="s">
        <v>244</v>
      </c>
      <c r="G516" t="s">
        <v>74</v>
      </c>
      <c r="H516" t="s">
        <v>20</v>
      </c>
      <c r="I516" t="s">
        <v>71</v>
      </c>
      <c r="J516" t="s">
        <v>1166</v>
      </c>
      <c r="K516" t="s">
        <v>1436</v>
      </c>
      <c r="L516" t="s">
        <v>786</v>
      </c>
      <c r="M516" t="s">
        <v>659</v>
      </c>
      <c r="N516" t="s">
        <v>754</v>
      </c>
      <c r="O516" t="s">
        <v>787</v>
      </c>
      <c r="P516" t="s">
        <v>37</v>
      </c>
      <c r="Q516" t="s">
        <v>38</v>
      </c>
      <c r="R516" t="s">
        <v>1088</v>
      </c>
      <c r="S516" t="s">
        <v>1095</v>
      </c>
      <c r="T516" s="5">
        <v>3</v>
      </c>
      <c r="U516" s="6">
        <v>86.48</v>
      </c>
      <c r="V516" s="6">
        <v>59.83</v>
      </c>
      <c r="W516" s="8">
        <v>0</v>
      </c>
      <c r="X516" s="6">
        <f t="shared" si="40"/>
        <v>259.44</v>
      </c>
      <c r="Y516" s="6">
        <f t="shared" si="41"/>
        <v>179.49</v>
      </c>
      <c r="Z516" s="6">
        <f t="shared" si="42"/>
        <v>79.949999999999989</v>
      </c>
      <c r="AA516" t="s">
        <v>679</v>
      </c>
      <c r="AC516" s="5"/>
      <c r="AE516" t="str">
        <f t="shared" si="43"/>
        <v>2024-07</v>
      </c>
      <c r="AF516" t="str">
        <f t="shared" si="44"/>
        <v>Q3-2024</v>
      </c>
    </row>
    <row r="517" spans="1:32" x14ac:dyDescent="0.3">
      <c r="A517" t="s">
        <v>1788</v>
      </c>
      <c r="B517" s="5">
        <v>1</v>
      </c>
      <c r="C517" s="4">
        <v>45642</v>
      </c>
      <c r="D517" s="4">
        <v>45645</v>
      </c>
      <c r="E517" t="s">
        <v>479</v>
      </c>
      <c r="F517" t="s">
        <v>480</v>
      </c>
      <c r="G517" t="s">
        <v>84</v>
      </c>
      <c r="H517" t="s">
        <v>41</v>
      </c>
      <c r="I517" t="s">
        <v>75</v>
      </c>
      <c r="J517" t="s">
        <v>1142</v>
      </c>
      <c r="K517" t="s">
        <v>1143</v>
      </c>
      <c r="L517" t="s">
        <v>1027</v>
      </c>
      <c r="M517" t="s">
        <v>1002</v>
      </c>
      <c r="N517" t="s">
        <v>1003</v>
      </c>
      <c r="O517" t="s">
        <v>1028</v>
      </c>
      <c r="P517" t="s">
        <v>21</v>
      </c>
      <c r="Q517" t="s">
        <v>22</v>
      </c>
      <c r="R517" t="s">
        <v>1088</v>
      </c>
      <c r="S517" t="s">
        <v>1109</v>
      </c>
      <c r="T517" s="5">
        <v>2</v>
      </c>
      <c r="U517" s="6">
        <v>192.58</v>
      </c>
      <c r="V517" s="6">
        <v>131.69</v>
      </c>
      <c r="W517" s="8">
        <v>0</v>
      </c>
      <c r="X517" s="6">
        <f t="shared" si="40"/>
        <v>385.16</v>
      </c>
      <c r="Y517" s="6">
        <f t="shared" si="41"/>
        <v>263.38</v>
      </c>
      <c r="Z517" s="6">
        <f t="shared" si="42"/>
        <v>121.78000000000003</v>
      </c>
      <c r="AA517" t="s">
        <v>679</v>
      </c>
      <c r="AC517" s="5">
        <v>4</v>
      </c>
      <c r="AD517" t="s">
        <v>1110</v>
      </c>
      <c r="AE517" t="str">
        <f t="shared" si="43"/>
        <v>2024-12</v>
      </c>
      <c r="AF517" t="str">
        <f t="shared" si="44"/>
        <v>Q4-2024</v>
      </c>
    </row>
    <row r="518" spans="1:32" x14ac:dyDescent="0.3">
      <c r="A518" t="s">
        <v>1789</v>
      </c>
      <c r="B518" s="5">
        <v>2</v>
      </c>
      <c r="C518" s="4">
        <v>45399</v>
      </c>
      <c r="D518" s="4">
        <v>45401</v>
      </c>
      <c r="E518" t="s">
        <v>340</v>
      </c>
      <c r="F518" t="s">
        <v>341</v>
      </c>
      <c r="G518" t="s">
        <v>74</v>
      </c>
      <c r="H518" t="s">
        <v>31</v>
      </c>
      <c r="I518" t="s">
        <v>127</v>
      </c>
      <c r="J518" t="s">
        <v>1116</v>
      </c>
      <c r="K518" t="s">
        <v>1117</v>
      </c>
      <c r="L518" t="s">
        <v>928</v>
      </c>
      <c r="M518" t="s">
        <v>929</v>
      </c>
      <c r="N518" t="s">
        <v>930</v>
      </c>
      <c r="O518" t="s">
        <v>931</v>
      </c>
      <c r="P518" t="s">
        <v>39</v>
      </c>
      <c r="Q518" t="s">
        <v>40</v>
      </c>
      <c r="R518" t="s">
        <v>1088</v>
      </c>
      <c r="S518" t="s">
        <v>1156</v>
      </c>
      <c r="T518" s="5">
        <v>13</v>
      </c>
      <c r="U518" s="6">
        <v>227.27</v>
      </c>
      <c r="V518" s="6">
        <v>130.21</v>
      </c>
      <c r="W518" s="8">
        <v>0</v>
      </c>
      <c r="X518" s="6">
        <f t="shared" si="40"/>
        <v>2954.51</v>
      </c>
      <c r="Y518" s="6">
        <f t="shared" si="41"/>
        <v>1692.73</v>
      </c>
      <c r="Z518" s="6">
        <f t="shared" si="42"/>
        <v>1261.7800000000002</v>
      </c>
      <c r="AA518" t="s">
        <v>679</v>
      </c>
      <c r="AC518" s="5"/>
      <c r="AD518" t="s">
        <v>1140</v>
      </c>
      <c r="AE518" t="str">
        <f t="shared" si="43"/>
        <v>2024-04</v>
      </c>
      <c r="AF518" t="str">
        <f t="shared" si="44"/>
        <v>Q2-2024</v>
      </c>
    </row>
    <row r="519" spans="1:32" x14ac:dyDescent="0.3">
      <c r="A519" t="s">
        <v>1790</v>
      </c>
      <c r="B519" s="5">
        <v>1</v>
      </c>
      <c r="C519" s="4">
        <v>45544</v>
      </c>
      <c r="D519" s="4">
        <v>45548</v>
      </c>
      <c r="E519" t="s">
        <v>72</v>
      </c>
      <c r="F519" t="s">
        <v>73</v>
      </c>
      <c r="G519" t="s">
        <v>74</v>
      </c>
      <c r="H519" t="s">
        <v>41</v>
      </c>
      <c r="I519" t="s">
        <v>86</v>
      </c>
      <c r="J519" t="s">
        <v>1107</v>
      </c>
      <c r="K519" t="s">
        <v>1230</v>
      </c>
      <c r="L519" t="s">
        <v>784</v>
      </c>
      <c r="M519" t="s">
        <v>659</v>
      </c>
      <c r="N519" t="s">
        <v>754</v>
      </c>
      <c r="O519" t="s">
        <v>785</v>
      </c>
      <c r="P519" t="s">
        <v>37</v>
      </c>
      <c r="Q519" t="s">
        <v>38</v>
      </c>
      <c r="R519" t="s">
        <v>1114</v>
      </c>
      <c r="S519" t="s">
        <v>1089</v>
      </c>
      <c r="T519" s="5">
        <v>25</v>
      </c>
      <c r="U519" s="6">
        <v>81.36</v>
      </c>
      <c r="V519" s="6">
        <v>51.78</v>
      </c>
      <c r="W519" s="8">
        <v>0</v>
      </c>
      <c r="X519" s="6">
        <f t="shared" si="40"/>
        <v>2034</v>
      </c>
      <c r="Y519" s="6">
        <f t="shared" si="41"/>
        <v>1294.5</v>
      </c>
      <c r="Z519" s="6">
        <f t="shared" si="42"/>
        <v>739.5</v>
      </c>
      <c r="AA519" t="s">
        <v>679</v>
      </c>
      <c r="AC519" s="5">
        <v>4</v>
      </c>
      <c r="AE519" t="str">
        <f t="shared" si="43"/>
        <v>2024-09</v>
      </c>
      <c r="AF519" t="str">
        <f t="shared" si="44"/>
        <v>Q3-2024</v>
      </c>
    </row>
    <row r="520" spans="1:32" x14ac:dyDescent="0.3">
      <c r="A520" t="s">
        <v>1791</v>
      </c>
      <c r="B520" s="5">
        <v>1</v>
      </c>
      <c r="C520" s="4">
        <v>45816</v>
      </c>
      <c r="D520" s="4">
        <v>45821</v>
      </c>
      <c r="E520" t="s">
        <v>645</v>
      </c>
      <c r="F520" t="s">
        <v>646</v>
      </c>
      <c r="G520" t="s">
        <v>84</v>
      </c>
      <c r="H520" t="s">
        <v>23</v>
      </c>
      <c r="I520" t="s">
        <v>109</v>
      </c>
      <c r="J520" t="s">
        <v>1138</v>
      </c>
      <c r="K520" t="s">
        <v>1139</v>
      </c>
      <c r="L520" t="s">
        <v>756</v>
      </c>
      <c r="M520" t="s">
        <v>659</v>
      </c>
      <c r="N520" t="s">
        <v>754</v>
      </c>
      <c r="O520" t="s">
        <v>757</v>
      </c>
      <c r="P520" t="s">
        <v>53</v>
      </c>
      <c r="Q520" t="s">
        <v>54</v>
      </c>
      <c r="R520" t="s">
        <v>1088</v>
      </c>
      <c r="S520" t="s">
        <v>1100</v>
      </c>
      <c r="T520" s="5">
        <v>5</v>
      </c>
      <c r="U520" s="6">
        <v>9.8699999999999992</v>
      </c>
      <c r="V520" s="6">
        <v>5</v>
      </c>
      <c r="W520" s="8">
        <v>0.2258</v>
      </c>
      <c r="X520" s="6">
        <f t="shared" si="40"/>
        <v>38.206769999999999</v>
      </c>
      <c r="Y520" s="6">
        <f t="shared" si="41"/>
        <v>25</v>
      </c>
      <c r="Z520" s="6">
        <f t="shared" si="42"/>
        <v>13.206769999999999</v>
      </c>
      <c r="AA520" t="s">
        <v>679</v>
      </c>
      <c r="AC520" s="5">
        <v>4</v>
      </c>
      <c r="AD520" t="s">
        <v>1140</v>
      </c>
      <c r="AE520" t="str">
        <f t="shared" si="43"/>
        <v>2025-06</v>
      </c>
      <c r="AF520" t="str">
        <f t="shared" si="44"/>
        <v>Q2-2025</v>
      </c>
    </row>
    <row r="521" spans="1:32" x14ac:dyDescent="0.3">
      <c r="A521" t="s">
        <v>1792</v>
      </c>
      <c r="B521" s="5">
        <v>5</v>
      </c>
      <c r="C521" s="4">
        <v>45989</v>
      </c>
      <c r="D521" s="4">
        <v>45999</v>
      </c>
      <c r="E521" t="s">
        <v>534</v>
      </c>
      <c r="F521" t="s">
        <v>535</v>
      </c>
      <c r="G521" t="s">
        <v>80</v>
      </c>
      <c r="H521" t="s">
        <v>23</v>
      </c>
      <c r="I521" t="s">
        <v>81</v>
      </c>
      <c r="J521" t="s">
        <v>1163</v>
      </c>
      <c r="K521" t="s">
        <v>1219</v>
      </c>
      <c r="L521" t="s">
        <v>944</v>
      </c>
      <c r="M521" t="s">
        <v>929</v>
      </c>
      <c r="N521" t="s">
        <v>930</v>
      </c>
      <c r="O521" t="s">
        <v>945</v>
      </c>
      <c r="P521" t="s">
        <v>48</v>
      </c>
      <c r="Q521" t="s">
        <v>49</v>
      </c>
      <c r="R521" t="s">
        <v>1088</v>
      </c>
      <c r="S521" t="s">
        <v>1095</v>
      </c>
      <c r="T521" s="5">
        <v>9</v>
      </c>
      <c r="U521" s="6">
        <v>269.02</v>
      </c>
      <c r="V521" s="6">
        <v>210.38</v>
      </c>
      <c r="W521" s="8">
        <v>0</v>
      </c>
      <c r="X521" s="6">
        <f t="shared" si="40"/>
        <v>2421.1799999999998</v>
      </c>
      <c r="Y521" s="6">
        <f t="shared" si="41"/>
        <v>1893.42</v>
      </c>
      <c r="Z521" s="6">
        <f t="shared" si="42"/>
        <v>527.75999999999976</v>
      </c>
      <c r="AA521" t="s">
        <v>679</v>
      </c>
      <c r="AC521" s="5">
        <v>1</v>
      </c>
      <c r="AD521" t="s">
        <v>1110</v>
      </c>
      <c r="AE521" t="str">
        <f t="shared" si="43"/>
        <v>2025-11</v>
      </c>
      <c r="AF521" t="str">
        <f t="shared" si="44"/>
        <v>Q4-2025</v>
      </c>
    </row>
    <row r="522" spans="1:32" x14ac:dyDescent="0.3">
      <c r="A522" t="s">
        <v>1793</v>
      </c>
      <c r="B522" s="5">
        <v>2</v>
      </c>
      <c r="C522" s="4">
        <v>45598</v>
      </c>
      <c r="D522" s="4">
        <v>45610</v>
      </c>
      <c r="E522" t="s">
        <v>511</v>
      </c>
      <c r="F522" t="s">
        <v>77</v>
      </c>
      <c r="G522" t="s">
        <v>65</v>
      </c>
      <c r="H522" t="s">
        <v>41</v>
      </c>
      <c r="I522" t="s">
        <v>86</v>
      </c>
      <c r="J522" t="s">
        <v>1107</v>
      </c>
      <c r="K522" t="s">
        <v>1108</v>
      </c>
      <c r="L522" t="s">
        <v>1031</v>
      </c>
      <c r="M522" t="s">
        <v>1002</v>
      </c>
      <c r="N522" t="s">
        <v>1003</v>
      </c>
      <c r="O522" t="s">
        <v>1032</v>
      </c>
      <c r="P522" t="s">
        <v>17</v>
      </c>
      <c r="Q522" t="s">
        <v>18</v>
      </c>
      <c r="R522" t="s">
        <v>126</v>
      </c>
      <c r="S522" t="s">
        <v>1095</v>
      </c>
      <c r="T522" s="5">
        <v>11</v>
      </c>
      <c r="U522" s="6">
        <v>270.27</v>
      </c>
      <c r="V522" s="6">
        <v>178.33</v>
      </c>
      <c r="W522" s="8">
        <v>0</v>
      </c>
      <c r="X522" s="6">
        <f t="shared" si="40"/>
        <v>2972.97</v>
      </c>
      <c r="Y522" s="6">
        <f t="shared" si="41"/>
        <v>1961.63</v>
      </c>
      <c r="Z522" s="6">
        <f t="shared" si="42"/>
        <v>1011.3399999999997</v>
      </c>
      <c r="AA522" t="s">
        <v>679</v>
      </c>
      <c r="AC522" s="5">
        <v>2</v>
      </c>
      <c r="AD522" t="s">
        <v>1140</v>
      </c>
      <c r="AE522" t="str">
        <f t="shared" si="43"/>
        <v>2024-11</v>
      </c>
      <c r="AF522" t="str">
        <f t="shared" si="44"/>
        <v>Q4-2024</v>
      </c>
    </row>
    <row r="523" spans="1:32" x14ac:dyDescent="0.3">
      <c r="A523" t="s">
        <v>1794</v>
      </c>
      <c r="B523" s="5">
        <v>2</v>
      </c>
      <c r="C523" s="4">
        <v>45829</v>
      </c>
      <c r="D523" s="4">
        <v>45838</v>
      </c>
      <c r="E523" t="s">
        <v>447</v>
      </c>
      <c r="F523" t="s">
        <v>448</v>
      </c>
      <c r="G523" t="s">
        <v>74</v>
      </c>
      <c r="H523" t="s">
        <v>20</v>
      </c>
      <c r="I523" t="s">
        <v>71</v>
      </c>
      <c r="J523" t="s">
        <v>1166</v>
      </c>
      <c r="K523" t="s">
        <v>1167</v>
      </c>
      <c r="L523" t="s">
        <v>956</v>
      </c>
      <c r="M523" t="s">
        <v>929</v>
      </c>
      <c r="N523" t="s">
        <v>930</v>
      </c>
      <c r="O523" t="s">
        <v>957</v>
      </c>
      <c r="P523" t="s">
        <v>48</v>
      </c>
      <c r="Q523" t="s">
        <v>49</v>
      </c>
      <c r="R523" t="s">
        <v>1088</v>
      </c>
      <c r="S523" t="s">
        <v>1089</v>
      </c>
      <c r="T523" s="5">
        <v>9</v>
      </c>
      <c r="U523" s="6">
        <v>282.79000000000002</v>
      </c>
      <c r="V523" s="6">
        <v>190.78</v>
      </c>
      <c r="W523" s="8">
        <v>0.2069</v>
      </c>
      <c r="X523" s="6">
        <f t="shared" si="40"/>
        <v>2018.5267410000001</v>
      </c>
      <c r="Y523" s="6">
        <f t="shared" si="41"/>
        <v>1717.02</v>
      </c>
      <c r="Z523" s="6">
        <f t="shared" si="42"/>
        <v>301.50674100000015</v>
      </c>
      <c r="AA523" t="s">
        <v>679</v>
      </c>
      <c r="AC523" s="5"/>
      <c r="AD523" t="s">
        <v>1110</v>
      </c>
      <c r="AE523" t="str">
        <f t="shared" si="43"/>
        <v>2025-06</v>
      </c>
      <c r="AF523" t="str">
        <f t="shared" si="44"/>
        <v>Q2-2025</v>
      </c>
    </row>
    <row r="524" spans="1:32" x14ac:dyDescent="0.3">
      <c r="A524" t="s">
        <v>1795</v>
      </c>
      <c r="B524" s="5">
        <v>5</v>
      </c>
      <c r="C524" s="4">
        <v>45989</v>
      </c>
      <c r="D524" s="4">
        <v>45991</v>
      </c>
      <c r="E524" t="s">
        <v>352</v>
      </c>
      <c r="F524" t="s">
        <v>353</v>
      </c>
      <c r="G524" t="s">
        <v>74</v>
      </c>
      <c r="H524" t="s">
        <v>23</v>
      </c>
      <c r="I524" t="s">
        <v>81</v>
      </c>
      <c r="J524" t="s">
        <v>1163</v>
      </c>
      <c r="K524" t="s">
        <v>1407</v>
      </c>
      <c r="L524" t="s">
        <v>859</v>
      </c>
      <c r="M524" t="s">
        <v>795</v>
      </c>
      <c r="N524" t="s">
        <v>837</v>
      </c>
      <c r="O524" t="s">
        <v>860</v>
      </c>
      <c r="P524" t="s">
        <v>32</v>
      </c>
      <c r="Q524" t="s">
        <v>33</v>
      </c>
      <c r="R524" t="s">
        <v>1094</v>
      </c>
      <c r="S524" t="s">
        <v>1109</v>
      </c>
      <c r="T524" s="5">
        <v>13</v>
      </c>
      <c r="U524" s="6">
        <v>105.91</v>
      </c>
      <c r="V524" s="6">
        <v>61.5</v>
      </c>
      <c r="W524" s="8">
        <v>0</v>
      </c>
      <c r="X524" s="6">
        <f t="shared" si="40"/>
        <v>1376.83</v>
      </c>
      <c r="Y524" s="6">
        <f t="shared" si="41"/>
        <v>799.5</v>
      </c>
      <c r="Z524" s="6">
        <f t="shared" si="42"/>
        <v>577.32999999999993</v>
      </c>
      <c r="AA524" t="s">
        <v>679</v>
      </c>
      <c r="AC524" s="5">
        <v>3</v>
      </c>
      <c r="AD524" t="s">
        <v>1096</v>
      </c>
      <c r="AE524" t="str">
        <f t="shared" si="43"/>
        <v>2025-11</v>
      </c>
      <c r="AF524" t="str">
        <f t="shared" si="44"/>
        <v>Q4-2025</v>
      </c>
    </row>
    <row r="525" spans="1:32" x14ac:dyDescent="0.3">
      <c r="A525" t="s">
        <v>1796</v>
      </c>
      <c r="B525" s="5">
        <v>1</v>
      </c>
      <c r="C525" s="4">
        <v>45554</v>
      </c>
      <c r="D525" s="4">
        <v>45567</v>
      </c>
      <c r="E525" t="s">
        <v>352</v>
      </c>
      <c r="F525" t="s">
        <v>353</v>
      </c>
      <c r="G525" t="s">
        <v>74</v>
      </c>
      <c r="H525" t="s">
        <v>41</v>
      </c>
      <c r="I525" t="s">
        <v>86</v>
      </c>
      <c r="J525" t="s">
        <v>1086</v>
      </c>
      <c r="K525" t="s">
        <v>1175</v>
      </c>
      <c r="L525" t="s">
        <v>824</v>
      </c>
      <c r="M525" t="s">
        <v>795</v>
      </c>
      <c r="N525" t="s">
        <v>796</v>
      </c>
      <c r="O525" t="s">
        <v>825</v>
      </c>
      <c r="P525" t="s">
        <v>50</v>
      </c>
      <c r="Q525" t="s">
        <v>51</v>
      </c>
      <c r="R525" t="s">
        <v>1094</v>
      </c>
      <c r="S525" t="s">
        <v>1156</v>
      </c>
      <c r="T525" s="5">
        <v>10</v>
      </c>
      <c r="U525" s="6">
        <v>148.75</v>
      </c>
      <c r="V525" s="6">
        <v>78.430000000000007</v>
      </c>
      <c r="W525" s="8">
        <v>0</v>
      </c>
      <c r="X525" s="6">
        <f t="shared" si="40"/>
        <v>1487.5</v>
      </c>
      <c r="Y525" s="6">
        <f t="shared" si="41"/>
        <v>784.30000000000007</v>
      </c>
      <c r="Z525" s="6">
        <f t="shared" si="42"/>
        <v>703.19999999999993</v>
      </c>
      <c r="AA525" t="s">
        <v>679</v>
      </c>
      <c r="AC525" s="5"/>
      <c r="AD525" t="s">
        <v>1096</v>
      </c>
      <c r="AE525" t="str">
        <f t="shared" si="43"/>
        <v>2024-09</v>
      </c>
      <c r="AF525" t="str">
        <f t="shared" si="44"/>
        <v>Q3-2024</v>
      </c>
    </row>
    <row r="526" spans="1:32" x14ac:dyDescent="0.3">
      <c r="A526" t="s">
        <v>1797</v>
      </c>
      <c r="B526" s="5">
        <v>1</v>
      </c>
      <c r="C526" s="4">
        <v>45346</v>
      </c>
      <c r="D526" s="4">
        <v>45347</v>
      </c>
      <c r="E526" t="s">
        <v>140</v>
      </c>
      <c r="F526" t="s">
        <v>141</v>
      </c>
      <c r="G526" t="s">
        <v>65</v>
      </c>
      <c r="H526" t="s">
        <v>31</v>
      </c>
      <c r="I526" t="s">
        <v>67</v>
      </c>
      <c r="J526" t="s">
        <v>1304</v>
      </c>
      <c r="K526" t="s">
        <v>1342</v>
      </c>
      <c r="L526" t="s">
        <v>981</v>
      </c>
      <c r="M526" t="s">
        <v>929</v>
      </c>
      <c r="N526" t="s">
        <v>971</v>
      </c>
      <c r="O526" t="s">
        <v>982</v>
      </c>
      <c r="P526" t="s">
        <v>21</v>
      </c>
      <c r="Q526" t="s">
        <v>22</v>
      </c>
      <c r="R526" t="s">
        <v>1114</v>
      </c>
      <c r="S526" t="s">
        <v>1109</v>
      </c>
      <c r="T526" s="5">
        <v>12</v>
      </c>
      <c r="U526" s="6">
        <v>106.24</v>
      </c>
      <c r="V526" s="6">
        <v>77.88</v>
      </c>
      <c r="W526" s="8">
        <v>0.19220000000000001</v>
      </c>
      <c r="X526" s="6">
        <f t="shared" si="40"/>
        <v>1029.8480639999998</v>
      </c>
      <c r="Y526" s="6">
        <f t="shared" si="41"/>
        <v>934.56</v>
      </c>
      <c r="Z526" s="6">
        <f t="shared" si="42"/>
        <v>95.288063999999849</v>
      </c>
      <c r="AA526" t="s">
        <v>679</v>
      </c>
      <c r="AC526" s="5">
        <v>1</v>
      </c>
      <c r="AD526" t="s">
        <v>1398</v>
      </c>
      <c r="AE526" t="str">
        <f t="shared" si="43"/>
        <v>2024-02</v>
      </c>
      <c r="AF526" t="str">
        <f t="shared" si="44"/>
        <v>Q1-2024</v>
      </c>
    </row>
    <row r="527" spans="1:32" x14ac:dyDescent="0.3">
      <c r="A527" t="s">
        <v>1798</v>
      </c>
      <c r="B527" s="5">
        <v>4</v>
      </c>
      <c r="C527" s="4">
        <v>45748</v>
      </c>
      <c r="D527" s="4">
        <v>45755</v>
      </c>
      <c r="E527" t="s">
        <v>475</v>
      </c>
      <c r="F527" t="s">
        <v>476</v>
      </c>
      <c r="G527" t="s">
        <v>65</v>
      </c>
      <c r="H527" t="s">
        <v>20</v>
      </c>
      <c r="I527" t="s">
        <v>90</v>
      </c>
      <c r="J527" t="s">
        <v>1262</v>
      </c>
      <c r="K527" t="s">
        <v>1274</v>
      </c>
      <c r="L527" t="s">
        <v>1044</v>
      </c>
      <c r="M527" t="s">
        <v>1002</v>
      </c>
      <c r="N527" t="s">
        <v>1034</v>
      </c>
      <c r="O527" t="s">
        <v>1045</v>
      </c>
      <c r="P527" t="s">
        <v>34</v>
      </c>
      <c r="Q527" t="s">
        <v>35</v>
      </c>
      <c r="R527" t="s">
        <v>1114</v>
      </c>
      <c r="S527" t="s">
        <v>1095</v>
      </c>
      <c r="T527" s="5">
        <v>4</v>
      </c>
      <c r="U527" s="6">
        <v>323.7</v>
      </c>
      <c r="V527" s="6">
        <v>175.12</v>
      </c>
      <c r="W527" s="8">
        <v>0.18240000000000001</v>
      </c>
      <c r="X527" s="6">
        <f t="shared" si="40"/>
        <v>1058.6284799999999</v>
      </c>
      <c r="Y527" s="6">
        <f t="shared" si="41"/>
        <v>700.48</v>
      </c>
      <c r="Z527" s="6">
        <f t="shared" si="42"/>
        <v>358.14847999999984</v>
      </c>
      <c r="AA527" t="s">
        <v>679</v>
      </c>
      <c r="AC527" s="5">
        <v>2</v>
      </c>
      <c r="AD527" t="s">
        <v>1096</v>
      </c>
      <c r="AE527" t="str">
        <f t="shared" si="43"/>
        <v>2025-04</v>
      </c>
      <c r="AF527" t="str">
        <f t="shared" si="44"/>
        <v>Q2-2025</v>
      </c>
    </row>
    <row r="528" spans="1:32" x14ac:dyDescent="0.3">
      <c r="A528" t="s">
        <v>1799</v>
      </c>
      <c r="B528" s="5">
        <v>3</v>
      </c>
      <c r="C528" s="4">
        <v>45320</v>
      </c>
      <c r="D528" s="4">
        <v>45326</v>
      </c>
      <c r="E528" t="s">
        <v>605</v>
      </c>
      <c r="F528" t="s">
        <v>513</v>
      </c>
      <c r="G528" t="s">
        <v>74</v>
      </c>
      <c r="H528" t="s">
        <v>31</v>
      </c>
      <c r="I528" t="s">
        <v>67</v>
      </c>
      <c r="J528" t="s">
        <v>1128</v>
      </c>
      <c r="K528" t="s">
        <v>1181</v>
      </c>
      <c r="L528" t="s">
        <v>766</v>
      </c>
      <c r="M528" t="s">
        <v>659</v>
      </c>
      <c r="N528" t="s">
        <v>754</v>
      </c>
      <c r="O528" t="s">
        <v>767</v>
      </c>
      <c r="P528" t="s">
        <v>37</v>
      </c>
      <c r="Q528" t="s">
        <v>38</v>
      </c>
      <c r="R528" t="s">
        <v>1088</v>
      </c>
      <c r="S528" t="s">
        <v>1100</v>
      </c>
      <c r="T528" s="5">
        <v>23</v>
      </c>
      <c r="U528" s="6">
        <v>153.66999999999999</v>
      </c>
      <c r="V528" s="6">
        <v>97.56</v>
      </c>
      <c r="W528" s="8">
        <v>0</v>
      </c>
      <c r="X528" s="6">
        <f t="shared" si="40"/>
        <v>3534.41</v>
      </c>
      <c r="Y528" s="6">
        <f t="shared" si="41"/>
        <v>2243.88</v>
      </c>
      <c r="Z528" s="6">
        <f t="shared" si="42"/>
        <v>1290.5299999999997</v>
      </c>
      <c r="AA528" t="s">
        <v>679</v>
      </c>
      <c r="AC528" s="5">
        <v>4</v>
      </c>
      <c r="AE528" t="str">
        <f t="shared" si="43"/>
        <v>2024-01</v>
      </c>
      <c r="AF528" t="str">
        <f t="shared" si="44"/>
        <v>Q1-2024</v>
      </c>
    </row>
    <row r="529" spans="1:32" x14ac:dyDescent="0.3">
      <c r="A529" t="s">
        <v>1800</v>
      </c>
      <c r="B529" s="5">
        <v>2</v>
      </c>
      <c r="C529" s="4">
        <v>45991</v>
      </c>
      <c r="D529" s="4">
        <v>45992</v>
      </c>
      <c r="E529" t="s">
        <v>248</v>
      </c>
      <c r="F529" t="s">
        <v>249</v>
      </c>
      <c r="G529" t="s">
        <v>65</v>
      </c>
      <c r="H529" t="s">
        <v>23</v>
      </c>
      <c r="I529" t="s">
        <v>109</v>
      </c>
      <c r="J529" t="s">
        <v>1300</v>
      </c>
      <c r="K529" t="s">
        <v>1301</v>
      </c>
      <c r="L529" t="s">
        <v>1058</v>
      </c>
      <c r="M529" t="s">
        <v>1002</v>
      </c>
      <c r="N529" t="s">
        <v>1034</v>
      </c>
      <c r="O529" t="s">
        <v>1059</v>
      </c>
      <c r="P529" t="s">
        <v>34</v>
      </c>
      <c r="Q529" t="s">
        <v>35</v>
      </c>
      <c r="R529" t="s">
        <v>1088</v>
      </c>
      <c r="S529" t="s">
        <v>1156</v>
      </c>
      <c r="T529" s="5">
        <v>21</v>
      </c>
      <c r="U529" s="6">
        <v>171.02</v>
      </c>
      <c r="V529" s="6">
        <v>102.47</v>
      </c>
      <c r="W529" s="8">
        <v>0</v>
      </c>
      <c r="X529" s="6">
        <f t="shared" si="40"/>
        <v>3591.42</v>
      </c>
      <c r="Y529" s="6">
        <f t="shared" si="41"/>
        <v>2151.87</v>
      </c>
      <c r="Z529" s="6">
        <f t="shared" si="42"/>
        <v>1439.5500000000002</v>
      </c>
      <c r="AA529" t="s">
        <v>679</v>
      </c>
      <c r="AC529" s="5">
        <v>5</v>
      </c>
      <c r="AD529" t="s">
        <v>1140</v>
      </c>
      <c r="AE529" t="str">
        <f t="shared" si="43"/>
        <v>2025-11</v>
      </c>
      <c r="AF529" t="str">
        <f t="shared" si="44"/>
        <v>Q4-2025</v>
      </c>
    </row>
    <row r="530" spans="1:32" x14ac:dyDescent="0.3">
      <c r="A530" t="s">
        <v>1801</v>
      </c>
      <c r="B530" s="5">
        <v>2</v>
      </c>
      <c r="C530" s="4">
        <v>45889</v>
      </c>
      <c r="D530" s="4">
        <v>45894</v>
      </c>
      <c r="E530" t="s">
        <v>479</v>
      </c>
      <c r="F530" t="s">
        <v>480</v>
      </c>
      <c r="G530" t="s">
        <v>84</v>
      </c>
      <c r="H530" t="s">
        <v>31</v>
      </c>
      <c r="I530" t="s">
        <v>160</v>
      </c>
      <c r="J530" t="s">
        <v>1125</v>
      </c>
      <c r="K530" t="s">
        <v>1386</v>
      </c>
      <c r="L530" t="s">
        <v>887</v>
      </c>
      <c r="M530" t="s">
        <v>795</v>
      </c>
      <c r="N530" t="s">
        <v>837</v>
      </c>
      <c r="O530" t="s">
        <v>888</v>
      </c>
      <c r="P530" t="s">
        <v>29</v>
      </c>
      <c r="Q530" t="s">
        <v>30</v>
      </c>
      <c r="R530" t="s">
        <v>1088</v>
      </c>
      <c r="S530" t="s">
        <v>1109</v>
      </c>
      <c r="T530" s="5">
        <v>12</v>
      </c>
      <c r="U530" s="6">
        <v>144.81</v>
      </c>
      <c r="V530" s="6">
        <v>111.35</v>
      </c>
      <c r="W530" s="8">
        <v>0</v>
      </c>
      <c r="X530" s="6">
        <f t="shared" si="40"/>
        <v>1737.72</v>
      </c>
      <c r="Y530" s="6">
        <f t="shared" si="41"/>
        <v>1336.1999999999998</v>
      </c>
      <c r="Z530" s="6">
        <f t="shared" si="42"/>
        <v>401.52000000000021</v>
      </c>
      <c r="AA530" t="s">
        <v>679</v>
      </c>
      <c r="AC530" s="5"/>
      <c r="AD530" t="s">
        <v>1090</v>
      </c>
      <c r="AE530" t="str">
        <f t="shared" si="43"/>
        <v>2025-08</v>
      </c>
      <c r="AF530" t="str">
        <f t="shared" si="44"/>
        <v>Q3-2025</v>
      </c>
    </row>
    <row r="531" spans="1:32" x14ac:dyDescent="0.3">
      <c r="A531" t="s">
        <v>1802</v>
      </c>
      <c r="B531" s="5">
        <v>2</v>
      </c>
      <c r="C531" s="4">
        <v>45373</v>
      </c>
      <c r="D531" s="4">
        <v>45373</v>
      </c>
      <c r="E531" t="s">
        <v>178</v>
      </c>
      <c r="F531" t="s">
        <v>179</v>
      </c>
      <c r="G531" t="s">
        <v>74</v>
      </c>
      <c r="H531" t="s">
        <v>41</v>
      </c>
      <c r="I531" t="s">
        <v>86</v>
      </c>
      <c r="J531" t="s">
        <v>1086</v>
      </c>
      <c r="K531" t="s">
        <v>1175</v>
      </c>
      <c r="L531" t="s">
        <v>762</v>
      </c>
      <c r="M531" t="s">
        <v>659</v>
      </c>
      <c r="N531" t="s">
        <v>754</v>
      </c>
      <c r="O531" t="s">
        <v>763</v>
      </c>
      <c r="P531" t="s">
        <v>29</v>
      </c>
      <c r="Q531" t="s">
        <v>30</v>
      </c>
      <c r="R531" t="s">
        <v>1094</v>
      </c>
      <c r="S531" t="s">
        <v>1100</v>
      </c>
      <c r="T531" s="5">
        <v>5</v>
      </c>
      <c r="U531" s="6">
        <v>6.06</v>
      </c>
      <c r="V531" s="6">
        <v>5</v>
      </c>
      <c r="W531" s="8">
        <v>0</v>
      </c>
      <c r="X531" s="6">
        <f t="shared" si="40"/>
        <v>30.299999999999997</v>
      </c>
      <c r="Y531" s="6">
        <f t="shared" si="41"/>
        <v>25</v>
      </c>
      <c r="Z531" s="6">
        <f t="shared" si="42"/>
        <v>5.2999999999999972</v>
      </c>
      <c r="AA531" t="s">
        <v>679</v>
      </c>
      <c r="AC531" s="5">
        <v>2</v>
      </c>
      <c r="AD531" t="s">
        <v>1101</v>
      </c>
      <c r="AE531" t="str">
        <f t="shared" si="43"/>
        <v>2024-03</v>
      </c>
      <c r="AF531" t="str">
        <f t="shared" si="44"/>
        <v>Q1-2024</v>
      </c>
    </row>
    <row r="532" spans="1:32" x14ac:dyDescent="0.3">
      <c r="A532" t="s">
        <v>1803</v>
      </c>
      <c r="B532" s="5">
        <v>2</v>
      </c>
      <c r="C532" s="4">
        <v>45853</v>
      </c>
      <c r="D532" s="4">
        <v>45863</v>
      </c>
      <c r="E532" t="s">
        <v>492</v>
      </c>
      <c r="F532" t="s">
        <v>493</v>
      </c>
      <c r="G532" t="s">
        <v>74</v>
      </c>
      <c r="H532" t="s">
        <v>23</v>
      </c>
      <c r="I532" t="s">
        <v>109</v>
      </c>
      <c r="J532" t="s">
        <v>1300</v>
      </c>
      <c r="K532" t="s">
        <v>1360</v>
      </c>
      <c r="L532" t="s">
        <v>1058</v>
      </c>
      <c r="M532" t="s">
        <v>1002</v>
      </c>
      <c r="N532" t="s">
        <v>1034</v>
      </c>
      <c r="O532" t="s">
        <v>1059</v>
      </c>
      <c r="P532" t="s">
        <v>37</v>
      </c>
      <c r="Q532" t="s">
        <v>38</v>
      </c>
      <c r="R532" t="s">
        <v>126</v>
      </c>
      <c r="S532" t="s">
        <v>1109</v>
      </c>
      <c r="T532" s="5">
        <v>29</v>
      </c>
      <c r="U532" s="6">
        <v>184.38</v>
      </c>
      <c r="V532" s="6">
        <v>102.47</v>
      </c>
      <c r="W532" s="8">
        <v>0</v>
      </c>
      <c r="X532" s="6">
        <f t="shared" si="40"/>
        <v>5347.0199999999995</v>
      </c>
      <c r="Y532" s="6">
        <f t="shared" si="41"/>
        <v>2971.63</v>
      </c>
      <c r="Z532" s="6">
        <f t="shared" si="42"/>
        <v>2375.3899999999994</v>
      </c>
      <c r="AA532" t="s">
        <v>679</v>
      </c>
      <c r="AC532" s="5">
        <v>4</v>
      </c>
      <c r="AD532" t="s">
        <v>1337</v>
      </c>
      <c r="AE532" t="str">
        <f t="shared" si="43"/>
        <v>2025-07</v>
      </c>
      <c r="AF532" t="str">
        <f t="shared" si="44"/>
        <v>Q3-2025</v>
      </c>
    </row>
    <row r="533" spans="1:32" x14ac:dyDescent="0.3">
      <c r="A533" t="s">
        <v>1804</v>
      </c>
      <c r="B533" s="5">
        <v>2</v>
      </c>
      <c r="C533" s="4">
        <v>45312</v>
      </c>
      <c r="D533" s="4">
        <v>45317</v>
      </c>
      <c r="E533" t="s">
        <v>459</v>
      </c>
      <c r="F533" t="s">
        <v>460</v>
      </c>
      <c r="G533" t="s">
        <v>74</v>
      </c>
      <c r="H533" t="s">
        <v>20</v>
      </c>
      <c r="I533" t="s">
        <v>90</v>
      </c>
      <c r="J533" t="s">
        <v>1171</v>
      </c>
      <c r="K533" t="s">
        <v>1172</v>
      </c>
      <c r="L533" t="s">
        <v>778</v>
      </c>
      <c r="M533" t="s">
        <v>659</v>
      </c>
      <c r="N533" t="s">
        <v>754</v>
      </c>
      <c r="O533" t="s">
        <v>779</v>
      </c>
      <c r="P533" t="s">
        <v>44</v>
      </c>
      <c r="Q533" t="s">
        <v>45</v>
      </c>
      <c r="R533" t="s">
        <v>1088</v>
      </c>
      <c r="S533" t="s">
        <v>1156</v>
      </c>
      <c r="T533" s="5">
        <v>3</v>
      </c>
      <c r="U533" s="6">
        <v>111.81</v>
      </c>
      <c r="V533" s="6">
        <v>73.75</v>
      </c>
      <c r="W533" s="8">
        <v>0.19789999999999999</v>
      </c>
      <c r="X533" s="6">
        <f t="shared" si="40"/>
        <v>269.04840300000001</v>
      </c>
      <c r="Y533" s="6">
        <f t="shared" si="41"/>
        <v>221.25</v>
      </c>
      <c r="Z533" s="6">
        <f t="shared" si="42"/>
        <v>47.798403000000008</v>
      </c>
      <c r="AA533" t="s">
        <v>679</v>
      </c>
      <c r="AC533" s="5">
        <v>4</v>
      </c>
      <c r="AD533" t="s">
        <v>1096</v>
      </c>
      <c r="AE533" t="str">
        <f t="shared" si="43"/>
        <v>2024-01</v>
      </c>
      <c r="AF533" t="str">
        <f t="shared" si="44"/>
        <v>Q1-2024</v>
      </c>
    </row>
    <row r="534" spans="1:32" x14ac:dyDescent="0.3">
      <c r="A534" t="s">
        <v>1805</v>
      </c>
      <c r="B534" s="5">
        <v>2</v>
      </c>
      <c r="C534" s="4">
        <v>45371</v>
      </c>
      <c r="D534" s="4">
        <v>45380</v>
      </c>
      <c r="E534" t="s">
        <v>633</v>
      </c>
      <c r="F534" t="s">
        <v>506</v>
      </c>
      <c r="G534" t="s">
        <v>65</v>
      </c>
      <c r="H534" t="s">
        <v>41</v>
      </c>
      <c r="I534" t="s">
        <v>75</v>
      </c>
      <c r="J534" t="s">
        <v>1142</v>
      </c>
      <c r="K534" t="s">
        <v>1143</v>
      </c>
      <c r="L534" t="s">
        <v>973</v>
      </c>
      <c r="M534" t="s">
        <v>929</v>
      </c>
      <c r="N534" t="s">
        <v>971</v>
      </c>
      <c r="O534" t="s">
        <v>974</v>
      </c>
      <c r="P534" t="s">
        <v>39</v>
      </c>
      <c r="Q534" t="s">
        <v>40</v>
      </c>
      <c r="R534" t="s">
        <v>1114</v>
      </c>
      <c r="S534" t="s">
        <v>1109</v>
      </c>
      <c r="T534" s="5">
        <v>11</v>
      </c>
      <c r="U534" s="6">
        <v>79.599999999999994</v>
      </c>
      <c r="V534" s="6">
        <v>45.81</v>
      </c>
      <c r="W534" s="8">
        <v>0</v>
      </c>
      <c r="X534" s="6">
        <f t="shared" si="40"/>
        <v>875.59999999999991</v>
      </c>
      <c r="Y534" s="6">
        <f t="shared" si="41"/>
        <v>503.91</v>
      </c>
      <c r="Z534" s="6">
        <f t="shared" si="42"/>
        <v>371.68999999999988</v>
      </c>
      <c r="AA534" t="s">
        <v>679</v>
      </c>
      <c r="AC534" s="5">
        <v>1</v>
      </c>
      <c r="AD534" t="s">
        <v>1136</v>
      </c>
      <c r="AE534" t="str">
        <f t="shared" si="43"/>
        <v>2024-03</v>
      </c>
      <c r="AF534" t="str">
        <f t="shared" si="44"/>
        <v>Q1-2024</v>
      </c>
    </row>
    <row r="535" spans="1:32" x14ac:dyDescent="0.3">
      <c r="A535" t="s">
        <v>1806</v>
      </c>
      <c r="B535" s="5">
        <v>2</v>
      </c>
      <c r="C535" s="4">
        <v>45975</v>
      </c>
      <c r="D535" s="4">
        <v>45988</v>
      </c>
      <c r="E535" t="s">
        <v>336</v>
      </c>
      <c r="F535" t="s">
        <v>337</v>
      </c>
      <c r="G535" t="s">
        <v>74</v>
      </c>
      <c r="H535" t="s">
        <v>31</v>
      </c>
      <c r="I535" t="s">
        <v>160</v>
      </c>
      <c r="J535" t="s">
        <v>1125</v>
      </c>
      <c r="K535" t="s">
        <v>1126</v>
      </c>
      <c r="L535" t="s">
        <v>981</v>
      </c>
      <c r="M535" t="s">
        <v>929</v>
      </c>
      <c r="N535" t="s">
        <v>971</v>
      </c>
      <c r="O535" t="s">
        <v>982</v>
      </c>
      <c r="P535" t="s">
        <v>32</v>
      </c>
      <c r="Q535" t="s">
        <v>33</v>
      </c>
      <c r="R535" t="s">
        <v>1114</v>
      </c>
      <c r="S535" t="s">
        <v>1156</v>
      </c>
      <c r="T535" s="5">
        <v>15</v>
      </c>
      <c r="U535" s="6">
        <v>94.56</v>
      </c>
      <c r="V535" s="6">
        <v>77.88</v>
      </c>
      <c r="W535" s="8">
        <v>0</v>
      </c>
      <c r="X535" s="6">
        <f t="shared" si="40"/>
        <v>1418.4</v>
      </c>
      <c r="Y535" s="6">
        <f t="shared" si="41"/>
        <v>1168.1999999999998</v>
      </c>
      <c r="Z535" s="6">
        <f t="shared" si="42"/>
        <v>250.20000000000027</v>
      </c>
      <c r="AA535" t="s">
        <v>679</v>
      </c>
      <c r="AC535" s="5">
        <v>3</v>
      </c>
      <c r="AD535" t="s">
        <v>1130</v>
      </c>
      <c r="AE535" t="str">
        <f t="shared" si="43"/>
        <v>2025-11</v>
      </c>
      <c r="AF535" t="str">
        <f t="shared" si="44"/>
        <v>Q4-2025</v>
      </c>
    </row>
    <row r="536" spans="1:32" x14ac:dyDescent="0.3">
      <c r="A536" t="s">
        <v>1807</v>
      </c>
      <c r="B536" s="5">
        <v>4</v>
      </c>
      <c r="C536" s="4">
        <v>45786</v>
      </c>
      <c r="D536" s="4">
        <v>45789</v>
      </c>
      <c r="E536" t="s">
        <v>271</v>
      </c>
      <c r="F536" t="s">
        <v>272</v>
      </c>
      <c r="G536" t="s">
        <v>65</v>
      </c>
      <c r="H536" t="s">
        <v>23</v>
      </c>
      <c r="I536" t="s">
        <v>81</v>
      </c>
      <c r="J536" t="s">
        <v>1163</v>
      </c>
      <c r="K536" t="s">
        <v>1164</v>
      </c>
      <c r="L536" t="s">
        <v>861</v>
      </c>
      <c r="M536" t="s">
        <v>795</v>
      </c>
      <c r="N536" t="s">
        <v>837</v>
      </c>
      <c r="O536" t="s">
        <v>862</v>
      </c>
      <c r="P536" t="s">
        <v>48</v>
      </c>
      <c r="Q536" t="s">
        <v>49</v>
      </c>
      <c r="R536" t="s">
        <v>1088</v>
      </c>
      <c r="S536" t="s">
        <v>1156</v>
      </c>
      <c r="T536" s="5">
        <v>24</v>
      </c>
      <c r="U536" s="6">
        <v>342.97</v>
      </c>
      <c r="V536" s="6">
        <v>195.61</v>
      </c>
      <c r="W536" s="8">
        <v>0.22140000000000001</v>
      </c>
      <c r="X536" s="6">
        <f t="shared" si="40"/>
        <v>6408.8746080000001</v>
      </c>
      <c r="Y536" s="6">
        <f t="shared" si="41"/>
        <v>4694.6400000000003</v>
      </c>
      <c r="Z536" s="6">
        <f t="shared" si="42"/>
        <v>1714.2346079999998</v>
      </c>
      <c r="AA536" t="s">
        <v>679</v>
      </c>
      <c r="AC536" s="5">
        <v>5</v>
      </c>
      <c r="AD536" t="s">
        <v>1096</v>
      </c>
      <c r="AE536" t="str">
        <f t="shared" si="43"/>
        <v>2025-05</v>
      </c>
      <c r="AF536" t="str">
        <f t="shared" si="44"/>
        <v>Q2-2025</v>
      </c>
    </row>
    <row r="537" spans="1:32" x14ac:dyDescent="0.3">
      <c r="A537" t="s">
        <v>1808</v>
      </c>
      <c r="B537" s="5">
        <v>2</v>
      </c>
      <c r="C537" s="4">
        <v>45429</v>
      </c>
      <c r="D537" s="4">
        <v>45434</v>
      </c>
      <c r="E537" t="s">
        <v>281</v>
      </c>
      <c r="F537" t="s">
        <v>282</v>
      </c>
      <c r="G537" t="s">
        <v>80</v>
      </c>
      <c r="H537" t="s">
        <v>41</v>
      </c>
      <c r="I537" t="s">
        <v>86</v>
      </c>
      <c r="J537" t="s">
        <v>1107</v>
      </c>
      <c r="K537" t="s">
        <v>1108</v>
      </c>
      <c r="L537" t="s">
        <v>938</v>
      </c>
      <c r="M537" t="s">
        <v>929</v>
      </c>
      <c r="N537" t="s">
        <v>930</v>
      </c>
      <c r="O537" t="s">
        <v>939</v>
      </c>
      <c r="P537" t="s">
        <v>17</v>
      </c>
      <c r="Q537" t="s">
        <v>18</v>
      </c>
      <c r="R537" t="s">
        <v>1088</v>
      </c>
      <c r="S537" t="s">
        <v>1109</v>
      </c>
      <c r="T537" s="5">
        <v>18</v>
      </c>
      <c r="U537" s="6">
        <v>284.07</v>
      </c>
      <c r="V537" s="6">
        <v>175.97</v>
      </c>
      <c r="W537" s="8">
        <v>0</v>
      </c>
      <c r="X537" s="6">
        <f t="shared" si="40"/>
        <v>5113.26</v>
      </c>
      <c r="Y537" s="6">
        <f t="shared" si="41"/>
        <v>3167.46</v>
      </c>
      <c r="Z537" s="6">
        <f t="shared" si="42"/>
        <v>1945.8000000000002</v>
      </c>
      <c r="AA537" t="s">
        <v>679</v>
      </c>
      <c r="AC537" s="5"/>
      <c r="AD537" t="s">
        <v>1096</v>
      </c>
      <c r="AE537" t="str">
        <f t="shared" si="43"/>
        <v>2024-05</v>
      </c>
      <c r="AF537" t="str">
        <f t="shared" si="44"/>
        <v>Q2-2024</v>
      </c>
    </row>
    <row r="538" spans="1:32" x14ac:dyDescent="0.3">
      <c r="A538" t="s">
        <v>1809</v>
      </c>
      <c r="B538" s="5">
        <v>1</v>
      </c>
      <c r="C538" s="4">
        <v>45328</v>
      </c>
      <c r="D538" s="4">
        <v>45338</v>
      </c>
      <c r="E538" t="s">
        <v>366</v>
      </c>
      <c r="F538" t="s">
        <v>69</v>
      </c>
      <c r="G538" t="s">
        <v>74</v>
      </c>
      <c r="H538" t="s">
        <v>20</v>
      </c>
      <c r="I538" t="s">
        <v>71</v>
      </c>
      <c r="J538" t="s">
        <v>1112</v>
      </c>
      <c r="K538" t="s">
        <v>1178</v>
      </c>
      <c r="L538" t="s">
        <v>802</v>
      </c>
      <c r="M538" t="s">
        <v>795</v>
      </c>
      <c r="N538" t="s">
        <v>796</v>
      </c>
      <c r="O538" t="s">
        <v>803</v>
      </c>
      <c r="P538" t="s">
        <v>29</v>
      </c>
      <c r="Q538" t="s">
        <v>30</v>
      </c>
      <c r="R538" t="s">
        <v>1088</v>
      </c>
      <c r="S538" t="s">
        <v>1156</v>
      </c>
      <c r="T538" s="5">
        <v>12</v>
      </c>
      <c r="U538" s="6">
        <v>263.58</v>
      </c>
      <c r="V538" s="6">
        <v>169.93</v>
      </c>
      <c r="W538" s="8">
        <v>0</v>
      </c>
      <c r="X538" s="6">
        <f t="shared" si="40"/>
        <v>3162.96</v>
      </c>
      <c r="Y538" s="6">
        <f t="shared" si="41"/>
        <v>2039.16</v>
      </c>
      <c r="Z538" s="6">
        <f t="shared" si="42"/>
        <v>1123.8</v>
      </c>
      <c r="AA538" t="s">
        <v>679</v>
      </c>
      <c r="AC538" s="5">
        <v>2</v>
      </c>
      <c r="AD538" t="s">
        <v>1101</v>
      </c>
      <c r="AE538" t="str">
        <f t="shared" si="43"/>
        <v>2024-02</v>
      </c>
      <c r="AF538" t="str">
        <f t="shared" si="44"/>
        <v>Q1-2024</v>
      </c>
    </row>
    <row r="539" spans="1:32" x14ac:dyDescent="0.3">
      <c r="A539" t="s">
        <v>1810</v>
      </c>
      <c r="B539" s="5">
        <v>4</v>
      </c>
      <c r="C539" s="4">
        <v>45524</v>
      </c>
      <c r="D539" s="4">
        <v>45537</v>
      </c>
      <c r="E539" t="s">
        <v>616</v>
      </c>
      <c r="F539" t="s">
        <v>382</v>
      </c>
      <c r="G539" t="s">
        <v>84</v>
      </c>
      <c r="H539" t="s">
        <v>23</v>
      </c>
      <c r="I539" t="s">
        <v>109</v>
      </c>
      <c r="J539" t="s">
        <v>1138</v>
      </c>
      <c r="K539" t="s">
        <v>1255</v>
      </c>
      <c r="L539" t="s">
        <v>798</v>
      </c>
      <c r="M539" t="s">
        <v>795</v>
      </c>
      <c r="N539" t="s">
        <v>796</v>
      </c>
      <c r="O539" t="s">
        <v>799</v>
      </c>
      <c r="P539" t="s">
        <v>21</v>
      </c>
      <c r="Q539" t="s">
        <v>22</v>
      </c>
      <c r="R539" t="s">
        <v>1114</v>
      </c>
      <c r="S539" t="s">
        <v>1089</v>
      </c>
      <c r="T539" s="5">
        <v>5</v>
      </c>
      <c r="U539" s="6">
        <v>196.34</v>
      </c>
      <c r="V539" s="6">
        <v>120.52</v>
      </c>
      <c r="W539" s="8">
        <v>0.33189999999999997</v>
      </c>
      <c r="X539" s="6">
        <f t="shared" si="40"/>
        <v>655.87377000000004</v>
      </c>
      <c r="Y539" s="6">
        <f t="shared" si="41"/>
        <v>602.6</v>
      </c>
      <c r="Z539" s="6">
        <f t="shared" si="42"/>
        <v>53.273770000000013</v>
      </c>
      <c r="AA539" t="s">
        <v>679</v>
      </c>
      <c r="AC539" s="5">
        <v>4</v>
      </c>
      <c r="AD539" t="s">
        <v>1096</v>
      </c>
      <c r="AE539" t="str">
        <f t="shared" si="43"/>
        <v>2024-08</v>
      </c>
      <c r="AF539" t="str">
        <f t="shared" si="44"/>
        <v>Q3-2024</v>
      </c>
    </row>
    <row r="540" spans="1:32" x14ac:dyDescent="0.3">
      <c r="A540" t="s">
        <v>1811</v>
      </c>
      <c r="B540" s="5">
        <v>5</v>
      </c>
      <c r="C540" s="4">
        <v>45919</v>
      </c>
      <c r="D540" s="4">
        <v>45931</v>
      </c>
      <c r="E540" t="s">
        <v>188</v>
      </c>
      <c r="F540" t="s">
        <v>189</v>
      </c>
      <c r="G540" t="s">
        <v>74</v>
      </c>
      <c r="H540" t="s">
        <v>20</v>
      </c>
      <c r="I540" t="s">
        <v>71</v>
      </c>
      <c r="J540" t="s">
        <v>1166</v>
      </c>
      <c r="K540" t="s">
        <v>1167</v>
      </c>
      <c r="L540" t="s">
        <v>1036</v>
      </c>
      <c r="M540" t="s">
        <v>1002</v>
      </c>
      <c r="N540" t="s">
        <v>1034</v>
      </c>
      <c r="O540" t="s">
        <v>1037</v>
      </c>
      <c r="P540" t="s">
        <v>34</v>
      </c>
      <c r="Q540" t="s">
        <v>35</v>
      </c>
      <c r="R540" t="s">
        <v>1088</v>
      </c>
      <c r="S540" t="s">
        <v>1109</v>
      </c>
      <c r="T540" s="5">
        <v>19</v>
      </c>
      <c r="U540" s="6">
        <v>231.29</v>
      </c>
      <c r="V540" s="6">
        <v>171.54</v>
      </c>
      <c r="W540" s="8"/>
      <c r="X540" s="6">
        <f t="shared" si="40"/>
        <v>4394.51</v>
      </c>
      <c r="Y540" s="6">
        <f t="shared" si="41"/>
        <v>3259.2599999999998</v>
      </c>
      <c r="Z540" s="6">
        <f t="shared" si="42"/>
        <v>1135.2500000000005</v>
      </c>
      <c r="AA540" t="s">
        <v>679</v>
      </c>
      <c r="AC540" s="5">
        <v>4</v>
      </c>
      <c r="AD540" t="s">
        <v>1140</v>
      </c>
      <c r="AE540" t="str">
        <f t="shared" si="43"/>
        <v>2025-09</v>
      </c>
      <c r="AF540" t="str">
        <f t="shared" si="44"/>
        <v>Q3-2025</v>
      </c>
    </row>
    <row r="541" spans="1:32" x14ac:dyDescent="0.3">
      <c r="A541" t="s">
        <v>1812</v>
      </c>
      <c r="B541" s="5">
        <v>2</v>
      </c>
      <c r="C541" s="4">
        <v>45610</v>
      </c>
      <c r="D541" s="4">
        <v>45620</v>
      </c>
      <c r="E541" t="s">
        <v>586</v>
      </c>
      <c r="F541" t="s">
        <v>587</v>
      </c>
      <c r="G541" t="s">
        <v>80</v>
      </c>
      <c r="H541" t="s">
        <v>23</v>
      </c>
      <c r="I541" t="s">
        <v>93</v>
      </c>
      <c r="J541" t="s">
        <v>1192</v>
      </c>
      <c r="K541" t="s">
        <v>1193</v>
      </c>
      <c r="L541" t="s">
        <v>914</v>
      </c>
      <c r="M541" t="s">
        <v>795</v>
      </c>
      <c r="N541" t="s">
        <v>898</v>
      </c>
      <c r="O541" t="s">
        <v>915</v>
      </c>
      <c r="P541" t="s">
        <v>24</v>
      </c>
      <c r="Q541" t="s">
        <v>25</v>
      </c>
      <c r="R541" t="s">
        <v>1088</v>
      </c>
      <c r="S541" t="s">
        <v>1156</v>
      </c>
      <c r="T541" s="5">
        <v>23</v>
      </c>
      <c r="U541" s="6">
        <v>216.5</v>
      </c>
      <c r="V541" s="6">
        <v>105.78</v>
      </c>
      <c r="W541" s="8">
        <v>0</v>
      </c>
      <c r="X541" s="6">
        <f t="shared" si="40"/>
        <v>4979.5</v>
      </c>
      <c r="Y541" s="6">
        <f t="shared" si="41"/>
        <v>2432.94</v>
      </c>
      <c r="Z541" s="6">
        <f t="shared" si="42"/>
        <v>2546.56</v>
      </c>
      <c r="AA541" t="s">
        <v>679</v>
      </c>
      <c r="AC541" s="5">
        <v>1</v>
      </c>
      <c r="AD541" t="s">
        <v>1136</v>
      </c>
      <c r="AE541" t="str">
        <f t="shared" si="43"/>
        <v>2024-11</v>
      </c>
      <c r="AF541" t="str">
        <f t="shared" si="44"/>
        <v>Q4-2024</v>
      </c>
    </row>
    <row r="542" spans="1:32" x14ac:dyDescent="0.3">
      <c r="A542" t="s">
        <v>1813</v>
      </c>
      <c r="B542" s="5">
        <v>2</v>
      </c>
      <c r="C542" s="4">
        <v>45474</v>
      </c>
      <c r="D542" s="4">
        <v>45479</v>
      </c>
      <c r="E542" t="s">
        <v>299</v>
      </c>
      <c r="F542" t="s">
        <v>300</v>
      </c>
      <c r="G542" t="s">
        <v>84</v>
      </c>
      <c r="H542" t="s">
        <v>41</v>
      </c>
      <c r="I542" t="s">
        <v>75</v>
      </c>
      <c r="J542" t="s">
        <v>1142</v>
      </c>
      <c r="K542" t="s">
        <v>1205</v>
      </c>
      <c r="L542" t="s">
        <v>885</v>
      </c>
      <c r="M542" t="s">
        <v>795</v>
      </c>
      <c r="N542" t="s">
        <v>837</v>
      </c>
      <c r="O542" t="s">
        <v>886</v>
      </c>
      <c r="P542" t="s">
        <v>37</v>
      </c>
      <c r="Q542" t="s">
        <v>38</v>
      </c>
      <c r="R542" t="s">
        <v>1114</v>
      </c>
      <c r="S542" t="s">
        <v>1109</v>
      </c>
      <c r="T542" s="5">
        <v>37</v>
      </c>
      <c r="U542" s="6">
        <v>34.479999999999997</v>
      </c>
      <c r="V542" s="6">
        <v>22.38</v>
      </c>
      <c r="W542" s="8">
        <v>0</v>
      </c>
      <c r="X542" s="6">
        <f t="shared" si="40"/>
        <v>1275.76</v>
      </c>
      <c r="Y542" s="6">
        <f t="shared" si="41"/>
        <v>828.06</v>
      </c>
      <c r="Z542" s="6">
        <f t="shared" si="42"/>
        <v>447.70000000000005</v>
      </c>
      <c r="AA542" t="s">
        <v>679</v>
      </c>
      <c r="AC542" s="5">
        <v>4</v>
      </c>
      <c r="AD542" t="s">
        <v>1105</v>
      </c>
      <c r="AE542" t="str">
        <f t="shared" si="43"/>
        <v>2024-07</v>
      </c>
      <c r="AF542" t="str">
        <f t="shared" si="44"/>
        <v>Q3-2024</v>
      </c>
    </row>
    <row r="543" spans="1:32" x14ac:dyDescent="0.3">
      <c r="A543" t="s">
        <v>1814</v>
      </c>
      <c r="B543" s="5">
        <v>1</v>
      </c>
      <c r="C543" s="4">
        <v>46009</v>
      </c>
      <c r="D543" s="4">
        <v>46018</v>
      </c>
      <c r="E543" t="s">
        <v>628</v>
      </c>
      <c r="F543" t="s">
        <v>629</v>
      </c>
      <c r="G543" t="s">
        <v>65</v>
      </c>
      <c r="H543" t="s">
        <v>23</v>
      </c>
      <c r="I543" t="s">
        <v>81</v>
      </c>
      <c r="J543" t="s">
        <v>1119</v>
      </c>
      <c r="K543" t="s">
        <v>1189</v>
      </c>
      <c r="L543" t="s">
        <v>663</v>
      </c>
      <c r="M543" t="s">
        <v>659</v>
      </c>
      <c r="N543" t="s">
        <v>660</v>
      </c>
      <c r="O543" t="s">
        <v>664</v>
      </c>
      <c r="P543" t="s">
        <v>29</v>
      </c>
      <c r="Q543" t="s">
        <v>30</v>
      </c>
      <c r="R543" t="s">
        <v>1088</v>
      </c>
      <c r="S543" t="s">
        <v>1109</v>
      </c>
      <c r="T543" s="5">
        <v>14</v>
      </c>
      <c r="U543" s="6">
        <v>113.55</v>
      </c>
      <c r="V543" s="6">
        <v>92.23</v>
      </c>
      <c r="W543" s="8">
        <v>0.3286</v>
      </c>
      <c r="X543" s="6">
        <f t="shared" si="40"/>
        <v>1067.32458</v>
      </c>
      <c r="Y543" s="6">
        <f t="shared" si="41"/>
        <v>1291.22</v>
      </c>
      <c r="Z543" s="6">
        <f t="shared" si="42"/>
        <v>-223.89542000000006</v>
      </c>
      <c r="AA543" t="s">
        <v>679</v>
      </c>
      <c r="AC543" s="5"/>
      <c r="AD543" t="s">
        <v>1096</v>
      </c>
      <c r="AE543" t="str">
        <f t="shared" si="43"/>
        <v>2025-12</v>
      </c>
      <c r="AF543" t="str">
        <f t="shared" si="44"/>
        <v>Q4-2025</v>
      </c>
    </row>
    <row r="544" spans="1:32" x14ac:dyDescent="0.3">
      <c r="A544" t="s">
        <v>1815</v>
      </c>
      <c r="B544" s="5">
        <v>4</v>
      </c>
      <c r="C544" s="4">
        <v>45848</v>
      </c>
      <c r="D544" s="4">
        <v>45855</v>
      </c>
      <c r="E544" t="s">
        <v>252</v>
      </c>
      <c r="F544" t="s">
        <v>253</v>
      </c>
      <c r="G544" t="s">
        <v>65</v>
      </c>
      <c r="H544" t="s">
        <v>20</v>
      </c>
      <c r="I544" t="s">
        <v>112</v>
      </c>
      <c r="J544" t="s">
        <v>1158</v>
      </c>
      <c r="K544" t="s">
        <v>1416</v>
      </c>
      <c r="L544" t="s">
        <v>839</v>
      </c>
      <c r="M544" t="s">
        <v>795</v>
      </c>
      <c r="N544" t="s">
        <v>837</v>
      </c>
      <c r="O544" t="s">
        <v>840</v>
      </c>
      <c r="P544" t="s">
        <v>46</v>
      </c>
      <c r="Q544" t="s">
        <v>47</v>
      </c>
      <c r="R544" t="s">
        <v>1114</v>
      </c>
      <c r="S544" t="s">
        <v>1109</v>
      </c>
      <c r="T544" s="5">
        <v>19</v>
      </c>
      <c r="U544" s="6">
        <v>305.37</v>
      </c>
      <c r="V544" s="6">
        <v>161.93</v>
      </c>
      <c r="W544" s="8">
        <v>0</v>
      </c>
      <c r="X544" s="6">
        <f t="shared" si="40"/>
        <v>5802.03</v>
      </c>
      <c r="Y544" s="6">
        <f t="shared" si="41"/>
        <v>3076.67</v>
      </c>
      <c r="Z544" s="6">
        <f t="shared" si="42"/>
        <v>2725.3599999999997</v>
      </c>
      <c r="AA544" t="s">
        <v>679</v>
      </c>
      <c r="AC544" s="5">
        <v>3</v>
      </c>
      <c r="AD544" t="s">
        <v>1110</v>
      </c>
      <c r="AE544" t="str">
        <f t="shared" si="43"/>
        <v>2025-07</v>
      </c>
      <c r="AF544" t="str">
        <f t="shared" si="44"/>
        <v>Q3-2025</v>
      </c>
    </row>
    <row r="545" spans="1:32" x14ac:dyDescent="0.3">
      <c r="A545" t="s">
        <v>1816</v>
      </c>
      <c r="B545" s="5">
        <v>5</v>
      </c>
      <c r="C545" s="4">
        <v>45418</v>
      </c>
      <c r="D545" s="4">
        <v>45419</v>
      </c>
      <c r="E545" t="s">
        <v>509</v>
      </c>
      <c r="F545" t="s">
        <v>510</v>
      </c>
      <c r="G545" t="s">
        <v>84</v>
      </c>
      <c r="H545" t="s">
        <v>31</v>
      </c>
      <c r="I545" t="s">
        <v>67</v>
      </c>
      <c r="J545" t="s">
        <v>1128</v>
      </c>
      <c r="K545" t="s">
        <v>1181</v>
      </c>
      <c r="L545" t="s">
        <v>682</v>
      </c>
      <c r="M545" t="s">
        <v>659</v>
      </c>
      <c r="N545" t="s">
        <v>660</v>
      </c>
      <c r="O545" t="s">
        <v>683</v>
      </c>
      <c r="P545" t="s">
        <v>17</v>
      </c>
      <c r="Q545" t="s">
        <v>18</v>
      </c>
      <c r="R545" t="s">
        <v>1088</v>
      </c>
      <c r="S545" t="s">
        <v>1109</v>
      </c>
      <c r="T545" s="5">
        <v>19</v>
      </c>
      <c r="U545" s="6">
        <v>8.16</v>
      </c>
      <c r="V545" s="6">
        <v>5</v>
      </c>
      <c r="W545" s="8">
        <v>0</v>
      </c>
      <c r="X545" s="6">
        <f t="shared" si="40"/>
        <v>155.04</v>
      </c>
      <c r="Y545" s="6">
        <f t="shared" si="41"/>
        <v>95</v>
      </c>
      <c r="Z545" s="6">
        <f t="shared" si="42"/>
        <v>60.039999999999992</v>
      </c>
      <c r="AA545" t="s">
        <v>679</v>
      </c>
      <c r="AC545" s="5">
        <v>1</v>
      </c>
      <c r="AD545" t="s">
        <v>1639</v>
      </c>
      <c r="AE545" t="str">
        <f t="shared" si="43"/>
        <v>2024-05</v>
      </c>
      <c r="AF545" t="str">
        <f t="shared" si="44"/>
        <v>Q2-2024</v>
      </c>
    </row>
    <row r="546" spans="1:32" x14ac:dyDescent="0.3">
      <c r="A546" t="s">
        <v>1817</v>
      </c>
      <c r="B546" s="5">
        <v>5</v>
      </c>
      <c r="C546" s="4">
        <v>45505</v>
      </c>
      <c r="D546" s="4">
        <v>45515</v>
      </c>
      <c r="E546" t="s">
        <v>622</v>
      </c>
      <c r="F546" t="s">
        <v>623</v>
      </c>
      <c r="G546" t="s">
        <v>84</v>
      </c>
      <c r="H546" t="s">
        <v>20</v>
      </c>
      <c r="I546" t="s">
        <v>71</v>
      </c>
      <c r="J546" t="s">
        <v>1166</v>
      </c>
      <c r="K546" t="s">
        <v>1196</v>
      </c>
      <c r="L546" t="s">
        <v>820</v>
      </c>
      <c r="M546" t="s">
        <v>795</v>
      </c>
      <c r="N546" t="s">
        <v>796</v>
      </c>
      <c r="O546" t="s">
        <v>821</v>
      </c>
      <c r="P546" t="s">
        <v>29</v>
      </c>
      <c r="Q546" t="s">
        <v>30</v>
      </c>
      <c r="R546" t="s">
        <v>1114</v>
      </c>
      <c r="S546" t="s">
        <v>1156</v>
      </c>
      <c r="T546" s="5">
        <v>10</v>
      </c>
      <c r="U546" s="6">
        <v>105.23</v>
      </c>
      <c r="V546" s="6">
        <v>67.19</v>
      </c>
      <c r="W546" s="8">
        <v>0.18190000000000001</v>
      </c>
      <c r="X546" s="6">
        <f t="shared" si="40"/>
        <v>860.88662999999997</v>
      </c>
      <c r="Y546" s="6">
        <f t="shared" si="41"/>
        <v>671.9</v>
      </c>
      <c r="Z546" s="6">
        <f t="shared" si="42"/>
        <v>188.98662999999999</v>
      </c>
      <c r="AA546" t="s">
        <v>679</v>
      </c>
      <c r="AC546" s="5">
        <v>2</v>
      </c>
      <c r="AD546" t="s">
        <v>1105</v>
      </c>
      <c r="AE546" t="str">
        <f t="shared" si="43"/>
        <v>2024-08</v>
      </c>
      <c r="AF546" t="str">
        <f t="shared" si="44"/>
        <v>Q3-2024</v>
      </c>
    </row>
    <row r="547" spans="1:32" x14ac:dyDescent="0.3">
      <c r="A547" t="s">
        <v>1818</v>
      </c>
      <c r="B547" s="5">
        <v>4</v>
      </c>
      <c r="C547" s="4">
        <v>45596</v>
      </c>
      <c r="D547" s="4">
        <v>45606</v>
      </c>
      <c r="E547" t="s">
        <v>76</v>
      </c>
      <c r="F547" t="s">
        <v>77</v>
      </c>
      <c r="G547" t="s">
        <v>74</v>
      </c>
      <c r="H547" t="s">
        <v>20</v>
      </c>
      <c r="I547" t="s">
        <v>112</v>
      </c>
      <c r="J547" t="s">
        <v>1201</v>
      </c>
      <c r="K547" t="s">
        <v>1250</v>
      </c>
      <c r="L547" t="s">
        <v>812</v>
      </c>
      <c r="M547" t="s">
        <v>795</v>
      </c>
      <c r="N547" t="s">
        <v>796</v>
      </c>
      <c r="O547" t="s">
        <v>813</v>
      </c>
      <c r="P547" t="s">
        <v>27</v>
      </c>
      <c r="Q547" t="s">
        <v>28</v>
      </c>
      <c r="R547" t="s">
        <v>126</v>
      </c>
      <c r="S547" t="s">
        <v>1109</v>
      </c>
      <c r="T547" s="5">
        <v>6</v>
      </c>
      <c r="U547" s="6">
        <v>124.53</v>
      </c>
      <c r="V547" s="6">
        <v>76.83</v>
      </c>
      <c r="W547" s="8">
        <v>0</v>
      </c>
      <c r="X547" s="6">
        <f t="shared" si="40"/>
        <v>747.18000000000006</v>
      </c>
      <c r="Y547" s="6">
        <f t="shared" si="41"/>
        <v>460.98</v>
      </c>
      <c r="Z547" s="6">
        <f t="shared" si="42"/>
        <v>286.20000000000005</v>
      </c>
      <c r="AA547" t="s">
        <v>679</v>
      </c>
      <c r="AC547" s="5"/>
      <c r="AE547" t="str">
        <f t="shared" si="43"/>
        <v>2024-10</v>
      </c>
      <c r="AF547" t="str">
        <f t="shared" si="44"/>
        <v>Q4-2024</v>
      </c>
    </row>
    <row r="548" spans="1:32" x14ac:dyDescent="0.3">
      <c r="A548" t="s">
        <v>1819</v>
      </c>
      <c r="B548" s="5">
        <v>5</v>
      </c>
      <c r="C548" s="4">
        <v>45391</v>
      </c>
      <c r="D548" s="4">
        <v>45391</v>
      </c>
      <c r="E548" t="s">
        <v>78</v>
      </c>
      <c r="F548" t="s">
        <v>79</v>
      </c>
      <c r="G548" t="s">
        <v>65</v>
      </c>
      <c r="H548" t="s">
        <v>23</v>
      </c>
      <c r="I548" t="s">
        <v>81</v>
      </c>
      <c r="J548" t="s">
        <v>1119</v>
      </c>
      <c r="K548" t="s">
        <v>1189</v>
      </c>
      <c r="L548" t="s">
        <v>800</v>
      </c>
      <c r="M548" t="s">
        <v>795</v>
      </c>
      <c r="N548" t="s">
        <v>796</v>
      </c>
      <c r="O548" t="s">
        <v>801</v>
      </c>
      <c r="P548" t="s">
        <v>37</v>
      </c>
      <c r="Q548" t="s">
        <v>38</v>
      </c>
      <c r="R548" t="s">
        <v>1088</v>
      </c>
      <c r="S548" t="s">
        <v>1156</v>
      </c>
      <c r="T548" s="5">
        <v>12</v>
      </c>
      <c r="U548" s="6">
        <v>226.35</v>
      </c>
      <c r="V548" s="6">
        <v>166.88</v>
      </c>
      <c r="W548" s="8">
        <v>0</v>
      </c>
      <c r="X548" s="6">
        <f t="shared" si="40"/>
        <v>2716.2</v>
      </c>
      <c r="Y548" s="6">
        <f t="shared" si="41"/>
        <v>2002.56</v>
      </c>
      <c r="Z548" s="6">
        <f t="shared" si="42"/>
        <v>713.63999999999987</v>
      </c>
      <c r="AA548" t="s">
        <v>679</v>
      </c>
      <c r="AC548" s="5">
        <v>2</v>
      </c>
      <c r="AD548" t="s">
        <v>1136</v>
      </c>
      <c r="AE548" t="str">
        <f t="shared" si="43"/>
        <v>2024-04</v>
      </c>
      <c r="AF548" t="str">
        <f t="shared" si="44"/>
        <v>Q2-2024</v>
      </c>
    </row>
    <row r="549" spans="1:32" x14ac:dyDescent="0.3">
      <c r="A549" t="s">
        <v>1820</v>
      </c>
      <c r="B549" s="5">
        <v>3</v>
      </c>
      <c r="C549" s="4">
        <v>45872</v>
      </c>
      <c r="D549" s="4">
        <v>45882</v>
      </c>
      <c r="E549" t="s">
        <v>221</v>
      </c>
      <c r="F549" t="s">
        <v>222</v>
      </c>
      <c r="G549" t="s">
        <v>74</v>
      </c>
      <c r="H549" t="s">
        <v>41</v>
      </c>
      <c r="I549" t="s">
        <v>86</v>
      </c>
      <c r="J549" t="s">
        <v>1086</v>
      </c>
      <c r="K549" t="s">
        <v>1087</v>
      </c>
      <c r="L549" t="s">
        <v>735</v>
      </c>
      <c r="M549" t="s">
        <v>659</v>
      </c>
      <c r="N549" t="s">
        <v>713</v>
      </c>
      <c r="O549" t="s">
        <v>736</v>
      </c>
      <c r="P549" t="s">
        <v>42</v>
      </c>
      <c r="Q549" t="s">
        <v>43</v>
      </c>
      <c r="R549" t="s">
        <v>1088</v>
      </c>
      <c r="S549" t="s">
        <v>1089</v>
      </c>
      <c r="T549" s="5">
        <v>38</v>
      </c>
      <c r="U549" s="6">
        <v>116.5</v>
      </c>
      <c r="V549" s="6">
        <v>77.63</v>
      </c>
      <c r="W549" s="8">
        <v>0</v>
      </c>
      <c r="X549" s="6">
        <f t="shared" si="40"/>
        <v>4427</v>
      </c>
      <c r="Y549" s="6">
        <f t="shared" si="41"/>
        <v>2949.9399999999996</v>
      </c>
      <c r="Z549" s="6">
        <f t="shared" si="42"/>
        <v>1477.0600000000004</v>
      </c>
      <c r="AA549" t="s">
        <v>679</v>
      </c>
      <c r="AC549" s="5">
        <v>4</v>
      </c>
      <c r="AD549" t="s">
        <v>1123</v>
      </c>
      <c r="AE549" t="str">
        <f t="shared" si="43"/>
        <v>2025-08</v>
      </c>
      <c r="AF549" t="str">
        <f t="shared" si="44"/>
        <v>Q3-2025</v>
      </c>
    </row>
    <row r="550" spans="1:32" x14ac:dyDescent="0.3">
      <c r="A550" t="s">
        <v>1821</v>
      </c>
      <c r="B550" s="5">
        <v>4</v>
      </c>
      <c r="C550" s="4">
        <v>46000</v>
      </c>
      <c r="D550" s="4">
        <v>46003</v>
      </c>
      <c r="E550" t="s">
        <v>303</v>
      </c>
      <c r="F550" t="s">
        <v>304</v>
      </c>
      <c r="G550" t="s">
        <v>74</v>
      </c>
      <c r="H550" t="s">
        <v>20</v>
      </c>
      <c r="I550" t="s">
        <v>90</v>
      </c>
      <c r="J550" t="s">
        <v>1262</v>
      </c>
      <c r="K550" t="s">
        <v>1274</v>
      </c>
      <c r="L550" t="s">
        <v>751</v>
      </c>
      <c r="M550" t="s">
        <v>659</v>
      </c>
      <c r="N550" t="s">
        <v>713</v>
      </c>
      <c r="O550" t="s">
        <v>752</v>
      </c>
      <c r="P550" t="s">
        <v>24</v>
      </c>
      <c r="Q550" t="s">
        <v>25</v>
      </c>
      <c r="R550" t="s">
        <v>1094</v>
      </c>
      <c r="S550" t="s">
        <v>1156</v>
      </c>
      <c r="T550" s="5">
        <v>18</v>
      </c>
      <c r="U550" s="6">
        <v>137.44999999999999</v>
      </c>
      <c r="V550" s="6">
        <v>103.53</v>
      </c>
      <c r="W550" s="8">
        <v>0.33529999999999999</v>
      </c>
      <c r="X550" s="6">
        <f t="shared" si="40"/>
        <v>1644.5342700000001</v>
      </c>
      <c r="Y550" s="6">
        <f t="shared" si="41"/>
        <v>1863.54</v>
      </c>
      <c r="Z550" s="6">
        <f t="shared" si="42"/>
        <v>-219.00572999999986</v>
      </c>
      <c r="AA550" t="s">
        <v>679</v>
      </c>
      <c r="AC550" s="5">
        <v>5</v>
      </c>
      <c r="AD550" t="s">
        <v>1123</v>
      </c>
      <c r="AE550" t="str">
        <f t="shared" si="43"/>
        <v>2025-12</v>
      </c>
      <c r="AF550" t="str">
        <f t="shared" si="44"/>
        <v>Q4-2025</v>
      </c>
    </row>
    <row r="551" spans="1:32" x14ac:dyDescent="0.3">
      <c r="A551" t="s">
        <v>1822</v>
      </c>
      <c r="B551" s="5">
        <v>5</v>
      </c>
      <c r="C551" s="4">
        <v>45444</v>
      </c>
      <c r="D551" s="4">
        <v>45447</v>
      </c>
      <c r="E551" t="s">
        <v>410</v>
      </c>
      <c r="F551" t="s">
        <v>411</v>
      </c>
      <c r="G551" t="s">
        <v>74</v>
      </c>
      <c r="H551" t="s">
        <v>31</v>
      </c>
      <c r="I551" t="s">
        <v>160</v>
      </c>
      <c r="J551" t="s">
        <v>1125</v>
      </c>
      <c r="K551" t="s">
        <v>1132</v>
      </c>
      <c r="L551" t="s">
        <v>946</v>
      </c>
      <c r="M551" t="s">
        <v>929</v>
      </c>
      <c r="N551" t="s">
        <v>930</v>
      </c>
      <c r="O551" t="s">
        <v>947</v>
      </c>
      <c r="P551" t="s">
        <v>27</v>
      </c>
      <c r="Q551" t="s">
        <v>28</v>
      </c>
      <c r="R551" t="s">
        <v>1088</v>
      </c>
      <c r="S551" t="s">
        <v>1100</v>
      </c>
      <c r="T551" s="5">
        <v>7</v>
      </c>
      <c r="U551" s="6">
        <v>138.19999999999999</v>
      </c>
      <c r="V551" s="6">
        <v>93.94</v>
      </c>
      <c r="W551" s="8">
        <v>0</v>
      </c>
      <c r="X551" s="6">
        <f t="shared" si="40"/>
        <v>967.39999999999986</v>
      </c>
      <c r="Y551" s="6">
        <f t="shared" si="41"/>
        <v>657.57999999999993</v>
      </c>
      <c r="Z551" s="6">
        <f t="shared" si="42"/>
        <v>309.81999999999994</v>
      </c>
      <c r="AA551" t="s">
        <v>679</v>
      </c>
      <c r="AC551" s="5">
        <v>1</v>
      </c>
      <c r="AD551" t="s">
        <v>1096</v>
      </c>
      <c r="AE551" t="str">
        <f t="shared" si="43"/>
        <v>2024-06</v>
      </c>
      <c r="AF551" t="str">
        <f t="shared" si="44"/>
        <v>Q2-2024</v>
      </c>
    </row>
    <row r="552" spans="1:32" x14ac:dyDescent="0.3">
      <c r="A552" t="s">
        <v>1823</v>
      </c>
      <c r="B552" s="5">
        <v>5</v>
      </c>
      <c r="C552" s="4">
        <v>45807</v>
      </c>
      <c r="D552" s="4">
        <v>45816</v>
      </c>
      <c r="E552" t="s">
        <v>201</v>
      </c>
      <c r="F552" t="s">
        <v>202</v>
      </c>
      <c r="G552" t="s">
        <v>65</v>
      </c>
      <c r="H552" t="s">
        <v>20</v>
      </c>
      <c r="I552" t="s">
        <v>112</v>
      </c>
      <c r="J552" t="s">
        <v>1158</v>
      </c>
      <c r="K552" t="s">
        <v>1159</v>
      </c>
      <c r="L552" t="s">
        <v>758</v>
      </c>
      <c r="M552" t="s">
        <v>659</v>
      </c>
      <c r="N552" t="s">
        <v>754</v>
      </c>
      <c r="O552" t="s">
        <v>759</v>
      </c>
      <c r="P552" t="s">
        <v>42</v>
      </c>
      <c r="Q552" t="s">
        <v>43</v>
      </c>
      <c r="R552" t="s">
        <v>1088</v>
      </c>
      <c r="S552" t="s">
        <v>1109</v>
      </c>
      <c r="T552" s="5">
        <v>2</v>
      </c>
      <c r="U552" s="6">
        <v>146.46</v>
      </c>
      <c r="V552" s="6">
        <v>113.63</v>
      </c>
      <c r="W552" s="8">
        <v>0.17460000000000001</v>
      </c>
      <c r="X552" s="6">
        <f t="shared" si="40"/>
        <v>241.77616800000001</v>
      </c>
      <c r="Y552" s="6">
        <f t="shared" si="41"/>
        <v>227.26</v>
      </c>
      <c r="Z552" s="6">
        <f t="shared" si="42"/>
        <v>14.516168000000022</v>
      </c>
      <c r="AA552" t="s">
        <v>679</v>
      </c>
      <c r="AC552" s="5"/>
      <c r="AD552" t="s">
        <v>1524</v>
      </c>
      <c r="AE552" t="str">
        <f t="shared" si="43"/>
        <v>2025-05</v>
      </c>
      <c r="AF552" t="str">
        <f t="shared" si="44"/>
        <v>Q2-2025</v>
      </c>
    </row>
    <row r="553" spans="1:32" x14ac:dyDescent="0.3">
      <c r="A553" t="s">
        <v>1824</v>
      </c>
      <c r="B553" s="5">
        <v>5</v>
      </c>
      <c r="C553" s="4">
        <v>45545</v>
      </c>
      <c r="D553" s="4">
        <v>45547</v>
      </c>
      <c r="E553" t="s">
        <v>184</v>
      </c>
      <c r="F553" t="s">
        <v>185</v>
      </c>
      <c r="G553" t="s">
        <v>74</v>
      </c>
      <c r="H553" t="s">
        <v>20</v>
      </c>
      <c r="I553" t="s">
        <v>112</v>
      </c>
      <c r="J553" t="s">
        <v>1158</v>
      </c>
      <c r="K553" t="s">
        <v>1416</v>
      </c>
      <c r="L553" t="s">
        <v>1044</v>
      </c>
      <c r="M553" t="s">
        <v>1002</v>
      </c>
      <c r="N553" t="s">
        <v>1034</v>
      </c>
      <c r="O553" t="s">
        <v>1045</v>
      </c>
      <c r="P553" t="s">
        <v>50</v>
      </c>
      <c r="Q553" t="s">
        <v>51</v>
      </c>
      <c r="R553" t="s">
        <v>1088</v>
      </c>
      <c r="S553" t="s">
        <v>1109</v>
      </c>
      <c r="T553" s="5">
        <v>27</v>
      </c>
      <c r="U553" s="6">
        <v>300.38</v>
      </c>
      <c r="V553" s="6">
        <v>175.12</v>
      </c>
      <c r="W553" s="8">
        <v>0.18609999999999999</v>
      </c>
      <c r="X553" s="6">
        <f t="shared" si="40"/>
        <v>6600.940614000001</v>
      </c>
      <c r="Y553" s="6">
        <f t="shared" si="41"/>
        <v>4728.24</v>
      </c>
      <c r="Z553" s="6">
        <f t="shared" si="42"/>
        <v>1872.7006140000012</v>
      </c>
      <c r="AA553" t="s">
        <v>679</v>
      </c>
      <c r="AC553" s="5"/>
      <c r="AD553" t="s">
        <v>1136</v>
      </c>
      <c r="AE553" t="str">
        <f t="shared" si="43"/>
        <v>2024-09</v>
      </c>
      <c r="AF553" t="str">
        <f t="shared" si="44"/>
        <v>Q3-2024</v>
      </c>
    </row>
    <row r="554" spans="1:32" x14ac:dyDescent="0.3">
      <c r="A554" t="s">
        <v>1825</v>
      </c>
      <c r="B554" s="5">
        <v>2</v>
      </c>
      <c r="C554" s="4">
        <v>45949</v>
      </c>
      <c r="D554" s="4">
        <v>45957</v>
      </c>
      <c r="E554" t="s">
        <v>146</v>
      </c>
      <c r="F554" t="s">
        <v>147</v>
      </c>
      <c r="G554" t="s">
        <v>74</v>
      </c>
      <c r="H554" t="s">
        <v>23</v>
      </c>
      <c r="I554" t="s">
        <v>93</v>
      </c>
      <c r="J554" t="s">
        <v>1450</v>
      </c>
      <c r="K554" t="s">
        <v>1451</v>
      </c>
      <c r="L554" t="s">
        <v>820</v>
      </c>
      <c r="M554" t="s">
        <v>795</v>
      </c>
      <c r="N554" t="s">
        <v>796</v>
      </c>
      <c r="O554" t="s">
        <v>821</v>
      </c>
      <c r="P554" t="s">
        <v>27</v>
      </c>
      <c r="Q554" t="s">
        <v>28</v>
      </c>
      <c r="R554" t="s">
        <v>126</v>
      </c>
      <c r="S554" t="s">
        <v>1156</v>
      </c>
      <c r="T554" s="5">
        <v>32</v>
      </c>
      <c r="U554" s="6">
        <v>94.12</v>
      </c>
      <c r="V554" s="6">
        <v>67.19</v>
      </c>
      <c r="W554" s="8">
        <v>0</v>
      </c>
      <c r="X554" s="6">
        <f t="shared" si="40"/>
        <v>3011.84</v>
      </c>
      <c r="Y554" s="6">
        <f t="shared" si="41"/>
        <v>2150.08</v>
      </c>
      <c r="Z554" s="6">
        <f t="shared" si="42"/>
        <v>861.76000000000022</v>
      </c>
      <c r="AA554" t="s">
        <v>679</v>
      </c>
      <c r="AC554" s="5">
        <v>2</v>
      </c>
      <c r="AD554" t="s">
        <v>1096</v>
      </c>
      <c r="AE554" t="str">
        <f t="shared" si="43"/>
        <v>2025-10</v>
      </c>
      <c r="AF554" t="str">
        <f t="shared" si="44"/>
        <v>Q4-2025</v>
      </c>
    </row>
    <row r="555" spans="1:32" x14ac:dyDescent="0.3">
      <c r="A555" t="s">
        <v>1826</v>
      </c>
      <c r="B555" s="5">
        <v>1</v>
      </c>
      <c r="C555" s="4">
        <v>45449</v>
      </c>
      <c r="D555" s="4">
        <v>45459</v>
      </c>
      <c r="E555" t="s">
        <v>434</v>
      </c>
      <c r="F555" t="s">
        <v>435</v>
      </c>
      <c r="G555" t="s">
        <v>80</v>
      </c>
      <c r="H555" t="s">
        <v>23</v>
      </c>
      <c r="I555" t="s">
        <v>93</v>
      </c>
      <c r="J555" t="s">
        <v>1103</v>
      </c>
      <c r="K555" t="s">
        <v>1104</v>
      </c>
      <c r="L555" t="s">
        <v>912</v>
      </c>
      <c r="M555" t="s">
        <v>795</v>
      </c>
      <c r="N555" t="s">
        <v>898</v>
      </c>
      <c r="O555" t="s">
        <v>913</v>
      </c>
      <c r="P555" t="s">
        <v>29</v>
      </c>
      <c r="Q555" t="s">
        <v>30</v>
      </c>
      <c r="R555" t="s">
        <v>1114</v>
      </c>
      <c r="S555" t="s">
        <v>1156</v>
      </c>
      <c r="T555" s="5">
        <v>6</v>
      </c>
      <c r="U555" s="6">
        <v>247.1</v>
      </c>
      <c r="V555" s="6">
        <v>136.19999999999999</v>
      </c>
      <c r="W555" s="8">
        <v>0</v>
      </c>
      <c r="X555" s="6">
        <f t="shared" si="40"/>
        <v>1482.6</v>
      </c>
      <c r="Y555" s="6">
        <f t="shared" si="41"/>
        <v>817.19999999999993</v>
      </c>
      <c r="Z555" s="6">
        <f t="shared" si="42"/>
        <v>665.4</v>
      </c>
      <c r="AA555" t="s">
        <v>679</v>
      </c>
      <c r="AC555" s="5">
        <v>5</v>
      </c>
      <c r="AD555" t="s">
        <v>1123</v>
      </c>
      <c r="AE555" t="str">
        <f t="shared" si="43"/>
        <v>2024-06</v>
      </c>
      <c r="AF555" t="str">
        <f t="shared" si="44"/>
        <v>Q2-2024</v>
      </c>
    </row>
    <row r="556" spans="1:32" x14ac:dyDescent="0.3">
      <c r="A556" t="s">
        <v>1827</v>
      </c>
      <c r="B556" s="5">
        <v>2</v>
      </c>
      <c r="C556" s="4">
        <v>45415</v>
      </c>
      <c r="D556" s="4">
        <v>45418</v>
      </c>
      <c r="E556" t="s">
        <v>538</v>
      </c>
      <c r="F556" t="s">
        <v>539</v>
      </c>
      <c r="G556" t="s">
        <v>74</v>
      </c>
      <c r="H556" t="s">
        <v>41</v>
      </c>
      <c r="I556" t="s">
        <v>75</v>
      </c>
      <c r="J556" t="s">
        <v>1142</v>
      </c>
      <c r="K556" t="s">
        <v>1205</v>
      </c>
      <c r="L556" t="s">
        <v>721</v>
      </c>
      <c r="M556" t="s">
        <v>659</v>
      </c>
      <c r="N556" t="s">
        <v>713</v>
      </c>
      <c r="O556" t="s">
        <v>722</v>
      </c>
      <c r="P556" t="s">
        <v>42</v>
      </c>
      <c r="Q556" t="s">
        <v>43</v>
      </c>
      <c r="R556" t="s">
        <v>1114</v>
      </c>
      <c r="S556" t="s">
        <v>1156</v>
      </c>
      <c r="T556" s="5">
        <v>4</v>
      </c>
      <c r="U556" s="6">
        <v>24.72</v>
      </c>
      <c r="V556" s="6">
        <v>15.47</v>
      </c>
      <c r="W556" s="8">
        <v>0</v>
      </c>
      <c r="X556" s="6">
        <f t="shared" si="40"/>
        <v>98.88</v>
      </c>
      <c r="Y556" s="6">
        <f t="shared" si="41"/>
        <v>61.88</v>
      </c>
      <c r="Z556" s="6">
        <f t="shared" si="42"/>
        <v>36.999999999999993</v>
      </c>
      <c r="AA556" t="s">
        <v>679</v>
      </c>
      <c r="AC556" s="5">
        <v>4</v>
      </c>
      <c r="AD556" t="s">
        <v>1110</v>
      </c>
      <c r="AE556" t="str">
        <f t="shared" si="43"/>
        <v>2024-05</v>
      </c>
      <c r="AF556" t="str">
        <f t="shared" si="44"/>
        <v>Q2-2024</v>
      </c>
    </row>
    <row r="557" spans="1:32" x14ac:dyDescent="0.3">
      <c r="A557" t="s">
        <v>1828</v>
      </c>
      <c r="B557" s="5">
        <v>5</v>
      </c>
      <c r="C557" s="4">
        <v>45745</v>
      </c>
      <c r="D557" s="4">
        <v>45759</v>
      </c>
      <c r="E557" t="s">
        <v>299</v>
      </c>
      <c r="F557" t="s">
        <v>300</v>
      </c>
      <c r="G557" t="s">
        <v>84</v>
      </c>
      <c r="H557" t="s">
        <v>23</v>
      </c>
      <c r="I557" t="s">
        <v>109</v>
      </c>
      <c r="J557" t="s">
        <v>1145</v>
      </c>
      <c r="K557" t="s">
        <v>1146</v>
      </c>
      <c r="L557" t="s">
        <v>887</v>
      </c>
      <c r="M557" t="s">
        <v>795</v>
      </c>
      <c r="N557" t="s">
        <v>837</v>
      </c>
      <c r="O557" t="s">
        <v>888</v>
      </c>
      <c r="P557" t="s">
        <v>34</v>
      </c>
      <c r="Q557" t="s">
        <v>35</v>
      </c>
      <c r="R557" t="s">
        <v>1088</v>
      </c>
      <c r="S557" t="s">
        <v>1156</v>
      </c>
      <c r="T557" s="5">
        <v>20</v>
      </c>
      <c r="U557" s="6">
        <v>157.5</v>
      </c>
      <c r="V557" s="6">
        <v>111.35</v>
      </c>
      <c r="W557" s="8">
        <v>0</v>
      </c>
      <c r="X557" s="6">
        <f t="shared" si="40"/>
        <v>3150</v>
      </c>
      <c r="Y557" s="6">
        <f t="shared" si="41"/>
        <v>2227</v>
      </c>
      <c r="Z557" s="6">
        <f t="shared" si="42"/>
        <v>923</v>
      </c>
      <c r="AA557" t="s">
        <v>679</v>
      </c>
      <c r="AC557" s="5">
        <v>1</v>
      </c>
      <c r="AD557" t="s">
        <v>1101</v>
      </c>
      <c r="AE557" t="str">
        <f t="shared" si="43"/>
        <v>2025-03</v>
      </c>
      <c r="AF557" t="str">
        <f t="shared" si="44"/>
        <v>Q1-2025</v>
      </c>
    </row>
    <row r="558" spans="1:32" x14ac:dyDescent="0.3">
      <c r="A558" t="s">
        <v>1829</v>
      </c>
      <c r="B558" s="5">
        <v>2</v>
      </c>
      <c r="C558" s="4">
        <v>45642</v>
      </c>
      <c r="D558" s="4">
        <v>45639</v>
      </c>
      <c r="E558" t="s">
        <v>219</v>
      </c>
      <c r="F558" t="s">
        <v>220</v>
      </c>
      <c r="G558" t="s">
        <v>84</v>
      </c>
      <c r="H558" t="s">
        <v>20</v>
      </c>
      <c r="I558" t="s">
        <v>71</v>
      </c>
      <c r="J558" t="s">
        <v>1112</v>
      </c>
      <c r="K558" t="s">
        <v>1178</v>
      </c>
      <c r="L558" t="s">
        <v>727</v>
      </c>
      <c r="M558" t="s">
        <v>659</v>
      </c>
      <c r="N558" t="s">
        <v>713</v>
      </c>
      <c r="O558" t="s">
        <v>728</v>
      </c>
      <c r="P558" t="s">
        <v>17</v>
      </c>
      <c r="Q558" t="s">
        <v>18</v>
      </c>
      <c r="R558" t="s">
        <v>1114</v>
      </c>
      <c r="S558" t="s">
        <v>1156</v>
      </c>
      <c r="T558" s="5">
        <v>22</v>
      </c>
      <c r="U558" s="6">
        <v>21.83</v>
      </c>
      <c r="V558" s="6">
        <v>13.85</v>
      </c>
      <c r="W558" s="8">
        <v>0</v>
      </c>
      <c r="X558" s="6">
        <f t="shared" si="40"/>
        <v>480.26</v>
      </c>
      <c r="Y558" s="6">
        <f t="shared" si="41"/>
        <v>304.7</v>
      </c>
      <c r="Z558" s="6">
        <f t="shared" si="42"/>
        <v>175.56</v>
      </c>
      <c r="AA558" t="s">
        <v>679</v>
      </c>
      <c r="AC558" s="5">
        <v>1</v>
      </c>
      <c r="AD558" t="s">
        <v>1148</v>
      </c>
      <c r="AE558" t="str">
        <f t="shared" si="43"/>
        <v>2024-12</v>
      </c>
      <c r="AF558" t="str">
        <f t="shared" si="44"/>
        <v>Q4-2024</v>
      </c>
    </row>
    <row r="559" spans="1:32" x14ac:dyDescent="0.3">
      <c r="A559" t="s">
        <v>1830</v>
      </c>
      <c r="B559" s="5">
        <v>3</v>
      </c>
      <c r="C559" s="4">
        <v>45428</v>
      </c>
      <c r="D559" s="4">
        <v>45440</v>
      </c>
      <c r="E559" t="s">
        <v>572</v>
      </c>
      <c r="F559" t="s">
        <v>573</v>
      </c>
      <c r="G559" t="s">
        <v>80</v>
      </c>
      <c r="H559" t="s">
        <v>23</v>
      </c>
      <c r="I559" t="s">
        <v>93</v>
      </c>
      <c r="J559" t="s">
        <v>1278</v>
      </c>
      <c r="K559" t="s">
        <v>1351</v>
      </c>
      <c r="L559" t="s">
        <v>723</v>
      </c>
      <c r="M559" t="s">
        <v>659</v>
      </c>
      <c r="N559" t="s">
        <v>713</v>
      </c>
      <c r="O559" t="s">
        <v>724</v>
      </c>
      <c r="P559" t="s">
        <v>24</v>
      </c>
      <c r="Q559" t="s">
        <v>25</v>
      </c>
      <c r="R559" t="s">
        <v>1088</v>
      </c>
      <c r="S559" t="s">
        <v>1095</v>
      </c>
      <c r="T559" s="5">
        <v>10</v>
      </c>
      <c r="U559" s="6">
        <v>51.48</v>
      </c>
      <c r="V559" s="6">
        <v>43.07</v>
      </c>
      <c r="W559" s="8">
        <v>0</v>
      </c>
      <c r="X559" s="6">
        <f t="shared" si="40"/>
        <v>514.79999999999995</v>
      </c>
      <c r="Y559" s="6">
        <f t="shared" si="41"/>
        <v>430.7</v>
      </c>
      <c r="Z559" s="6">
        <f t="shared" si="42"/>
        <v>84.099999999999966</v>
      </c>
      <c r="AA559" t="s">
        <v>679</v>
      </c>
      <c r="AC559" s="5"/>
      <c r="AD559" t="s">
        <v>1184</v>
      </c>
      <c r="AE559" t="str">
        <f t="shared" si="43"/>
        <v>2024-05</v>
      </c>
      <c r="AF559" t="str">
        <f t="shared" si="44"/>
        <v>Q2-2024</v>
      </c>
    </row>
    <row r="560" spans="1:32" x14ac:dyDescent="0.3">
      <c r="A560" t="s">
        <v>1831</v>
      </c>
      <c r="B560" s="5">
        <v>4</v>
      </c>
      <c r="C560" s="4">
        <v>45423</v>
      </c>
      <c r="D560" s="4">
        <v>45428</v>
      </c>
      <c r="E560" t="s">
        <v>556</v>
      </c>
      <c r="F560" t="s">
        <v>557</v>
      </c>
      <c r="G560" t="s">
        <v>80</v>
      </c>
      <c r="H560" t="s">
        <v>20</v>
      </c>
      <c r="I560" t="s">
        <v>71</v>
      </c>
      <c r="J560" t="s">
        <v>1112</v>
      </c>
      <c r="K560" t="s">
        <v>1178</v>
      </c>
      <c r="L560" t="s">
        <v>692</v>
      </c>
      <c r="M560" t="s">
        <v>659</v>
      </c>
      <c r="N560" t="s">
        <v>660</v>
      </c>
      <c r="O560" t="s">
        <v>693</v>
      </c>
      <c r="P560" t="s">
        <v>24</v>
      </c>
      <c r="Q560" t="s">
        <v>25</v>
      </c>
      <c r="R560" t="s">
        <v>1094</v>
      </c>
      <c r="S560" t="s">
        <v>1109</v>
      </c>
      <c r="T560" s="5">
        <v>24</v>
      </c>
      <c r="U560" s="6">
        <v>10.24</v>
      </c>
      <c r="V560" s="6">
        <v>5</v>
      </c>
      <c r="W560" s="8">
        <v>0</v>
      </c>
      <c r="X560" s="6">
        <f t="shared" si="40"/>
        <v>245.76</v>
      </c>
      <c r="Y560" s="6">
        <f t="shared" si="41"/>
        <v>120</v>
      </c>
      <c r="Z560" s="6">
        <f t="shared" si="42"/>
        <v>125.75999999999999</v>
      </c>
      <c r="AA560" t="s">
        <v>679</v>
      </c>
      <c r="AC560" s="5"/>
      <c r="AD560" t="s">
        <v>1140</v>
      </c>
      <c r="AE560" t="str">
        <f t="shared" si="43"/>
        <v>2024-05</v>
      </c>
      <c r="AF560" t="str">
        <f t="shared" si="44"/>
        <v>Q2-2024</v>
      </c>
    </row>
    <row r="561" spans="1:32" x14ac:dyDescent="0.3">
      <c r="A561" t="s">
        <v>1832</v>
      </c>
      <c r="B561" s="5">
        <v>1</v>
      </c>
      <c r="C561" s="4">
        <v>45647</v>
      </c>
      <c r="D561" s="4">
        <v>45652</v>
      </c>
      <c r="E561" t="s">
        <v>245</v>
      </c>
      <c r="F561" t="s">
        <v>187</v>
      </c>
      <c r="G561" t="s">
        <v>74</v>
      </c>
      <c r="H561" t="s">
        <v>23</v>
      </c>
      <c r="I561" t="s">
        <v>93</v>
      </c>
      <c r="J561" t="s">
        <v>1103</v>
      </c>
      <c r="K561" t="s">
        <v>1104</v>
      </c>
      <c r="L561" t="s">
        <v>790</v>
      </c>
      <c r="M561" t="s">
        <v>659</v>
      </c>
      <c r="N561" t="s">
        <v>754</v>
      </c>
      <c r="O561" t="s">
        <v>791</v>
      </c>
      <c r="P561" t="s">
        <v>17</v>
      </c>
      <c r="Q561" t="s">
        <v>18</v>
      </c>
      <c r="R561" t="s">
        <v>1088</v>
      </c>
      <c r="S561" t="s">
        <v>1156</v>
      </c>
      <c r="T561" s="5">
        <v>13</v>
      </c>
      <c r="U561" s="6">
        <v>90.97</v>
      </c>
      <c r="V561" s="6">
        <v>76.42</v>
      </c>
      <c r="W561" s="8">
        <v>0</v>
      </c>
      <c r="X561" s="6">
        <f t="shared" si="40"/>
        <v>1182.6099999999999</v>
      </c>
      <c r="Y561" s="6">
        <f t="shared" si="41"/>
        <v>993.46</v>
      </c>
      <c r="Z561" s="6">
        <f t="shared" si="42"/>
        <v>189.14999999999986</v>
      </c>
      <c r="AA561" t="s">
        <v>679</v>
      </c>
      <c r="AC561" s="5"/>
      <c r="AD561" t="s">
        <v>1136</v>
      </c>
      <c r="AE561" t="str">
        <f t="shared" si="43"/>
        <v>2024-12</v>
      </c>
      <c r="AF561" t="str">
        <f t="shared" si="44"/>
        <v>Q4-2024</v>
      </c>
    </row>
    <row r="562" spans="1:32" x14ac:dyDescent="0.3">
      <c r="A562" t="s">
        <v>1833</v>
      </c>
      <c r="B562" s="5">
        <v>2</v>
      </c>
      <c r="C562" s="4">
        <v>45549</v>
      </c>
      <c r="D562" s="4">
        <v>45553</v>
      </c>
      <c r="E562" t="s">
        <v>192</v>
      </c>
      <c r="F562" t="s">
        <v>1834</v>
      </c>
      <c r="G562" t="s">
        <v>80</v>
      </c>
      <c r="H562" t="s">
        <v>20</v>
      </c>
      <c r="I562" t="s">
        <v>112</v>
      </c>
      <c r="J562" t="s">
        <v>1158</v>
      </c>
      <c r="K562" t="s">
        <v>1320</v>
      </c>
      <c r="L562" t="s">
        <v>658</v>
      </c>
      <c r="M562" t="s">
        <v>659</v>
      </c>
      <c r="N562" t="s">
        <v>660</v>
      </c>
      <c r="O562" t="s">
        <v>661</v>
      </c>
      <c r="P562" t="s">
        <v>21</v>
      </c>
      <c r="Q562" t="s">
        <v>22</v>
      </c>
      <c r="R562" t="s">
        <v>1088</v>
      </c>
      <c r="S562" t="s">
        <v>1109</v>
      </c>
      <c r="T562" s="5">
        <v>4</v>
      </c>
      <c r="U562" s="6">
        <v>27.55</v>
      </c>
      <c r="V562" s="6">
        <v>15.75</v>
      </c>
      <c r="W562" s="8">
        <v>8.8400000000000006E-2</v>
      </c>
      <c r="X562" s="6">
        <f t="shared" si="40"/>
        <v>100.45832</v>
      </c>
      <c r="Y562" s="6">
        <f t="shared" si="41"/>
        <v>63</v>
      </c>
      <c r="Z562" s="6">
        <f t="shared" si="42"/>
        <v>37.458320000000001</v>
      </c>
      <c r="AA562" t="s">
        <v>679</v>
      </c>
      <c r="AC562" s="5">
        <v>4</v>
      </c>
      <c r="AD562" t="s">
        <v>1140</v>
      </c>
      <c r="AE562" t="str">
        <f t="shared" si="43"/>
        <v>2024-09</v>
      </c>
      <c r="AF562" t="str">
        <f t="shared" si="44"/>
        <v>Q3-2024</v>
      </c>
    </row>
    <row r="563" spans="1:32" x14ac:dyDescent="0.3">
      <c r="A563" t="s">
        <v>1835</v>
      </c>
      <c r="B563" s="5">
        <v>4</v>
      </c>
      <c r="C563" s="4">
        <v>45825</v>
      </c>
      <c r="D563" s="4">
        <v>45825</v>
      </c>
      <c r="E563" t="s">
        <v>590</v>
      </c>
      <c r="F563" t="s">
        <v>394</v>
      </c>
      <c r="G563" t="s">
        <v>84</v>
      </c>
      <c r="H563" t="s">
        <v>23</v>
      </c>
      <c r="I563" t="s">
        <v>81</v>
      </c>
      <c r="J563" t="s">
        <v>1163</v>
      </c>
      <c r="K563" t="s">
        <v>1164</v>
      </c>
      <c r="L563" t="s">
        <v>717</v>
      </c>
      <c r="M563" t="s">
        <v>659</v>
      </c>
      <c r="N563" t="s">
        <v>713</v>
      </c>
      <c r="O563" t="s">
        <v>718</v>
      </c>
      <c r="P563" t="s">
        <v>24</v>
      </c>
      <c r="Q563" t="s">
        <v>25</v>
      </c>
      <c r="R563" t="s">
        <v>1094</v>
      </c>
      <c r="S563" t="s">
        <v>1089</v>
      </c>
      <c r="T563" s="5">
        <v>4</v>
      </c>
      <c r="U563" s="6">
        <v>7.93</v>
      </c>
      <c r="V563" s="6">
        <v>5</v>
      </c>
      <c r="W563" s="8">
        <v>0</v>
      </c>
      <c r="X563" s="6">
        <f t="shared" si="40"/>
        <v>31.72</v>
      </c>
      <c r="Y563" s="6">
        <f t="shared" si="41"/>
        <v>20</v>
      </c>
      <c r="Z563" s="6">
        <f t="shared" si="42"/>
        <v>11.719999999999999</v>
      </c>
      <c r="AA563" t="s">
        <v>679</v>
      </c>
      <c r="AC563" s="5">
        <v>2</v>
      </c>
      <c r="AD563" t="s">
        <v>1136</v>
      </c>
      <c r="AE563" t="str">
        <f t="shared" si="43"/>
        <v>2025-06</v>
      </c>
      <c r="AF563" t="str">
        <f t="shared" si="44"/>
        <v>Q2-2025</v>
      </c>
    </row>
    <row r="564" spans="1:32" x14ac:dyDescent="0.3">
      <c r="A564" t="s">
        <v>1836</v>
      </c>
      <c r="B564" s="5">
        <v>3</v>
      </c>
      <c r="C564" s="4">
        <v>45666</v>
      </c>
      <c r="D564" s="4">
        <v>45674</v>
      </c>
      <c r="E564" t="s">
        <v>566</v>
      </c>
      <c r="F564" t="s">
        <v>567</v>
      </c>
      <c r="G564" t="s">
        <v>65</v>
      </c>
      <c r="H564" t="s">
        <v>31</v>
      </c>
      <c r="I564" t="s">
        <v>67</v>
      </c>
      <c r="J564" t="s">
        <v>1304</v>
      </c>
      <c r="K564" t="s">
        <v>1305</v>
      </c>
      <c r="L564" t="s">
        <v>721</v>
      </c>
      <c r="M564" t="s">
        <v>659</v>
      </c>
      <c r="N564" t="s">
        <v>713</v>
      </c>
      <c r="O564" t="s">
        <v>722</v>
      </c>
      <c r="P564" t="s">
        <v>46</v>
      </c>
      <c r="Q564" t="s">
        <v>47</v>
      </c>
      <c r="R564" t="s">
        <v>1088</v>
      </c>
      <c r="S564" t="s">
        <v>1109</v>
      </c>
      <c r="T564" s="5">
        <v>12</v>
      </c>
      <c r="U564" s="6">
        <v>25.85</v>
      </c>
      <c r="V564" s="6">
        <v>15.47</v>
      </c>
      <c r="W564" s="8">
        <v>0.2432</v>
      </c>
      <c r="X564" s="6">
        <f t="shared" si="40"/>
        <v>234.75936000000004</v>
      </c>
      <c r="Y564" s="6">
        <f t="shared" si="41"/>
        <v>185.64000000000001</v>
      </c>
      <c r="Z564" s="6">
        <f t="shared" si="42"/>
        <v>49.119360000000029</v>
      </c>
      <c r="AA564" t="s">
        <v>679</v>
      </c>
      <c r="AC564" s="5">
        <v>3</v>
      </c>
      <c r="AD564" t="s">
        <v>1090</v>
      </c>
      <c r="AE564" t="str">
        <f t="shared" si="43"/>
        <v>2025-01</v>
      </c>
      <c r="AF564" t="str">
        <f t="shared" si="44"/>
        <v>Q1-2025</v>
      </c>
    </row>
    <row r="565" spans="1:32" x14ac:dyDescent="0.3">
      <c r="A565" t="s">
        <v>1837</v>
      </c>
      <c r="B565" s="5">
        <v>3</v>
      </c>
      <c r="C565" s="4">
        <v>45500</v>
      </c>
      <c r="D565" s="4">
        <v>45510</v>
      </c>
      <c r="E565" t="s">
        <v>285</v>
      </c>
      <c r="F565" t="s">
        <v>286</v>
      </c>
      <c r="G565" t="s">
        <v>74</v>
      </c>
      <c r="H565" t="s">
        <v>41</v>
      </c>
      <c r="I565" t="s">
        <v>86</v>
      </c>
      <c r="J565" t="s">
        <v>1107</v>
      </c>
      <c r="K565" t="s">
        <v>1230</v>
      </c>
      <c r="L565" t="s">
        <v>889</v>
      </c>
      <c r="M565" t="s">
        <v>795</v>
      </c>
      <c r="N565" t="s">
        <v>837</v>
      </c>
      <c r="O565" t="s">
        <v>890</v>
      </c>
      <c r="P565" t="s">
        <v>53</v>
      </c>
      <c r="Q565" t="s">
        <v>54</v>
      </c>
      <c r="R565" t="s">
        <v>1088</v>
      </c>
      <c r="S565" t="s">
        <v>1089</v>
      </c>
      <c r="T565" s="5">
        <v>3</v>
      </c>
      <c r="U565" s="6">
        <v>266.42</v>
      </c>
      <c r="V565" s="6">
        <v>145.66</v>
      </c>
      <c r="W565" s="8">
        <v>0</v>
      </c>
      <c r="X565" s="6">
        <f t="shared" si="40"/>
        <v>799.26</v>
      </c>
      <c r="Y565" s="6">
        <f t="shared" si="41"/>
        <v>436.98</v>
      </c>
      <c r="Z565" s="6">
        <f t="shared" si="42"/>
        <v>362.28</v>
      </c>
      <c r="AA565" t="s">
        <v>679</v>
      </c>
      <c r="AC565" s="5">
        <v>4</v>
      </c>
      <c r="AD565" t="s">
        <v>1746</v>
      </c>
      <c r="AE565" t="str">
        <f t="shared" si="43"/>
        <v>2024-07</v>
      </c>
      <c r="AF565" t="str">
        <f t="shared" si="44"/>
        <v>Q3-2024</v>
      </c>
    </row>
    <row r="566" spans="1:32" x14ac:dyDescent="0.3">
      <c r="A566" t="s">
        <v>1838</v>
      </c>
      <c r="B566" s="5">
        <v>1</v>
      </c>
      <c r="C566" s="4">
        <v>45366</v>
      </c>
      <c r="D566" s="4">
        <v>45378</v>
      </c>
      <c r="E566" t="s">
        <v>525</v>
      </c>
      <c r="F566" t="s">
        <v>262</v>
      </c>
      <c r="G566" t="s">
        <v>80</v>
      </c>
      <c r="H566" t="s">
        <v>41</v>
      </c>
      <c r="I566" t="s">
        <v>75</v>
      </c>
      <c r="J566" t="s">
        <v>1142</v>
      </c>
      <c r="K566" t="s">
        <v>1198</v>
      </c>
      <c r="L566" t="s">
        <v>680</v>
      </c>
      <c r="M566" t="s">
        <v>659</v>
      </c>
      <c r="N566" t="s">
        <v>660</v>
      </c>
      <c r="O566" t="s">
        <v>681</v>
      </c>
      <c r="P566" t="s">
        <v>17</v>
      </c>
      <c r="Q566" t="s">
        <v>18</v>
      </c>
      <c r="R566" t="s">
        <v>1114</v>
      </c>
      <c r="S566" t="s">
        <v>1109</v>
      </c>
      <c r="T566" s="5">
        <v>7</v>
      </c>
      <c r="U566" s="6">
        <v>42.38</v>
      </c>
      <c r="V566" s="6">
        <v>36.96</v>
      </c>
      <c r="W566" s="8">
        <v>0</v>
      </c>
      <c r="X566" s="6">
        <f t="shared" si="40"/>
        <v>296.66000000000003</v>
      </c>
      <c r="Y566" s="6">
        <f t="shared" si="41"/>
        <v>258.72000000000003</v>
      </c>
      <c r="Z566" s="6">
        <f t="shared" si="42"/>
        <v>37.94</v>
      </c>
      <c r="AA566" t="s">
        <v>679</v>
      </c>
      <c r="AC566" s="5"/>
      <c r="AD566" t="s">
        <v>1123</v>
      </c>
      <c r="AE566" t="str">
        <f t="shared" si="43"/>
        <v>2024-03</v>
      </c>
      <c r="AF566" t="str">
        <f t="shared" si="44"/>
        <v>Q1-2024</v>
      </c>
    </row>
    <row r="567" spans="1:32" x14ac:dyDescent="0.3">
      <c r="A567" t="s">
        <v>1839</v>
      </c>
      <c r="B567" s="5">
        <v>3</v>
      </c>
      <c r="C567" s="4">
        <v>45922</v>
      </c>
      <c r="D567" s="4">
        <v>45931</v>
      </c>
      <c r="E567" t="s">
        <v>383</v>
      </c>
      <c r="F567" t="s">
        <v>384</v>
      </c>
      <c r="G567" t="s">
        <v>65</v>
      </c>
      <c r="H567" t="s">
        <v>41</v>
      </c>
      <c r="I567" t="s">
        <v>75</v>
      </c>
      <c r="J567" t="s">
        <v>1142</v>
      </c>
      <c r="K567" t="s">
        <v>1143</v>
      </c>
      <c r="L567" t="s">
        <v>778</v>
      </c>
      <c r="M567" t="s">
        <v>659</v>
      </c>
      <c r="N567" t="s">
        <v>754</v>
      </c>
      <c r="O567" t="s">
        <v>779</v>
      </c>
      <c r="P567" t="s">
        <v>44</v>
      </c>
      <c r="Q567" t="s">
        <v>45</v>
      </c>
      <c r="R567" t="s">
        <v>1088</v>
      </c>
      <c r="S567" t="s">
        <v>1095</v>
      </c>
      <c r="T567" s="5">
        <v>12</v>
      </c>
      <c r="U567" s="6">
        <v>110.1</v>
      </c>
      <c r="V567" s="6">
        <v>73.75</v>
      </c>
      <c r="W567" s="8">
        <v>5.3699999999999998E-2</v>
      </c>
      <c r="X567" s="6">
        <f t="shared" si="40"/>
        <v>1250.2515599999999</v>
      </c>
      <c r="Y567" s="6">
        <f t="shared" si="41"/>
        <v>885</v>
      </c>
      <c r="Z567" s="6">
        <f t="shared" si="42"/>
        <v>365.25155999999993</v>
      </c>
      <c r="AA567" t="s">
        <v>679</v>
      </c>
      <c r="AC567" s="5">
        <v>4</v>
      </c>
      <c r="AD567" t="s">
        <v>1140</v>
      </c>
      <c r="AE567" t="str">
        <f t="shared" si="43"/>
        <v>2025-09</v>
      </c>
      <c r="AF567" t="str">
        <f t="shared" si="44"/>
        <v>Q3-2025</v>
      </c>
    </row>
    <row r="568" spans="1:32" x14ac:dyDescent="0.3">
      <c r="A568" t="s">
        <v>1840</v>
      </c>
      <c r="B568" s="5">
        <v>5</v>
      </c>
      <c r="C568" s="4">
        <v>45569</v>
      </c>
      <c r="D568" s="4">
        <v>45572</v>
      </c>
      <c r="E568" t="s">
        <v>259</v>
      </c>
      <c r="F568" t="s">
        <v>260</v>
      </c>
      <c r="G568" t="s">
        <v>74</v>
      </c>
      <c r="H568" t="s">
        <v>31</v>
      </c>
      <c r="I568" t="s">
        <v>127</v>
      </c>
      <c r="J568" t="s">
        <v>1116</v>
      </c>
      <c r="K568" t="s">
        <v>1357</v>
      </c>
      <c r="L568" t="s">
        <v>1050</v>
      </c>
      <c r="M568" t="s">
        <v>1002</v>
      </c>
      <c r="N568" t="s">
        <v>1034</v>
      </c>
      <c r="O568" t="s">
        <v>1051</v>
      </c>
      <c r="P568" t="s">
        <v>46</v>
      </c>
      <c r="Q568" t="s">
        <v>47</v>
      </c>
      <c r="R568" t="s">
        <v>126</v>
      </c>
      <c r="S568" t="s">
        <v>1156</v>
      </c>
      <c r="T568" s="5">
        <v>17</v>
      </c>
      <c r="U568" s="6">
        <v>174.44</v>
      </c>
      <c r="V568" s="6">
        <v>108.75</v>
      </c>
      <c r="W568" s="8">
        <v>0.34860000000000002</v>
      </c>
      <c r="X568" s="6">
        <f t="shared" si="40"/>
        <v>1931.7136719999999</v>
      </c>
      <c r="Y568" s="6">
        <f t="shared" si="41"/>
        <v>1848.75</v>
      </c>
      <c r="Z568" s="6">
        <f t="shared" si="42"/>
        <v>82.96367199999986</v>
      </c>
      <c r="AA568" t="s">
        <v>679</v>
      </c>
      <c r="AC568" s="5"/>
      <c r="AD568" t="s">
        <v>1694</v>
      </c>
      <c r="AE568" t="str">
        <f t="shared" si="43"/>
        <v>2024-10</v>
      </c>
      <c r="AF568" t="str">
        <f t="shared" si="44"/>
        <v>Q4-2024</v>
      </c>
    </row>
    <row r="569" spans="1:32" x14ac:dyDescent="0.3">
      <c r="A569" t="s">
        <v>1841</v>
      </c>
      <c r="B569" s="5">
        <v>2</v>
      </c>
      <c r="C569" s="4">
        <v>45323</v>
      </c>
      <c r="D569" s="4">
        <v>45326</v>
      </c>
      <c r="E569" t="s">
        <v>588</v>
      </c>
      <c r="F569" t="s">
        <v>589</v>
      </c>
      <c r="G569" t="s">
        <v>104</v>
      </c>
      <c r="H569" t="s">
        <v>41</v>
      </c>
      <c r="I569" t="s">
        <v>86</v>
      </c>
      <c r="J569" t="s">
        <v>1086</v>
      </c>
      <c r="K569" t="s">
        <v>1234</v>
      </c>
      <c r="L569" t="s">
        <v>877</v>
      </c>
      <c r="M569" t="s">
        <v>795</v>
      </c>
      <c r="N569" t="s">
        <v>837</v>
      </c>
      <c r="O569" t="s">
        <v>878</v>
      </c>
      <c r="P569" t="s">
        <v>17</v>
      </c>
      <c r="Q569" t="s">
        <v>18</v>
      </c>
      <c r="R569" t="s">
        <v>1114</v>
      </c>
      <c r="S569" t="s">
        <v>1156</v>
      </c>
      <c r="T569" s="5">
        <v>20</v>
      </c>
      <c r="U569" s="6">
        <v>184.63</v>
      </c>
      <c r="V569" s="6">
        <v>103.46</v>
      </c>
      <c r="W569" s="8">
        <v>0</v>
      </c>
      <c r="X569" s="6">
        <f t="shared" si="40"/>
        <v>3692.6</v>
      </c>
      <c r="Y569" s="6">
        <f t="shared" si="41"/>
        <v>2069.1999999999998</v>
      </c>
      <c r="Z569" s="6">
        <f t="shared" si="42"/>
        <v>1623.4</v>
      </c>
      <c r="AA569" t="s">
        <v>679</v>
      </c>
      <c r="AC569" s="5"/>
      <c r="AD569" t="s">
        <v>1096</v>
      </c>
      <c r="AE569" t="str">
        <f t="shared" si="43"/>
        <v>2024-02</v>
      </c>
      <c r="AF569" t="str">
        <f t="shared" si="44"/>
        <v>Q1-2024</v>
      </c>
    </row>
    <row r="570" spans="1:32" x14ac:dyDescent="0.3">
      <c r="A570" t="s">
        <v>1842</v>
      </c>
      <c r="B570" s="5">
        <v>5</v>
      </c>
      <c r="C570" s="4">
        <v>45756</v>
      </c>
      <c r="D570" s="4">
        <v>45770</v>
      </c>
      <c r="E570" t="s">
        <v>198</v>
      </c>
      <c r="F570" t="s">
        <v>101</v>
      </c>
      <c r="G570" t="s">
        <v>104</v>
      </c>
      <c r="H570" t="s">
        <v>23</v>
      </c>
      <c r="I570" t="s">
        <v>109</v>
      </c>
      <c r="J570" t="s">
        <v>1300</v>
      </c>
      <c r="K570" t="s">
        <v>1360</v>
      </c>
      <c r="L570" t="s">
        <v>944</v>
      </c>
      <c r="M570" t="s">
        <v>929</v>
      </c>
      <c r="N570" t="s">
        <v>930</v>
      </c>
      <c r="O570" t="s">
        <v>945</v>
      </c>
      <c r="P570" t="s">
        <v>39</v>
      </c>
      <c r="Q570" t="s">
        <v>40</v>
      </c>
      <c r="R570" t="s">
        <v>1114</v>
      </c>
      <c r="S570" t="s">
        <v>1100</v>
      </c>
      <c r="T570" s="5">
        <v>32</v>
      </c>
      <c r="U570" s="6">
        <v>333.83</v>
      </c>
      <c r="V570" s="6">
        <v>210.38</v>
      </c>
      <c r="W570" s="8">
        <v>0</v>
      </c>
      <c r="X570" s="6">
        <f t="shared" si="40"/>
        <v>10682.56</v>
      </c>
      <c r="Y570" s="6">
        <f t="shared" si="41"/>
        <v>6732.16</v>
      </c>
      <c r="Z570" s="6">
        <f t="shared" si="42"/>
        <v>3950.3999999999996</v>
      </c>
      <c r="AA570" t="s">
        <v>679</v>
      </c>
      <c r="AC570" s="5"/>
      <c r="AD570" t="s">
        <v>1123</v>
      </c>
      <c r="AE570" t="str">
        <f t="shared" si="43"/>
        <v>2025-04</v>
      </c>
      <c r="AF570" t="str">
        <f t="shared" si="44"/>
        <v>Q2-2025</v>
      </c>
    </row>
    <row r="571" spans="1:32" x14ac:dyDescent="0.3">
      <c r="A571" t="s">
        <v>1843</v>
      </c>
      <c r="B571" s="5">
        <v>3</v>
      </c>
      <c r="C571" s="4">
        <v>45831</v>
      </c>
      <c r="D571" s="4">
        <v>45839</v>
      </c>
      <c r="E571" t="s">
        <v>318</v>
      </c>
      <c r="F571" t="s">
        <v>319</v>
      </c>
      <c r="G571" t="s">
        <v>74</v>
      </c>
      <c r="H571" t="s">
        <v>41</v>
      </c>
      <c r="I571" t="s">
        <v>75</v>
      </c>
      <c r="J571" t="s">
        <v>1142</v>
      </c>
      <c r="K571" t="s">
        <v>1205</v>
      </c>
      <c r="L571" t="s">
        <v>946</v>
      </c>
      <c r="M571" t="s">
        <v>929</v>
      </c>
      <c r="N571" t="s">
        <v>930</v>
      </c>
      <c r="O571" t="s">
        <v>947</v>
      </c>
      <c r="P571" t="s">
        <v>24</v>
      </c>
      <c r="Q571" t="s">
        <v>25</v>
      </c>
      <c r="R571" t="s">
        <v>1088</v>
      </c>
      <c r="S571" t="s">
        <v>1109</v>
      </c>
      <c r="T571" s="5">
        <v>15</v>
      </c>
      <c r="U571" s="6">
        <v>146.63999999999999</v>
      </c>
      <c r="V571" s="6">
        <v>93.94</v>
      </c>
      <c r="W571" s="8">
        <v>0</v>
      </c>
      <c r="X571" s="6">
        <f t="shared" si="40"/>
        <v>2199.6</v>
      </c>
      <c r="Y571" s="6">
        <f t="shared" si="41"/>
        <v>1409.1</v>
      </c>
      <c r="Z571" s="6">
        <f t="shared" si="42"/>
        <v>790.5</v>
      </c>
      <c r="AA571" t="s">
        <v>679</v>
      </c>
      <c r="AC571" s="5">
        <v>5</v>
      </c>
      <c r="AD571" t="s">
        <v>1105</v>
      </c>
      <c r="AE571" t="str">
        <f t="shared" si="43"/>
        <v>2025-06</v>
      </c>
      <c r="AF571" t="str">
        <f t="shared" si="44"/>
        <v>Q2-2025</v>
      </c>
    </row>
    <row r="572" spans="1:32" x14ac:dyDescent="0.3">
      <c r="A572" t="s">
        <v>1844</v>
      </c>
      <c r="B572" s="5">
        <v>2</v>
      </c>
      <c r="C572" s="4">
        <v>45820</v>
      </c>
      <c r="D572" s="4">
        <v>45834</v>
      </c>
      <c r="E572" t="s">
        <v>356</v>
      </c>
      <c r="F572" t="s">
        <v>357</v>
      </c>
      <c r="G572" t="s">
        <v>65</v>
      </c>
      <c r="H572" t="s">
        <v>20</v>
      </c>
      <c r="I572" t="s">
        <v>71</v>
      </c>
      <c r="J572" t="s">
        <v>1112</v>
      </c>
      <c r="K572" t="s">
        <v>1266</v>
      </c>
      <c r="L572" t="s">
        <v>926</v>
      </c>
      <c r="M572" t="s">
        <v>795</v>
      </c>
      <c r="N572" t="s">
        <v>898</v>
      </c>
      <c r="O572" t="s">
        <v>927</v>
      </c>
      <c r="P572" t="s">
        <v>24</v>
      </c>
      <c r="Q572" t="s">
        <v>25</v>
      </c>
      <c r="R572" t="s">
        <v>1094</v>
      </c>
      <c r="S572" t="s">
        <v>1089</v>
      </c>
      <c r="T572" s="5">
        <v>16</v>
      </c>
      <c r="U572" s="6">
        <v>161.85</v>
      </c>
      <c r="V572" s="6">
        <v>113.41</v>
      </c>
      <c r="W572" s="8">
        <v>0</v>
      </c>
      <c r="X572" s="6">
        <f t="shared" si="40"/>
        <v>2589.6</v>
      </c>
      <c r="Y572" s="6">
        <f t="shared" si="41"/>
        <v>1814.56</v>
      </c>
      <c r="Z572" s="6">
        <f t="shared" si="42"/>
        <v>775.04</v>
      </c>
      <c r="AA572" t="s">
        <v>679</v>
      </c>
      <c r="AC572" s="5">
        <v>2</v>
      </c>
      <c r="AD572" t="s">
        <v>1123</v>
      </c>
      <c r="AE572" t="str">
        <f t="shared" si="43"/>
        <v>2025-06</v>
      </c>
      <c r="AF572" t="str">
        <f t="shared" si="44"/>
        <v>Q2-2025</v>
      </c>
    </row>
    <row r="573" spans="1:32" x14ac:dyDescent="0.3">
      <c r="A573" t="s">
        <v>1845</v>
      </c>
      <c r="B573" s="5">
        <v>5</v>
      </c>
      <c r="C573" s="4">
        <v>45730</v>
      </c>
      <c r="D573" s="4">
        <v>45731</v>
      </c>
      <c r="E573" t="s">
        <v>128</v>
      </c>
      <c r="F573" t="s">
        <v>129</v>
      </c>
      <c r="G573" t="s">
        <v>65</v>
      </c>
      <c r="H573" t="s">
        <v>41</v>
      </c>
      <c r="I573" t="s">
        <v>86</v>
      </c>
      <c r="J573" t="s">
        <v>1086</v>
      </c>
      <c r="K573" t="s">
        <v>1087</v>
      </c>
      <c r="L573" t="s">
        <v>810</v>
      </c>
      <c r="M573" t="s">
        <v>795</v>
      </c>
      <c r="N573" t="s">
        <v>796</v>
      </c>
      <c r="O573" t="s">
        <v>811</v>
      </c>
      <c r="P573" t="s">
        <v>44</v>
      </c>
      <c r="Q573" t="s">
        <v>45</v>
      </c>
      <c r="R573" t="s">
        <v>1114</v>
      </c>
      <c r="S573" t="s">
        <v>1156</v>
      </c>
      <c r="T573" s="5">
        <v>16</v>
      </c>
      <c r="U573" s="6">
        <v>263.83</v>
      </c>
      <c r="V573" s="6">
        <v>141.55000000000001</v>
      </c>
      <c r="W573" s="8">
        <v>0.2117</v>
      </c>
      <c r="X573" s="6">
        <f t="shared" si="40"/>
        <v>3327.6350239999997</v>
      </c>
      <c r="Y573" s="6">
        <f t="shared" si="41"/>
        <v>2264.8000000000002</v>
      </c>
      <c r="Z573" s="6">
        <f t="shared" si="42"/>
        <v>1062.8350239999995</v>
      </c>
      <c r="AA573" t="s">
        <v>679</v>
      </c>
      <c r="AC573" s="5">
        <v>5</v>
      </c>
      <c r="AD573" t="s">
        <v>1105</v>
      </c>
      <c r="AE573" t="str">
        <f t="shared" si="43"/>
        <v>2025-03</v>
      </c>
      <c r="AF573" t="str">
        <f t="shared" si="44"/>
        <v>Q1-2025</v>
      </c>
    </row>
    <row r="574" spans="1:32" x14ac:dyDescent="0.3">
      <c r="A574" t="s">
        <v>1846</v>
      </c>
      <c r="B574" s="5">
        <v>5</v>
      </c>
      <c r="C574" s="4">
        <v>45682</v>
      </c>
      <c r="D574" s="4">
        <v>45688</v>
      </c>
      <c r="E574" t="s">
        <v>350</v>
      </c>
      <c r="F574" t="s">
        <v>351</v>
      </c>
      <c r="G574" t="s">
        <v>65</v>
      </c>
      <c r="H574" t="s">
        <v>41</v>
      </c>
      <c r="I574" t="s">
        <v>86</v>
      </c>
      <c r="J574" t="s">
        <v>1107</v>
      </c>
      <c r="K574" t="s">
        <v>1230</v>
      </c>
      <c r="L574" t="s">
        <v>928</v>
      </c>
      <c r="M574" t="s">
        <v>929</v>
      </c>
      <c r="N574" t="s">
        <v>930</v>
      </c>
      <c r="O574" t="s">
        <v>931</v>
      </c>
      <c r="P574" t="s">
        <v>29</v>
      </c>
      <c r="Q574" t="s">
        <v>30</v>
      </c>
      <c r="R574" t="s">
        <v>1088</v>
      </c>
      <c r="S574" t="s">
        <v>1095</v>
      </c>
      <c r="T574" s="5">
        <v>5</v>
      </c>
      <c r="U574" s="6">
        <v>255.21</v>
      </c>
      <c r="V574" s="6">
        <v>130.21</v>
      </c>
      <c r="W574" s="8">
        <v>0</v>
      </c>
      <c r="X574" s="6">
        <f t="shared" si="40"/>
        <v>1276.05</v>
      </c>
      <c r="Y574" s="6">
        <f t="shared" si="41"/>
        <v>651.05000000000007</v>
      </c>
      <c r="Z574" s="6">
        <f t="shared" si="42"/>
        <v>624.99999999999989</v>
      </c>
      <c r="AA574" t="s">
        <v>679</v>
      </c>
      <c r="AC574" s="5"/>
      <c r="AD574" t="s">
        <v>1105</v>
      </c>
      <c r="AE574" t="str">
        <f t="shared" si="43"/>
        <v>2025-01</v>
      </c>
      <c r="AF574" t="str">
        <f t="shared" si="44"/>
        <v>Q1-2025</v>
      </c>
    </row>
    <row r="575" spans="1:32" x14ac:dyDescent="0.3">
      <c r="A575" t="s">
        <v>1847</v>
      </c>
      <c r="B575" s="5">
        <v>1</v>
      </c>
      <c r="C575" s="4">
        <v>45811</v>
      </c>
      <c r="D575" s="4">
        <v>45820</v>
      </c>
      <c r="E575" t="s">
        <v>307</v>
      </c>
      <c r="F575" t="s">
        <v>308</v>
      </c>
      <c r="G575" t="s">
        <v>74</v>
      </c>
      <c r="H575" t="s">
        <v>31</v>
      </c>
      <c r="I575" t="s">
        <v>160</v>
      </c>
      <c r="J575" t="s">
        <v>1092</v>
      </c>
      <c r="K575" t="s">
        <v>1150</v>
      </c>
      <c r="L575" t="s">
        <v>1029</v>
      </c>
      <c r="M575" t="s">
        <v>1002</v>
      </c>
      <c r="N575" t="s">
        <v>1003</v>
      </c>
      <c r="O575" t="s">
        <v>1030</v>
      </c>
      <c r="P575" t="s">
        <v>39</v>
      </c>
      <c r="Q575" t="s">
        <v>40</v>
      </c>
      <c r="R575" t="s">
        <v>1088</v>
      </c>
      <c r="S575" t="s">
        <v>1109</v>
      </c>
      <c r="T575" s="5">
        <v>12</v>
      </c>
      <c r="U575" s="6">
        <v>306.08</v>
      </c>
      <c r="V575" s="6">
        <v>202.2</v>
      </c>
      <c r="W575" s="8">
        <v>0</v>
      </c>
      <c r="X575" s="6">
        <f t="shared" si="40"/>
        <v>3672.96</v>
      </c>
      <c r="Y575" s="6">
        <f t="shared" si="41"/>
        <v>2426.3999999999996</v>
      </c>
      <c r="Z575" s="6">
        <f t="shared" si="42"/>
        <v>1246.5600000000004</v>
      </c>
      <c r="AA575" t="s">
        <v>679</v>
      </c>
      <c r="AC575" s="5">
        <v>1</v>
      </c>
      <c r="AD575" t="s">
        <v>1123</v>
      </c>
      <c r="AE575" t="str">
        <f t="shared" si="43"/>
        <v>2025-06</v>
      </c>
      <c r="AF575" t="str">
        <f t="shared" si="44"/>
        <v>Q2-2025</v>
      </c>
    </row>
    <row r="576" spans="1:32" x14ac:dyDescent="0.3">
      <c r="A576" t="s">
        <v>1848</v>
      </c>
      <c r="B576" s="5">
        <v>1</v>
      </c>
      <c r="C576" s="4">
        <v>45897</v>
      </c>
      <c r="D576" s="4">
        <v>45911</v>
      </c>
      <c r="E576" t="s">
        <v>334</v>
      </c>
      <c r="F576" t="s">
        <v>335</v>
      </c>
      <c r="G576" t="s">
        <v>84</v>
      </c>
      <c r="H576" t="s">
        <v>31</v>
      </c>
      <c r="I576" t="s">
        <v>160</v>
      </c>
      <c r="J576" t="s">
        <v>1125</v>
      </c>
      <c r="K576" t="s">
        <v>1386</v>
      </c>
      <c r="L576" t="s">
        <v>1038</v>
      </c>
      <c r="M576" t="s">
        <v>1002</v>
      </c>
      <c r="N576" t="s">
        <v>1034</v>
      </c>
      <c r="O576" t="s">
        <v>1039</v>
      </c>
      <c r="P576" t="s">
        <v>34</v>
      </c>
      <c r="Q576" t="s">
        <v>35</v>
      </c>
      <c r="R576" t="s">
        <v>1088</v>
      </c>
      <c r="S576" t="s">
        <v>1109</v>
      </c>
      <c r="T576" s="5">
        <v>24</v>
      </c>
      <c r="U576" s="6">
        <v>243.26</v>
      </c>
      <c r="V576" s="6">
        <v>115.2</v>
      </c>
      <c r="W576" s="8">
        <v>0</v>
      </c>
      <c r="X576" s="6">
        <f t="shared" si="40"/>
        <v>5838.24</v>
      </c>
      <c r="Y576" s="6">
        <f t="shared" si="41"/>
        <v>2764.8</v>
      </c>
      <c r="Z576" s="6">
        <f t="shared" si="42"/>
        <v>3073.4399999999996</v>
      </c>
      <c r="AA576" t="s">
        <v>679</v>
      </c>
      <c r="AC576" s="5">
        <v>5</v>
      </c>
      <c r="AD576" t="s">
        <v>1123</v>
      </c>
      <c r="AE576" t="str">
        <f t="shared" si="43"/>
        <v>2025-08</v>
      </c>
      <c r="AF576" t="str">
        <f t="shared" si="44"/>
        <v>Q3-2025</v>
      </c>
    </row>
    <row r="577" spans="1:32" x14ac:dyDescent="0.3">
      <c r="A577" t="s">
        <v>1849</v>
      </c>
      <c r="B577" s="5">
        <v>1</v>
      </c>
      <c r="C577" s="4">
        <v>45466</v>
      </c>
      <c r="D577" s="4">
        <v>45471</v>
      </c>
      <c r="E577" t="s">
        <v>364</v>
      </c>
      <c r="F577" t="s">
        <v>365</v>
      </c>
      <c r="G577" t="s">
        <v>65</v>
      </c>
      <c r="H577" t="s">
        <v>31</v>
      </c>
      <c r="I577" t="s">
        <v>127</v>
      </c>
      <c r="J577" t="s">
        <v>1116</v>
      </c>
      <c r="K577" t="s">
        <v>1117</v>
      </c>
      <c r="L577" t="s">
        <v>725</v>
      </c>
      <c r="M577" t="s">
        <v>659</v>
      </c>
      <c r="N577" t="s">
        <v>713</v>
      </c>
      <c r="O577" t="s">
        <v>726</v>
      </c>
      <c r="P577" t="s">
        <v>42</v>
      </c>
      <c r="Q577" t="s">
        <v>43</v>
      </c>
      <c r="R577" t="s">
        <v>1088</v>
      </c>
      <c r="S577" t="s">
        <v>1109</v>
      </c>
      <c r="T577" s="5">
        <v>1</v>
      </c>
      <c r="U577" s="6">
        <v>144.78</v>
      </c>
      <c r="V577" s="6">
        <v>94.07</v>
      </c>
      <c r="W577" s="8">
        <v>0</v>
      </c>
      <c r="X577" s="6">
        <f t="shared" si="40"/>
        <v>144.78</v>
      </c>
      <c r="Y577" s="6">
        <f t="shared" si="41"/>
        <v>94.07</v>
      </c>
      <c r="Z577" s="6">
        <f t="shared" si="42"/>
        <v>50.710000000000008</v>
      </c>
      <c r="AA577" t="s">
        <v>679</v>
      </c>
      <c r="AC577" s="5"/>
      <c r="AD577" t="s">
        <v>1123</v>
      </c>
      <c r="AE577" t="str">
        <f t="shared" si="43"/>
        <v>2024-06</v>
      </c>
      <c r="AF577" t="str">
        <f t="shared" si="44"/>
        <v>Q2-2024</v>
      </c>
    </row>
    <row r="578" spans="1:32" x14ac:dyDescent="0.3">
      <c r="A578" t="s">
        <v>1850</v>
      </c>
      <c r="B578" s="5">
        <v>3</v>
      </c>
      <c r="C578" s="4">
        <v>45905</v>
      </c>
      <c r="D578" s="4">
        <v>45913</v>
      </c>
      <c r="E578" t="s">
        <v>616</v>
      </c>
      <c r="F578" t="s">
        <v>382</v>
      </c>
      <c r="G578" t="s">
        <v>84</v>
      </c>
      <c r="H578" t="s">
        <v>23</v>
      </c>
      <c r="I578" t="s">
        <v>81</v>
      </c>
      <c r="J578" t="s">
        <v>1119</v>
      </c>
      <c r="K578" t="s">
        <v>1189</v>
      </c>
      <c r="L578" t="s">
        <v>904</v>
      </c>
      <c r="M578" t="s">
        <v>795</v>
      </c>
      <c r="N578" t="s">
        <v>898</v>
      </c>
      <c r="O578" t="s">
        <v>905</v>
      </c>
      <c r="P578" t="s">
        <v>50</v>
      </c>
      <c r="Q578" t="s">
        <v>51</v>
      </c>
      <c r="R578" t="s">
        <v>1094</v>
      </c>
      <c r="S578" t="s">
        <v>1109</v>
      </c>
      <c r="T578" s="5">
        <v>3</v>
      </c>
      <c r="U578" s="6">
        <v>342.36</v>
      </c>
      <c r="V578" s="6">
        <v>186.51</v>
      </c>
      <c r="W578" s="8">
        <v>0</v>
      </c>
      <c r="X578" s="6">
        <f t="shared" ref="X578:X641" si="45">T578*U578*(1-IF(ISBLANK(W578),0,W578))</f>
        <v>1027.08</v>
      </c>
      <c r="Y578" s="6">
        <f t="shared" ref="Y578:Y641" si="46">T578*V578</f>
        <v>559.53</v>
      </c>
      <c r="Z578" s="6">
        <f t="shared" ref="Z578:Z641" si="47">X578-Y578</f>
        <v>467.54999999999995</v>
      </c>
      <c r="AA578" t="s">
        <v>679</v>
      </c>
      <c r="AC578" s="5">
        <v>4</v>
      </c>
      <c r="AD578" t="s">
        <v>1105</v>
      </c>
      <c r="AE578" t="str">
        <f t="shared" ref="AE578:AE641" si="48">TEXT(C578,"yyyy-mm")</f>
        <v>2025-09</v>
      </c>
      <c r="AF578" t="str">
        <f t="shared" ref="AF578:AF641" si="49">"Q"&amp;ROUNDUP(MONTH(C578)/3,0)&amp;"-"&amp;YEAR(C578)</f>
        <v>Q3-2025</v>
      </c>
    </row>
    <row r="579" spans="1:32" x14ac:dyDescent="0.3">
      <c r="A579" t="s">
        <v>1851</v>
      </c>
      <c r="B579" s="5">
        <v>5</v>
      </c>
      <c r="C579" s="4">
        <v>45976</v>
      </c>
      <c r="D579" s="4">
        <v>45984</v>
      </c>
      <c r="E579" t="s">
        <v>334</v>
      </c>
      <c r="F579" t="s">
        <v>335</v>
      </c>
      <c r="G579" t="s">
        <v>84</v>
      </c>
      <c r="H579" t="s">
        <v>41</v>
      </c>
      <c r="I579" t="s">
        <v>75</v>
      </c>
      <c r="J579" t="s">
        <v>1142</v>
      </c>
      <c r="K579" t="s">
        <v>1143</v>
      </c>
      <c r="L579" t="s">
        <v>861</v>
      </c>
      <c r="M579" t="s">
        <v>795</v>
      </c>
      <c r="N579" t="s">
        <v>837</v>
      </c>
      <c r="O579" t="s">
        <v>862</v>
      </c>
      <c r="P579" t="s">
        <v>42</v>
      </c>
      <c r="Q579" t="s">
        <v>43</v>
      </c>
      <c r="R579" t="s">
        <v>1088</v>
      </c>
      <c r="S579" t="s">
        <v>1089</v>
      </c>
      <c r="T579" s="5">
        <v>3</v>
      </c>
      <c r="U579" s="6">
        <v>299.7</v>
      </c>
      <c r="V579" s="6">
        <v>195.61</v>
      </c>
      <c r="W579" s="8">
        <v>0</v>
      </c>
      <c r="X579" s="6">
        <f t="shared" si="45"/>
        <v>899.09999999999991</v>
      </c>
      <c r="Y579" s="6">
        <f t="shared" si="46"/>
        <v>586.83000000000004</v>
      </c>
      <c r="Z579" s="6">
        <f t="shared" si="47"/>
        <v>312.26999999999987</v>
      </c>
      <c r="AA579" t="s">
        <v>679</v>
      </c>
      <c r="AC579" s="5">
        <v>1</v>
      </c>
      <c r="AD579" t="s">
        <v>1090</v>
      </c>
      <c r="AE579" t="str">
        <f t="shared" si="48"/>
        <v>2025-11</v>
      </c>
      <c r="AF579" t="str">
        <f t="shared" si="49"/>
        <v>Q4-2025</v>
      </c>
    </row>
    <row r="580" spans="1:32" x14ac:dyDescent="0.3">
      <c r="A580" t="s">
        <v>1852</v>
      </c>
      <c r="B580" s="5">
        <v>4</v>
      </c>
      <c r="C580" s="4">
        <v>46008</v>
      </c>
      <c r="D580" s="4">
        <v>46008</v>
      </c>
      <c r="E580" t="s">
        <v>156</v>
      </c>
      <c r="F580" t="s">
        <v>157</v>
      </c>
      <c r="G580" t="s">
        <v>74</v>
      </c>
      <c r="H580" t="s">
        <v>41</v>
      </c>
      <c r="I580" t="s">
        <v>86</v>
      </c>
      <c r="J580" t="s">
        <v>1107</v>
      </c>
      <c r="K580" t="s">
        <v>1108</v>
      </c>
      <c r="L580" t="s">
        <v>1046</v>
      </c>
      <c r="M580" t="s">
        <v>1002</v>
      </c>
      <c r="N580" t="s">
        <v>1034</v>
      </c>
      <c r="O580" t="s">
        <v>1047</v>
      </c>
      <c r="P580" t="s">
        <v>17</v>
      </c>
      <c r="Q580" t="s">
        <v>18</v>
      </c>
      <c r="R580" t="s">
        <v>1088</v>
      </c>
      <c r="S580" t="s">
        <v>1156</v>
      </c>
      <c r="T580" s="5">
        <v>26</v>
      </c>
      <c r="U580" s="6">
        <v>297.67</v>
      </c>
      <c r="V580" s="6">
        <v>153.29</v>
      </c>
      <c r="W580" s="8">
        <v>0</v>
      </c>
      <c r="X580" s="6">
        <f t="shared" si="45"/>
        <v>7739.42</v>
      </c>
      <c r="Y580" s="6">
        <f t="shared" si="46"/>
        <v>3985.54</v>
      </c>
      <c r="Z580" s="6">
        <f t="shared" si="47"/>
        <v>3753.88</v>
      </c>
      <c r="AA580" t="s">
        <v>679</v>
      </c>
      <c r="AC580" s="5">
        <v>2</v>
      </c>
      <c r="AD580" t="s">
        <v>1123</v>
      </c>
      <c r="AE580" t="str">
        <f t="shared" si="48"/>
        <v>2025-12</v>
      </c>
      <c r="AF580" t="str">
        <f t="shared" si="49"/>
        <v>Q4-2025</v>
      </c>
    </row>
    <row r="581" spans="1:32" x14ac:dyDescent="0.3">
      <c r="A581" t="s">
        <v>1853</v>
      </c>
      <c r="B581" s="5">
        <v>3</v>
      </c>
      <c r="C581" s="4">
        <v>45910</v>
      </c>
      <c r="D581" s="4">
        <v>45910</v>
      </c>
      <c r="E581" t="s">
        <v>76</v>
      </c>
      <c r="F581" t="s">
        <v>77</v>
      </c>
      <c r="G581" t="s">
        <v>74</v>
      </c>
      <c r="H581" t="s">
        <v>23</v>
      </c>
      <c r="I581" t="s">
        <v>93</v>
      </c>
      <c r="J581" t="s">
        <v>1294</v>
      </c>
      <c r="K581" t="s">
        <v>1295</v>
      </c>
      <c r="L581" t="s">
        <v>1005</v>
      </c>
      <c r="M581" t="s">
        <v>1002</v>
      </c>
      <c r="N581" t="s">
        <v>1003</v>
      </c>
      <c r="O581" t="s">
        <v>1006</v>
      </c>
      <c r="P581" t="s">
        <v>42</v>
      </c>
      <c r="Q581" t="s">
        <v>43</v>
      </c>
      <c r="R581" t="s">
        <v>1088</v>
      </c>
      <c r="S581" t="s">
        <v>1109</v>
      </c>
      <c r="T581" s="5">
        <v>15</v>
      </c>
      <c r="U581" s="6">
        <v>112.47</v>
      </c>
      <c r="V581" s="6">
        <v>76.489999999999995</v>
      </c>
      <c r="W581" s="8">
        <v>0</v>
      </c>
      <c r="X581" s="6">
        <f t="shared" si="45"/>
        <v>1687.05</v>
      </c>
      <c r="Y581" s="6">
        <f t="shared" si="46"/>
        <v>1147.3499999999999</v>
      </c>
      <c r="Z581" s="6">
        <f t="shared" si="47"/>
        <v>539.70000000000005</v>
      </c>
      <c r="AA581" t="s">
        <v>679</v>
      </c>
      <c r="AC581" s="5">
        <v>5</v>
      </c>
      <c r="AD581" t="s">
        <v>1096</v>
      </c>
      <c r="AE581" t="str">
        <f t="shared" si="48"/>
        <v>2025-09</v>
      </c>
      <c r="AF581" t="str">
        <f t="shared" si="49"/>
        <v>Q3-2025</v>
      </c>
    </row>
    <row r="582" spans="1:32" x14ac:dyDescent="0.3">
      <c r="A582" t="s">
        <v>1854</v>
      </c>
      <c r="B582" s="5">
        <v>1</v>
      </c>
      <c r="C582" s="4">
        <v>45631</v>
      </c>
      <c r="D582" s="4">
        <v>45643</v>
      </c>
      <c r="E582" t="s">
        <v>246</v>
      </c>
      <c r="F582" t="s">
        <v>247</v>
      </c>
      <c r="G582" t="s">
        <v>74</v>
      </c>
      <c r="H582" t="s">
        <v>23</v>
      </c>
      <c r="I582" t="s">
        <v>109</v>
      </c>
      <c r="J582" t="s">
        <v>1138</v>
      </c>
      <c r="K582" t="s">
        <v>1371</v>
      </c>
      <c r="L582" t="s">
        <v>853</v>
      </c>
      <c r="M582" t="s">
        <v>795</v>
      </c>
      <c r="N582" t="s">
        <v>837</v>
      </c>
      <c r="O582" t="s">
        <v>854</v>
      </c>
      <c r="P582" t="s">
        <v>37</v>
      </c>
      <c r="Q582" t="s">
        <v>38</v>
      </c>
      <c r="R582" t="s">
        <v>1114</v>
      </c>
      <c r="S582" t="s">
        <v>1095</v>
      </c>
      <c r="T582" s="5">
        <v>29</v>
      </c>
      <c r="U582" s="6">
        <v>181.35</v>
      </c>
      <c r="V582" s="6">
        <v>119.67</v>
      </c>
      <c r="W582" s="8">
        <v>0</v>
      </c>
      <c r="X582" s="6">
        <f t="shared" si="45"/>
        <v>5259.15</v>
      </c>
      <c r="Y582" s="6">
        <f t="shared" si="46"/>
        <v>3470.43</v>
      </c>
      <c r="Z582" s="6">
        <f t="shared" si="47"/>
        <v>1788.7199999999998</v>
      </c>
      <c r="AA582" t="s">
        <v>679</v>
      </c>
      <c r="AC582" s="5"/>
      <c r="AD582" t="s">
        <v>1136</v>
      </c>
      <c r="AE582" t="str">
        <f t="shared" si="48"/>
        <v>2024-12</v>
      </c>
      <c r="AF582" t="str">
        <f t="shared" si="49"/>
        <v>Q4-2024</v>
      </c>
    </row>
    <row r="583" spans="1:32" x14ac:dyDescent="0.3">
      <c r="A583" t="s">
        <v>1855</v>
      </c>
      <c r="B583" s="5">
        <v>4</v>
      </c>
      <c r="C583" s="4">
        <v>45430</v>
      </c>
      <c r="D583" s="4">
        <v>45443</v>
      </c>
      <c r="E583" t="s">
        <v>501</v>
      </c>
      <c r="F583" t="s">
        <v>502</v>
      </c>
      <c r="G583" t="s">
        <v>65</v>
      </c>
      <c r="H583" t="s">
        <v>31</v>
      </c>
      <c r="I583" t="s">
        <v>160</v>
      </c>
      <c r="J583" t="s">
        <v>1092</v>
      </c>
      <c r="K583" t="s">
        <v>1135</v>
      </c>
      <c r="L583" t="s">
        <v>717</v>
      </c>
      <c r="M583" t="s">
        <v>659</v>
      </c>
      <c r="N583" t="s">
        <v>713</v>
      </c>
      <c r="O583" t="s">
        <v>718</v>
      </c>
      <c r="P583" t="s">
        <v>34</v>
      </c>
      <c r="Q583" t="s">
        <v>35</v>
      </c>
      <c r="R583" t="s">
        <v>1114</v>
      </c>
      <c r="S583" t="s">
        <v>1156</v>
      </c>
      <c r="T583" s="5">
        <v>292</v>
      </c>
      <c r="U583" s="6">
        <v>6.3</v>
      </c>
      <c r="V583" s="6">
        <v>5</v>
      </c>
      <c r="W583" s="8">
        <v>0</v>
      </c>
      <c r="X583" s="6">
        <f t="shared" si="45"/>
        <v>1839.6</v>
      </c>
      <c r="Y583" s="6">
        <f t="shared" si="46"/>
        <v>1460</v>
      </c>
      <c r="Z583" s="6">
        <f t="shared" si="47"/>
        <v>379.59999999999991</v>
      </c>
      <c r="AA583" t="s">
        <v>679</v>
      </c>
      <c r="AC583" s="5"/>
      <c r="AD583" t="s">
        <v>1090</v>
      </c>
      <c r="AE583" t="str">
        <f t="shared" si="48"/>
        <v>2024-05</v>
      </c>
      <c r="AF583" t="str">
        <f t="shared" si="49"/>
        <v>Q2-2024</v>
      </c>
    </row>
    <row r="584" spans="1:32" x14ac:dyDescent="0.3">
      <c r="A584" t="s">
        <v>1856</v>
      </c>
      <c r="B584" s="5">
        <v>4</v>
      </c>
      <c r="C584" s="4">
        <v>45615</v>
      </c>
      <c r="D584" s="4">
        <v>45621</v>
      </c>
      <c r="E584" t="s">
        <v>401</v>
      </c>
      <c r="F584" t="s">
        <v>1857</v>
      </c>
      <c r="G584" t="s">
        <v>74</v>
      </c>
      <c r="H584" t="s">
        <v>23</v>
      </c>
      <c r="I584" t="s">
        <v>109</v>
      </c>
      <c r="J584" t="s">
        <v>1300</v>
      </c>
      <c r="K584" t="s">
        <v>1301</v>
      </c>
      <c r="L584" t="s">
        <v>702</v>
      </c>
      <c r="M584" t="s">
        <v>659</v>
      </c>
      <c r="N584" t="s">
        <v>660</v>
      </c>
      <c r="O584" t="s">
        <v>703</v>
      </c>
      <c r="P584" t="s">
        <v>24</v>
      </c>
      <c r="Q584" t="s">
        <v>25</v>
      </c>
      <c r="R584" t="s">
        <v>1088</v>
      </c>
      <c r="S584" t="s">
        <v>1100</v>
      </c>
      <c r="T584" s="5">
        <v>3</v>
      </c>
      <c r="U584" s="6">
        <v>165.3</v>
      </c>
      <c r="V584" s="6">
        <v>92.37</v>
      </c>
      <c r="W584" s="8">
        <v>0</v>
      </c>
      <c r="X584" s="6">
        <f t="shared" si="45"/>
        <v>495.90000000000003</v>
      </c>
      <c r="Y584" s="6">
        <f t="shared" si="46"/>
        <v>277.11</v>
      </c>
      <c r="Z584" s="6">
        <f t="shared" si="47"/>
        <v>218.79000000000002</v>
      </c>
      <c r="AA584" t="s">
        <v>679</v>
      </c>
      <c r="AC584" s="5">
        <v>4</v>
      </c>
      <c r="AE584" t="str">
        <f t="shared" si="48"/>
        <v>2024-11</v>
      </c>
      <c r="AF584" t="str">
        <f t="shared" si="49"/>
        <v>Q4-2024</v>
      </c>
    </row>
    <row r="585" spans="1:32" x14ac:dyDescent="0.3">
      <c r="A585" t="s">
        <v>1858</v>
      </c>
      <c r="B585" s="5">
        <v>1</v>
      </c>
      <c r="C585" s="4">
        <v>45407</v>
      </c>
      <c r="D585" s="4">
        <v>45414</v>
      </c>
      <c r="E585" t="s">
        <v>479</v>
      </c>
      <c r="F585" t="s">
        <v>1859</v>
      </c>
      <c r="G585" t="s">
        <v>84</v>
      </c>
      <c r="H585" t="s">
        <v>41</v>
      </c>
      <c r="I585" t="s">
        <v>75</v>
      </c>
      <c r="J585" t="s">
        <v>1142</v>
      </c>
      <c r="K585" t="s">
        <v>1205</v>
      </c>
      <c r="L585" t="s">
        <v>702</v>
      </c>
      <c r="M585" t="s">
        <v>659</v>
      </c>
      <c r="N585" t="s">
        <v>660</v>
      </c>
      <c r="O585" t="s">
        <v>703</v>
      </c>
      <c r="P585" t="s">
        <v>24</v>
      </c>
      <c r="Q585" t="s">
        <v>25</v>
      </c>
      <c r="R585" t="s">
        <v>1094</v>
      </c>
      <c r="S585" t="s">
        <v>1089</v>
      </c>
      <c r="T585" s="5">
        <v>10</v>
      </c>
      <c r="U585" s="6">
        <v>163.29</v>
      </c>
      <c r="V585" s="6">
        <v>92.37</v>
      </c>
      <c r="W585" s="8">
        <v>6.4500000000000002E-2</v>
      </c>
      <c r="X585" s="6">
        <f t="shared" si="45"/>
        <v>1527.5779499999999</v>
      </c>
      <c r="Y585" s="6">
        <f t="shared" si="46"/>
        <v>923.7</v>
      </c>
      <c r="Z585" s="6">
        <f t="shared" si="47"/>
        <v>603.87794999999983</v>
      </c>
      <c r="AA585" t="s">
        <v>679</v>
      </c>
      <c r="AC585" s="5"/>
      <c r="AD585" t="s">
        <v>1105</v>
      </c>
      <c r="AE585" t="str">
        <f t="shared" si="48"/>
        <v>2024-04</v>
      </c>
      <c r="AF585" t="str">
        <f t="shared" si="49"/>
        <v>Q2-2024</v>
      </c>
    </row>
    <row r="586" spans="1:32" x14ac:dyDescent="0.3">
      <c r="A586" t="s">
        <v>1860</v>
      </c>
      <c r="B586" s="5">
        <v>1</v>
      </c>
      <c r="C586" s="4">
        <v>45505</v>
      </c>
      <c r="D586" s="4">
        <v>45513</v>
      </c>
      <c r="E586" t="s">
        <v>556</v>
      </c>
      <c r="F586" t="s">
        <v>557</v>
      </c>
      <c r="G586" t="s">
        <v>80</v>
      </c>
      <c r="H586" t="s">
        <v>31</v>
      </c>
      <c r="I586" t="s">
        <v>67</v>
      </c>
      <c r="J586" t="s">
        <v>1304</v>
      </c>
      <c r="K586" t="s">
        <v>1363</v>
      </c>
      <c r="L586" t="s">
        <v>1029</v>
      </c>
      <c r="M586" t="s">
        <v>1002</v>
      </c>
      <c r="N586" t="s">
        <v>1003</v>
      </c>
      <c r="O586" t="s">
        <v>1030</v>
      </c>
      <c r="P586" t="s">
        <v>42</v>
      </c>
      <c r="Q586" t="s">
        <v>43</v>
      </c>
      <c r="R586" t="s">
        <v>1114</v>
      </c>
      <c r="S586" t="s">
        <v>1089</v>
      </c>
      <c r="T586" s="5">
        <v>15</v>
      </c>
      <c r="U586" s="6">
        <v>261.83</v>
      </c>
      <c r="V586" s="6">
        <v>202.2</v>
      </c>
      <c r="W586" s="8">
        <v>0</v>
      </c>
      <c r="X586" s="6">
        <f t="shared" si="45"/>
        <v>3927.45</v>
      </c>
      <c r="Y586" s="6">
        <f t="shared" si="46"/>
        <v>3033</v>
      </c>
      <c r="Z586" s="6">
        <f t="shared" si="47"/>
        <v>894.44999999999982</v>
      </c>
      <c r="AA586" t="s">
        <v>679</v>
      </c>
      <c r="AC586" s="5">
        <v>5</v>
      </c>
      <c r="AD586" t="s">
        <v>1110</v>
      </c>
      <c r="AE586" t="str">
        <f t="shared" si="48"/>
        <v>2024-08</v>
      </c>
      <c r="AF586" t="str">
        <f t="shared" si="49"/>
        <v>Q3-2024</v>
      </c>
    </row>
    <row r="587" spans="1:32" x14ac:dyDescent="0.3">
      <c r="A587" t="s">
        <v>1861</v>
      </c>
      <c r="B587" s="5">
        <v>5</v>
      </c>
      <c r="C587" s="4">
        <v>46008</v>
      </c>
      <c r="D587" s="4">
        <v>46020</v>
      </c>
      <c r="E587" t="s">
        <v>410</v>
      </c>
      <c r="F587" t="s">
        <v>411</v>
      </c>
      <c r="G587" t="s">
        <v>74</v>
      </c>
      <c r="H587" t="s">
        <v>31</v>
      </c>
      <c r="I587" t="s">
        <v>127</v>
      </c>
      <c r="J587" t="s">
        <v>1098</v>
      </c>
      <c r="K587" t="s">
        <v>1161</v>
      </c>
      <c r="L587" t="s">
        <v>677</v>
      </c>
      <c r="M587" t="s">
        <v>659</v>
      </c>
      <c r="N587" t="s">
        <v>660</v>
      </c>
      <c r="O587" t="s">
        <v>678</v>
      </c>
      <c r="P587" t="s">
        <v>44</v>
      </c>
      <c r="Q587" t="s">
        <v>45</v>
      </c>
      <c r="R587" t="s">
        <v>126</v>
      </c>
      <c r="S587" t="s">
        <v>1109</v>
      </c>
      <c r="T587" s="5">
        <v>20</v>
      </c>
      <c r="U587" s="6">
        <v>74.650000000000006</v>
      </c>
      <c r="V587" s="6">
        <v>53.6</v>
      </c>
      <c r="W587" s="8">
        <v>0</v>
      </c>
      <c r="X587" s="6">
        <f t="shared" si="45"/>
        <v>1493</v>
      </c>
      <c r="Y587" s="6">
        <f t="shared" si="46"/>
        <v>1072</v>
      </c>
      <c r="Z587" s="6">
        <f t="shared" si="47"/>
        <v>421</v>
      </c>
      <c r="AA587" t="s">
        <v>679</v>
      </c>
      <c r="AC587" s="5">
        <v>2</v>
      </c>
      <c r="AD587" t="s">
        <v>1090</v>
      </c>
      <c r="AE587" t="str">
        <f t="shared" si="48"/>
        <v>2025-12</v>
      </c>
      <c r="AF587" t="str">
        <f t="shared" si="49"/>
        <v>Q4-2025</v>
      </c>
    </row>
    <row r="588" spans="1:32" x14ac:dyDescent="0.3">
      <c r="A588" t="s">
        <v>1862</v>
      </c>
      <c r="B588" s="5">
        <v>4</v>
      </c>
      <c r="C588" s="4">
        <v>45995</v>
      </c>
      <c r="D588" s="4">
        <v>46004</v>
      </c>
      <c r="E588" t="s">
        <v>171</v>
      </c>
      <c r="F588" t="s">
        <v>172</v>
      </c>
      <c r="G588" t="s">
        <v>104</v>
      </c>
      <c r="H588" t="s">
        <v>41</v>
      </c>
      <c r="I588" t="s">
        <v>75</v>
      </c>
      <c r="J588" t="s">
        <v>1142</v>
      </c>
      <c r="K588" t="s">
        <v>1205</v>
      </c>
      <c r="L588" t="s">
        <v>788</v>
      </c>
      <c r="M588" t="s">
        <v>659</v>
      </c>
      <c r="N588" t="s">
        <v>754</v>
      </c>
      <c r="O588" t="s">
        <v>789</v>
      </c>
      <c r="P588" t="s">
        <v>44</v>
      </c>
      <c r="Q588" t="s">
        <v>45</v>
      </c>
      <c r="R588" t="s">
        <v>1088</v>
      </c>
      <c r="S588" t="s">
        <v>1156</v>
      </c>
      <c r="T588" s="5">
        <v>25</v>
      </c>
      <c r="U588" s="6">
        <v>54.7</v>
      </c>
      <c r="V588" s="6">
        <v>46.29</v>
      </c>
      <c r="W588" s="8">
        <v>0.30630000000000002</v>
      </c>
      <c r="X588" s="6">
        <f t="shared" si="45"/>
        <v>948.63474999999994</v>
      </c>
      <c r="Y588" s="6">
        <f t="shared" si="46"/>
        <v>1157.25</v>
      </c>
      <c r="Z588" s="6">
        <f t="shared" si="47"/>
        <v>-208.61525000000006</v>
      </c>
      <c r="AA588" t="s">
        <v>679</v>
      </c>
      <c r="AC588" s="5">
        <v>4</v>
      </c>
      <c r="AD588" t="s">
        <v>1136</v>
      </c>
      <c r="AE588" t="str">
        <f t="shared" si="48"/>
        <v>2025-12</v>
      </c>
      <c r="AF588" t="str">
        <f t="shared" si="49"/>
        <v>Q4-2025</v>
      </c>
    </row>
    <row r="589" spans="1:32" x14ac:dyDescent="0.3">
      <c r="A589" t="s">
        <v>1863</v>
      </c>
      <c r="B589" s="5">
        <v>1</v>
      </c>
      <c r="C589" s="4">
        <v>45365</v>
      </c>
      <c r="D589" s="4">
        <v>45374</v>
      </c>
      <c r="E589" t="s">
        <v>332</v>
      </c>
      <c r="F589" t="s">
        <v>333</v>
      </c>
      <c r="G589" t="s">
        <v>84</v>
      </c>
      <c r="H589" t="s">
        <v>23</v>
      </c>
      <c r="I589" t="s">
        <v>109</v>
      </c>
      <c r="J589" t="s">
        <v>1138</v>
      </c>
      <c r="K589" t="s">
        <v>1139</v>
      </c>
      <c r="L589" t="s">
        <v>995</v>
      </c>
      <c r="M589" t="s">
        <v>929</v>
      </c>
      <c r="N589" t="s">
        <v>971</v>
      </c>
      <c r="O589" t="s">
        <v>996</v>
      </c>
      <c r="P589" t="s">
        <v>27</v>
      </c>
      <c r="Q589" t="s">
        <v>28</v>
      </c>
      <c r="R589" t="s">
        <v>1088</v>
      </c>
      <c r="S589" t="s">
        <v>1156</v>
      </c>
      <c r="T589" s="5">
        <v>24</v>
      </c>
      <c r="U589" s="6">
        <v>240.27</v>
      </c>
      <c r="V589" s="6">
        <v>139.47</v>
      </c>
      <c r="W589" s="8"/>
      <c r="X589" s="6">
        <f t="shared" si="45"/>
        <v>5766.4800000000005</v>
      </c>
      <c r="Y589" s="6">
        <f t="shared" si="46"/>
        <v>3347.2799999999997</v>
      </c>
      <c r="Z589" s="6">
        <f t="shared" si="47"/>
        <v>2419.2000000000007</v>
      </c>
      <c r="AA589" t="s">
        <v>679</v>
      </c>
      <c r="AC589" s="5"/>
      <c r="AD589" t="s">
        <v>1123</v>
      </c>
      <c r="AE589" t="str">
        <f t="shared" si="48"/>
        <v>2024-03</v>
      </c>
      <c r="AF589" t="str">
        <f t="shared" si="49"/>
        <v>Q1-2024</v>
      </c>
    </row>
    <row r="590" spans="1:32" x14ac:dyDescent="0.3">
      <c r="A590" t="s">
        <v>1864</v>
      </c>
      <c r="B590" s="5">
        <v>4</v>
      </c>
      <c r="C590" s="4">
        <v>45748</v>
      </c>
      <c r="D590" s="4">
        <v>45755</v>
      </c>
      <c r="E590" t="s">
        <v>588</v>
      </c>
      <c r="F590" t="s">
        <v>589</v>
      </c>
      <c r="G590" t="s">
        <v>104</v>
      </c>
      <c r="H590" t="s">
        <v>23</v>
      </c>
      <c r="I590" t="s">
        <v>109</v>
      </c>
      <c r="J590" t="s">
        <v>1138</v>
      </c>
      <c r="K590" t="s">
        <v>1255</v>
      </c>
      <c r="L590" t="s">
        <v>808</v>
      </c>
      <c r="M590" t="s">
        <v>795</v>
      </c>
      <c r="N590" t="s">
        <v>796</v>
      </c>
      <c r="O590" t="s">
        <v>809</v>
      </c>
      <c r="P590" t="s">
        <v>29</v>
      </c>
      <c r="Q590" t="s">
        <v>30</v>
      </c>
      <c r="R590" t="s">
        <v>1088</v>
      </c>
      <c r="S590" t="s">
        <v>1156</v>
      </c>
      <c r="T590" s="5">
        <v>10</v>
      </c>
      <c r="U590" s="6">
        <v>166.11</v>
      </c>
      <c r="V590" s="6">
        <v>94.12</v>
      </c>
      <c r="W590" s="8">
        <v>0</v>
      </c>
      <c r="X590" s="6">
        <f t="shared" si="45"/>
        <v>1661.1000000000001</v>
      </c>
      <c r="Y590" s="6">
        <f t="shared" si="46"/>
        <v>941.2</v>
      </c>
      <c r="Z590" s="6">
        <f t="shared" si="47"/>
        <v>719.90000000000009</v>
      </c>
      <c r="AA590" t="s">
        <v>679</v>
      </c>
      <c r="AC590" s="5">
        <v>5</v>
      </c>
      <c r="AD590" t="s">
        <v>1148</v>
      </c>
      <c r="AE590" t="str">
        <f t="shared" si="48"/>
        <v>2025-04</v>
      </c>
      <c r="AF590" t="str">
        <f t="shared" si="49"/>
        <v>Q2-2025</v>
      </c>
    </row>
    <row r="591" spans="1:32" x14ac:dyDescent="0.3">
      <c r="A591" t="s">
        <v>1865</v>
      </c>
      <c r="B591" s="5">
        <v>1</v>
      </c>
      <c r="C591" s="4">
        <v>45312</v>
      </c>
      <c r="D591" s="4">
        <v>45322</v>
      </c>
      <c r="E591" t="s">
        <v>407</v>
      </c>
      <c r="F591" t="s">
        <v>292</v>
      </c>
      <c r="G591" t="s">
        <v>65</v>
      </c>
      <c r="H591" t="s">
        <v>20</v>
      </c>
      <c r="I591" t="s">
        <v>71</v>
      </c>
      <c r="J591" t="s">
        <v>1166</v>
      </c>
      <c r="K591" t="s">
        <v>1436</v>
      </c>
      <c r="L591" t="s">
        <v>944</v>
      </c>
      <c r="M591" t="s">
        <v>929</v>
      </c>
      <c r="N591" t="s">
        <v>930</v>
      </c>
      <c r="O591" t="s">
        <v>945</v>
      </c>
      <c r="P591" t="s">
        <v>37</v>
      </c>
      <c r="Q591" t="s">
        <v>38</v>
      </c>
      <c r="R591" t="s">
        <v>126</v>
      </c>
      <c r="S591" t="s">
        <v>1156</v>
      </c>
      <c r="T591" s="5">
        <v>7</v>
      </c>
      <c r="U591" s="6">
        <v>267.02</v>
      </c>
      <c r="V591" s="6">
        <v>210.38</v>
      </c>
      <c r="W591" s="8">
        <v>0</v>
      </c>
      <c r="X591" s="6">
        <f t="shared" si="45"/>
        <v>1869.1399999999999</v>
      </c>
      <c r="Y591" s="6">
        <f t="shared" si="46"/>
        <v>1472.6599999999999</v>
      </c>
      <c r="Z591" s="6">
        <f t="shared" si="47"/>
        <v>396.48</v>
      </c>
      <c r="AA591" t="s">
        <v>679</v>
      </c>
      <c r="AC591" s="5">
        <v>5</v>
      </c>
      <c r="AE591" t="str">
        <f t="shared" si="48"/>
        <v>2024-01</v>
      </c>
      <c r="AF591" t="str">
        <f t="shared" si="49"/>
        <v>Q1-2024</v>
      </c>
    </row>
    <row r="592" spans="1:32" x14ac:dyDescent="0.3">
      <c r="A592" t="s">
        <v>1866</v>
      </c>
      <c r="B592" s="5">
        <v>3</v>
      </c>
      <c r="C592" s="4">
        <v>45789</v>
      </c>
      <c r="D592" s="4">
        <v>45798</v>
      </c>
      <c r="E592" t="s">
        <v>556</v>
      </c>
      <c r="F592" t="s">
        <v>557</v>
      </c>
      <c r="G592" t="s">
        <v>80</v>
      </c>
      <c r="H592" t="s">
        <v>23</v>
      </c>
      <c r="I592" t="s">
        <v>109</v>
      </c>
      <c r="J592" t="s">
        <v>1138</v>
      </c>
      <c r="K592" t="s">
        <v>1139</v>
      </c>
      <c r="L592" t="s">
        <v>733</v>
      </c>
      <c r="M592" t="s">
        <v>659</v>
      </c>
      <c r="N592" t="s">
        <v>713</v>
      </c>
      <c r="O592" t="s">
        <v>734</v>
      </c>
      <c r="P592" t="s">
        <v>29</v>
      </c>
      <c r="Q592" t="s">
        <v>30</v>
      </c>
      <c r="R592" t="s">
        <v>1088</v>
      </c>
      <c r="S592" t="s">
        <v>1109</v>
      </c>
      <c r="T592" s="5">
        <v>3</v>
      </c>
      <c r="U592" s="6">
        <v>7.8</v>
      </c>
      <c r="V592" s="6">
        <v>5</v>
      </c>
      <c r="W592" s="8">
        <v>0.26669999999999999</v>
      </c>
      <c r="X592" s="6">
        <f t="shared" si="45"/>
        <v>17.159220000000001</v>
      </c>
      <c r="Y592" s="6">
        <f t="shared" si="46"/>
        <v>15</v>
      </c>
      <c r="Z592" s="6">
        <f t="shared" si="47"/>
        <v>2.1592200000000012</v>
      </c>
      <c r="AA592" t="s">
        <v>679</v>
      </c>
      <c r="AC592" s="5">
        <v>2</v>
      </c>
      <c r="AD592" t="s">
        <v>1148</v>
      </c>
      <c r="AE592" t="str">
        <f t="shared" si="48"/>
        <v>2025-05</v>
      </c>
      <c r="AF592" t="str">
        <f t="shared" si="49"/>
        <v>Q2-2025</v>
      </c>
    </row>
    <row r="593" spans="1:32" x14ac:dyDescent="0.3">
      <c r="A593" t="s">
        <v>1867</v>
      </c>
      <c r="B593" s="5">
        <v>5</v>
      </c>
      <c r="C593" s="4">
        <v>45757</v>
      </c>
      <c r="D593" s="4">
        <v>45759</v>
      </c>
      <c r="E593" t="s">
        <v>322</v>
      </c>
      <c r="F593" t="s">
        <v>323</v>
      </c>
      <c r="G593" t="s">
        <v>104</v>
      </c>
      <c r="H593" t="s">
        <v>23</v>
      </c>
      <c r="I593" t="s">
        <v>93</v>
      </c>
      <c r="J593" t="s">
        <v>1450</v>
      </c>
      <c r="K593" t="s">
        <v>1506</v>
      </c>
      <c r="L593" t="s">
        <v>1009</v>
      </c>
      <c r="M593" t="s">
        <v>1002</v>
      </c>
      <c r="N593" t="s">
        <v>1003</v>
      </c>
      <c r="O593" t="s">
        <v>1010</v>
      </c>
      <c r="P593" t="s">
        <v>39</v>
      </c>
      <c r="Q593" t="s">
        <v>40</v>
      </c>
      <c r="R593" t="s">
        <v>1094</v>
      </c>
      <c r="S593" t="s">
        <v>1095</v>
      </c>
      <c r="T593" s="5">
        <v>33</v>
      </c>
      <c r="U593" s="6">
        <v>249.71</v>
      </c>
      <c r="V593" s="6">
        <v>126.23</v>
      </c>
      <c r="W593" s="8">
        <v>0</v>
      </c>
      <c r="X593" s="6">
        <f t="shared" si="45"/>
        <v>8240.43</v>
      </c>
      <c r="Y593" s="6">
        <f t="shared" si="46"/>
        <v>4165.59</v>
      </c>
      <c r="Z593" s="6">
        <f t="shared" si="47"/>
        <v>4074.84</v>
      </c>
      <c r="AA593" t="s">
        <v>679</v>
      </c>
      <c r="AC593" s="5">
        <v>2</v>
      </c>
      <c r="AD593" t="s">
        <v>1110</v>
      </c>
      <c r="AE593" t="str">
        <f t="shared" si="48"/>
        <v>2025-04</v>
      </c>
      <c r="AF593" t="str">
        <f t="shared" si="49"/>
        <v>Q2-2025</v>
      </c>
    </row>
    <row r="594" spans="1:32" x14ac:dyDescent="0.3">
      <c r="A594" t="s">
        <v>1868</v>
      </c>
      <c r="B594" s="5">
        <v>1</v>
      </c>
      <c r="C594" s="4">
        <v>45486</v>
      </c>
      <c r="D594" s="4">
        <v>45489</v>
      </c>
      <c r="E594" t="s">
        <v>68</v>
      </c>
      <c r="F594" t="s">
        <v>69</v>
      </c>
      <c r="G594" t="s">
        <v>65</v>
      </c>
      <c r="H594" t="s">
        <v>23</v>
      </c>
      <c r="I594" t="s">
        <v>93</v>
      </c>
      <c r="J594" t="s">
        <v>1294</v>
      </c>
      <c r="K594" t="s">
        <v>1373</v>
      </c>
      <c r="L594" t="s">
        <v>904</v>
      </c>
      <c r="M594" t="s">
        <v>795</v>
      </c>
      <c r="N594" t="s">
        <v>898</v>
      </c>
      <c r="O594" t="s">
        <v>905</v>
      </c>
      <c r="P594" t="s">
        <v>34</v>
      </c>
      <c r="Q594" t="s">
        <v>35</v>
      </c>
      <c r="R594" t="s">
        <v>1088</v>
      </c>
      <c r="S594" t="s">
        <v>1109</v>
      </c>
      <c r="T594" s="5">
        <v>1</v>
      </c>
      <c r="U594" s="6">
        <v>332.83</v>
      </c>
      <c r="V594" s="6">
        <v>186.51</v>
      </c>
      <c r="W594" s="8">
        <v>0.30640000000000001</v>
      </c>
      <c r="X594" s="6">
        <f t="shared" si="45"/>
        <v>230.850888</v>
      </c>
      <c r="Y594" s="6">
        <f t="shared" si="46"/>
        <v>186.51</v>
      </c>
      <c r="Z594" s="6">
        <f t="shared" si="47"/>
        <v>44.340888000000007</v>
      </c>
      <c r="AA594" t="s">
        <v>679</v>
      </c>
      <c r="AC594" s="5">
        <v>5</v>
      </c>
      <c r="AD594" t="s">
        <v>1123</v>
      </c>
      <c r="AE594" t="str">
        <f t="shared" si="48"/>
        <v>2024-07</v>
      </c>
      <c r="AF594" t="str">
        <f t="shared" si="49"/>
        <v>Q3-2024</v>
      </c>
    </row>
    <row r="595" spans="1:32" x14ac:dyDescent="0.3">
      <c r="A595" t="s">
        <v>1869</v>
      </c>
      <c r="B595" s="5">
        <v>4</v>
      </c>
      <c r="C595" s="4">
        <v>45392</v>
      </c>
      <c r="D595" s="4">
        <v>45396</v>
      </c>
      <c r="E595" t="s">
        <v>320</v>
      </c>
      <c r="F595" t="s">
        <v>321</v>
      </c>
      <c r="G595" t="s">
        <v>104</v>
      </c>
      <c r="H595" t="s">
        <v>31</v>
      </c>
      <c r="I595" t="s">
        <v>127</v>
      </c>
      <c r="J595" t="s">
        <v>1116</v>
      </c>
      <c r="K595" t="s">
        <v>1153</v>
      </c>
      <c r="L595" t="s">
        <v>704</v>
      </c>
      <c r="M595" t="s">
        <v>659</v>
      </c>
      <c r="N595" t="s">
        <v>660</v>
      </c>
      <c r="O595" t="s">
        <v>705</v>
      </c>
      <c r="P595" t="s">
        <v>42</v>
      </c>
      <c r="Q595" t="s">
        <v>43</v>
      </c>
      <c r="R595" t="s">
        <v>1094</v>
      </c>
      <c r="S595" t="s">
        <v>1109</v>
      </c>
      <c r="T595" s="5">
        <v>13</v>
      </c>
      <c r="U595" s="6">
        <v>172.66</v>
      </c>
      <c r="V595" s="6">
        <v>88.5</v>
      </c>
      <c r="W595" s="8">
        <v>0</v>
      </c>
      <c r="X595" s="6">
        <f t="shared" si="45"/>
        <v>2244.58</v>
      </c>
      <c r="Y595" s="6">
        <f t="shared" si="46"/>
        <v>1150.5</v>
      </c>
      <c r="Z595" s="6">
        <f t="shared" si="47"/>
        <v>1094.08</v>
      </c>
      <c r="AA595" t="s">
        <v>679</v>
      </c>
      <c r="AC595" s="5">
        <v>3</v>
      </c>
      <c r="AD595" t="s">
        <v>1231</v>
      </c>
      <c r="AE595" t="str">
        <f t="shared" si="48"/>
        <v>2024-04</v>
      </c>
      <c r="AF595" t="str">
        <f t="shared" si="49"/>
        <v>Q2-2024</v>
      </c>
    </row>
    <row r="596" spans="1:32" x14ac:dyDescent="0.3">
      <c r="A596" t="s">
        <v>1870</v>
      </c>
      <c r="B596" s="5">
        <v>1</v>
      </c>
      <c r="C596" s="4">
        <v>45765</v>
      </c>
      <c r="D596" s="4">
        <v>45778</v>
      </c>
      <c r="E596" t="s">
        <v>267</v>
      </c>
      <c r="F596" t="s">
        <v>268</v>
      </c>
      <c r="G596" t="s">
        <v>80</v>
      </c>
      <c r="H596" t="s">
        <v>23</v>
      </c>
      <c r="I596" t="s">
        <v>109</v>
      </c>
      <c r="J596" t="s">
        <v>1138</v>
      </c>
      <c r="K596" t="s">
        <v>1371</v>
      </c>
      <c r="L596" t="s">
        <v>1054</v>
      </c>
      <c r="M596" t="s">
        <v>1002</v>
      </c>
      <c r="N596" t="s">
        <v>1034</v>
      </c>
      <c r="O596" t="s">
        <v>1055</v>
      </c>
      <c r="P596" t="s">
        <v>42</v>
      </c>
      <c r="Q596" t="s">
        <v>43</v>
      </c>
      <c r="R596" t="s">
        <v>1088</v>
      </c>
      <c r="S596" t="s">
        <v>1089</v>
      </c>
      <c r="T596" s="5">
        <v>9</v>
      </c>
      <c r="U596" s="6">
        <v>244.68</v>
      </c>
      <c r="V596" s="6">
        <v>167.38</v>
      </c>
      <c r="W596" s="8">
        <v>0.1628</v>
      </c>
      <c r="X596" s="6">
        <f t="shared" si="45"/>
        <v>1843.6148639999999</v>
      </c>
      <c r="Y596" s="6">
        <f t="shared" si="46"/>
        <v>1506.42</v>
      </c>
      <c r="Z596" s="6">
        <f t="shared" si="47"/>
        <v>337.19486399999982</v>
      </c>
      <c r="AA596" t="s">
        <v>679</v>
      </c>
      <c r="AC596" s="5">
        <v>1</v>
      </c>
      <c r="AD596" t="s">
        <v>1105</v>
      </c>
      <c r="AE596" t="str">
        <f t="shared" si="48"/>
        <v>2025-04</v>
      </c>
      <c r="AF596" t="str">
        <f t="shared" si="49"/>
        <v>Q2-2025</v>
      </c>
    </row>
    <row r="597" spans="1:32" x14ac:dyDescent="0.3">
      <c r="A597" t="s">
        <v>1871</v>
      </c>
      <c r="B597" s="5">
        <v>1</v>
      </c>
      <c r="C597" s="4">
        <v>46022</v>
      </c>
      <c r="D597" s="4">
        <v>46023</v>
      </c>
      <c r="E597" t="s">
        <v>310</v>
      </c>
      <c r="F597" t="s">
        <v>311</v>
      </c>
      <c r="G597" t="s">
        <v>84</v>
      </c>
      <c r="H597" t="s">
        <v>31</v>
      </c>
      <c r="I597" t="s">
        <v>67</v>
      </c>
      <c r="J597" t="s">
        <v>1304</v>
      </c>
      <c r="K597" t="s">
        <v>1342</v>
      </c>
      <c r="L597" t="s">
        <v>830</v>
      </c>
      <c r="M597" t="s">
        <v>795</v>
      </c>
      <c r="N597" t="s">
        <v>796</v>
      </c>
      <c r="O597" t="s">
        <v>831</v>
      </c>
      <c r="P597" t="s">
        <v>21</v>
      </c>
      <c r="Q597" t="s">
        <v>22</v>
      </c>
      <c r="R597" t="s">
        <v>1088</v>
      </c>
      <c r="S597" t="s">
        <v>1089</v>
      </c>
      <c r="T597" s="5">
        <v>18</v>
      </c>
      <c r="U597" s="6">
        <v>168.81</v>
      </c>
      <c r="V597" s="6">
        <v>121.11</v>
      </c>
      <c r="W597" s="8">
        <v>8.4199999999999997E-2</v>
      </c>
      <c r="X597" s="6">
        <f t="shared" si="45"/>
        <v>2782.7315639999997</v>
      </c>
      <c r="Y597" s="6">
        <f t="shared" si="46"/>
        <v>2179.98</v>
      </c>
      <c r="Z597" s="6">
        <f t="shared" si="47"/>
        <v>602.75156399999969</v>
      </c>
      <c r="AA597" t="s">
        <v>679</v>
      </c>
      <c r="AC597" s="5">
        <v>2</v>
      </c>
      <c r="AD597" t="s">
        <v>1105</v>
      </c>
      <c r="AE597" t="str">
        <f t="shared" si="48"/>
        <v>2025-12</v>
      </c>
      <c r="AF597" t="str">
        <f t="shared" si="49"/>
        <v>Q4-2025</v>
      </c>
    </row>
    <row r="598" spans="1:32" x14ac:dyDescent="0.3">
      <c r="A598" t="s">
        <v>1872</v>
      </c>
      <c r="B598" s="5">
        <v>5</v>
      </c>
      <c r="C598" s="4">
        <v>45711</v>
      </c>
      <c r="D598" s="4">
        <v>45713</v>
      </c>
      <c r="E598" t="s">
        <v>538</v>
      </c>
      <c r="F598" t="s">
        <v>539</v>
      </c>
      <c r="G598" t="s">
        <v>74</v>
      </c>
      <c r="H598" t="s">
        <v>23</v>
      </c>
      <c r="I598" t="s">
        <v>81</v>
      </c>
      <c r="J598" t="s">
        <v>1119</v>
      </c>
      <c r="K598" t="s">
        <v>1291</v>
      </c>
      <c r="L598" t="s">
        <v>887</v>
      </c>
      <c r="M598" t="s">
        <v>795</v>
      </c>
      <c r="N598" t="s">
        <v>837</v>
      </c>
      <c r="O598" t="s">
        <v>888</v>
      </c>
      <c r="P598" t="s">
        <v>39</v>
      </c>
      <c r="Q598" t="s">
        <v>40</v>
      </c>
      <c r="R598" t="s">
        <v>1094</v>
      </c>
      <c r="S598" t="s">
        <v>1089</v>
      </c>
      <c r="T598" s="5">
        <v>16</v>
      </c>
      <c r="U598" s="6">
        <v>161.1</v>
      </c>
      <c r="V598" s="6">
        <v>111.35</v>
      </c>
      <c r="W598" s="8">
        <v>0.2379</v>
      </c>
      <c r="X598" s="6">
        <f t="shared" si="45"/>
        <v>1964.38896</v>
      </c>
      <c r="Y598" s="6">
        <f t="shared" si="46"/>
        <v>1781.6</v>
      </c>
      <c r="Z598" s="6">
        <f t="shared" si="47"/>
        <v>182.78896000000009</v>
      </c>
      <c r="AA598" t="s">
        <v>679</v>
      </c>
      <c r="AC598" s="5">
        <v>1</v>
      </c>
      <c r="AD598" t="s">
        <v>1136</v>
      </c>
      <c r="AE598" t="str">
        <f t="shared" si="48"/>
        <v>2025-02</v>
      </c>
      <c r="AF598" t="str">
        <f t="shared" si="49"/>
        <v>Q1-2025</v>
      </c>
    </row>
    <row r="599" spans="1:32" x14ac:dyDescent="0.3">
      <c r="A599" t="s">
        <v>1873</v>
      </c>
      <c r="B599" s="5">
        <v>3</v>
      </c>
      <c r="C599" s="4">
        <v>45761</v>
      </c>
      <c r="D599" s="4">
        <v>45774</v>
      </c>
      <c r="E599" t="s">
        <v>532</v>
      </c>
      <c r="F599" t="s">
        <v>533</v>
      </c>
      <c r="G599" t="s">
        <v>80</v>
      </c>
      <c r="H599" t="s">
        <v>41</v>
      </c>
      <c r="I599" t="s">
        <v>86</v>
      </c>
      <c r="J599" t="s">
        <v>1086</v>
      </c>
      <c r="K599" t="s">
        <v>1234</v>
      </c>
      <c r="L599" t="s">
        <v>671</v>
      </c>
      <c r="M599" t="s">
        <v>659</v>
      </c>
      <c r="N599" t="s">
        <v>660</v>
      </c>
      <c r="O599" t="s">
        <v>672</v>
      </c>
      <c r="P599" t="s">
        <v>21</v>
      </c>
      <c r="Q599" t="s">
        <v>22</v>
      </c>
      <c r="R599" t="s">
        <v>1088</v>
      </c>
      <c r="S599" t="s">
        <v>1089</v>
      </c>
      <c r="T599" s="5">
        <v>27</v>
      </c>
      <c r="U599" s="6">
        <v>13.11</v>
      </c>
      <c r="V599" s="6">
        <v>10.62</v>
      </c>
      <c r="W599" s="8">
        <v>0</v>
      </c>
      <c r="X599" s="6">
        <f t="shared" si="45"/>
        <v>353.96999999999997</v>
      </c>
      <c r="Y599" s="6">
        <f t="shared" si="46"/>
        <v>286.73999999999995</v>
      </c>
      <c r="Z599" s="6">
        <f t="shared" si="47"/>
        <v>67.230000000000018</v>
      </c>
      <c r="AA599" t="s">
        <v>679</v>
      </c>
      <c r="AC599" s="5">
        <v>1</v>
      </c>
      <c r="AD599" t="s">
        <v>1101</v>
      </c>
      <c r="AE599" t="str">
        <f t="shared" si="48"/>
        <v>2025-04</v>
      </c>
      <c r="AF599" t="str">
        <f t="shared" si="49"/>
        <v>Q2-2025</v>
      </c>
    </row>
    <row r="600" spans="1:32" x14ac:dyDescent="0.3">
      <c r="A600" t="s">
        <v>1874</v>
      </c>
      <c r="B600" s="5">
        <v>5</v>
      </c>
      <c r="C600" s="4">
        <v>45674</v>
      </c>
      <c r="D600" s="4">
        <v>45688</v>
      </c>
      <c r="E600" t="s">
        <v>158</v>
      </c>
      <c r="F600" t="s">
        <v>159</v>
      </c>
      <c r="G600" t="s">
        <v>84</v>
      </c>
      <c r="H600" t="s">
        <v>41</v>
      </c>
      <c r="I600" t="s">
        <v>75</v>
      </c>
      <c r="J600" t="s">
        <v>1142</v>
      </c>
      <c r="K600" t="s">
        <v>1143</v>
      </c>
      <c r="L600" t="s">
        <v>826</v>
      </c>
      <c r="M600" t="s">
        <v>795</v>
      </c>
      <c r="N600" t="s">
        <v>796</v>
      </c>
      <c r="O600" t="s">
        <v>827</v>
      </c>
      <c r="P600" t="s">
        <v>21</v>
      </c>
      <c r="Q600" t="s">
        <v>22</v>
      </c>
      <c r="R600" t="s">
        <v>1094</v>
      </c>
      <c r="S600" t="s">
        <v>1095</v>
      </c>
      <c r="T600" s="5">
        <v>23</v>
      </c>
      <c r="U600" s="6">
        <v>166.31</v>
      </c>
      <c r="V600" s="6">
        <v>127.08</v>
      </c>
      <c r="W600" s="8">
        <v>0</v>
      </c>
      <c r="X600" s="6">
        <f t="shared" si="45"/>
        <v>3825.13</v>
      </c>
      <c r="Y600" s="6">
        <f t="shared" si="46"/>
        <v>2922.84</v>
      </c>
      <c r="Z600" s="6">
        <f t="shared" si="47"/>
        <v>902.29</v>
      </c>
      <c r="AA600" t="s">
        <v>679</v>
      </c>
      <c r="AC600" s="5"/>
      <c r="AD600" t="s">
        <v>1101</v>
      </c>
      <c r="AE600" t="str">
        <f t="shared" si="48"/>
        <v>2025-01</v>
      </c>
      <c r="AF600" t="str">
        <f t="shared" si="49"/>
        <v>Q1-2025</v>
      </c>
    </row>
    <row r="601" spans="1:32" x14ac:dyDescent="0.3">
      <c r="A601" t="s">
        <v>1875</v>
      </c>
      <c r="B601" s="5">
        <v>5</v>
      </c>
      <c r="C601" s="4">
        <v>45709</v>
      </c>
      <c r="D601" s="4">
        <v>45711</v>
      </c>
      <c r="E601" t="s">
        <v>261</v>
      </c>
      <c r="F601" t="s">
        <v>262</v>
      </c>
      <c r="G601" t="s">
        <v>80</v>
      </c>
      <c r="H601" t="s">
        <v>20</v>
      </c>
      <c r="I601" t="s">
        <v>90</v>
      </c>
      <c r="J601" t="s">
        <v>1262</v>
      </c>
      <c r="K601" t="s">
        <v>1263</v>
      </c>
      <c r="L601" t="s">
        <v>932</v>
      </c>
      <c r="M601" t="s">
        <v>929</v>
      </c>
      <c r="N601" t="s">
        <v>930</v>
      </c>
      <c r="O601" t="s">
        <v>933</v>
      </c>
      <c r="P601" t="s">
        <v>42</v>
      </c>
      <c r="Q601" t="s">
        <v>43</v>
      </c>
      <c r="R601" t="s">
        <v>1088</v>
      </c>
      <c r="S601" t="s">
        <v>1109</v>
      </c>
      <c r="T601" s="5">
        <v>23</v>
      </c>
      <c r="U601" s="6">
        <v>194.27</v>
      </c>
      <c r="V601" s="6">
        <v>136.69</v>
      </c>
      <c r="W601" s="8">
        <v>0</v>
      </c>
      <c r="X601" s="6">
        <f t="shared" si="45"/>
        <v>4468.21</v>
      </c>
      <c r="Y601" s="6">
        <f t="shared" si="46"/>
        <v>3143.87</v>
      </c>
      <c r="Z601" s="6">
        <f t="shared" si="47"/>
        <v>1324.3400000000001</v>
      </c>
      <c r="AA601" t="s">
        <v>679</v>
      </c>
      <c r="AC601" s="5">
        <v>3</v>
      </c>
      <c r="AD601" t="s">
        <v>1136</v>
      </c>
      <c r="AE601" t="str">
        <f t="shared" si="48"/>
        <v>2025-02</v>
      </c>
      <c r="AF601" t="str">
        <f t="shared" si="49"/>
        <v>Q1-2025</v>
      </c>
    </row>
    <row r="602" spans="1:32" x14ac:dyDescent="0.3">
      <c r="A602" t="s">
        <v>1876</v>
      </c>
      <c r="B602" s="5">
        <v>3</v>
      </c>
      <c r="C602" s="4">
        <v>45742</v>
      </c>
      <c r="D602" s="4">
        <v>45754</v>
      </c>
      <c r="E602" t="s">
        <v>68</v>
      </c>
      <c r="F602" t="s">
        <v>69</v>
      </c>
      <c r="G602" t="s">
        <v>65</v>
      </c>
      <c r="H602" t="s">
        <v>20</v>
      </c>
      <c r="I602" t="s">
        <v>90</v>
      </c>
      <c r="J602" t="s">
        <v>1262</v>
      </c>
      <c r="K602" t="s">
        <v>1263</v>
      </c>
      <c r="L602" t="s">
        <v>658</v>
      </c>
      <c r="M602" t="s">
        <v>659</v>
      </c>
      <c r="N602" t="s">
        <v>660</v>
      </c>
      <c r="O602" t="s">
        <v>661</v>
      </c>
      <c r="P602" t="s">
        <v>46</v>
      </c>
      <c r="Q602" t="s">
        <v>47</v>
      </c>
      <c r="R602" t="s">
        <v>1094</v>
      </c>
      <c r="S602" t="s">
        <v>1100</v>
      </c>
      <c r="T602" s="5">
        <v>2</v>
      </c>
      <c r="U602" s="6">
        <v>22.66</v>
      </c>
      <c r="V602" s="6">
        <v>15.75</v>
      </c>
      <c r="W602" s="8">
        <v>0</v>
      </c>
      <c r="X602" s="6">
        <f t="shared" si="45"/>
        <v>45.32</v>
      </c>
      <c r="Y602" s="6">
        <f t="shared" si="46"/>
        <v>31.5</v>
      </c>
      <c r="Z602" s="6">
        <f t="shared" si="47"/>
        <v>13.82</v>
      </c>
      <c r="AA602" t="s">
        <v>679</v>
      </c>
      <c r="AC602" s="5">
        <v>4</v>
      </c>
      <c r="AD602" t="s">
        <v>1553</v>
      </c>
      <c r="AE602" t="str">
        <f t="shared" si="48"/>
        <v>2025-03</v>
      </c>
      <c r="AF602" t="str">
        <f t="shared" si="49"/>
        <v>Q1-2025</v>
      </c>
    </row>
    <row r="603" spans="1:32" x14ac:dyDescent="0.3">
      <c r="A603" t="s">
        <v>1877</v>
      </c>
      <c r="B603" s="5">
        <v>4</v>
      </c>
      <c r="C603" s="4">
        <v>45478</v>
      </c>
      <c r="D603" s="4">
        <v>45486</v>
      </c>
      <c r="E603" t="s">
        <v>626</v>
      </c>
      <c r="F603" t="s">
        <v>627</v>
      </c>
      <c r="G603" t="s">
        <v>84</v>
      </c>
      <c r="H603" t="s">
        <v>31</v>
      </c>
      <c r="I603" t="s">
        <v>160</v>
      </c>
      <c r="J603" t="s">
        <v>1092</v>
      </c>
      <c r="K603" t="s">
        <v>1135</v>
      </c>
      <c r="L603" t="s">
        <v>690</v>
      </c>
      <c r="M603" t="s">
        <v>659</v>
      </c>
      <c r="N603" t="s">
        <v>660</v>
      </c>
      <c r="O603" t="s">
        <v>691</v>
      </c>
      <c r="P603" t="s">
        <v>21</v>
      </c>
      <c r="Q603" t="s">
        <v>22</v>
      </c>
      <c r="R603" t="s">
        <v>1094</v>
      </c>
      <c r="S603" t="s">
        <v>1156</v>
      </c>
      <c r="T603" s="5">
        <v>5</v>
      </c>
      <c r="U603" s="6">
        <v>103.01</v>
      </c>
      <c r="V603" s="6">
        <v>57.12</v>
      </c>
      <c r="W603" s="8"/>
      <c r="X603" s="6">
        <f t="shared" si="45"/>
        <v>515.05000000000007</v>
      </c>
      <c r="Y603" s="6">
        <f t="shared" si="46"/>
        <v>285.59999999999997</v>
      </c>
      <c r="Z603" s="6">
        <f t="shared" si="47"/>
        <v>229.4500000000001</v>
      </c>
      <c r="AA603" t="s">
        <v>679</v>
      </c>
      <c r="AC603" s="5"/>
      <c r="AD603" t="s">
        <v>1136</v>
      </c>
      <c r="AE603" t="str">
        <f t="shared" si="48"/>
        <v>2024-07</v>
      </c>
      <c r="AF603" t="str">
        <f t="shared" si="49"/>
        <v>Q3-2024</v>
      </c>
    </row>
    <row r="604" spans="1:32" x14ac:dyDescent="0.3">
      <c r="A604" t="s">
        <v>1878</v>
      </c>
      <c r="B604" s="5">
        <v>1</v>
      </c>
      <c r="C604" s="4">
        <v>45390</v>
      </c>
      <c r="D604" s="4">
        <v>45391</v>
      </c>
      <c r="E604" t="s">
        <v>63</v>
      </c>
      <c r="F604" t="s">
        <v>64</v>
      </c>
      <c r="G604" t="s">
        <v>65</v>
      </c>
      <c r="H604" t="s">
        <v>20</v>
      </c>
      <c r="I604" t="s">
        <v>112</v>
      </c>
      <c r="J604" t="s">
        <v>1201</v>
      </c>
      <c r="K604" t="s">
        <v>1221</v>
      </c>
      <c r="L604" t="s">
        <v>706</v>
      </c>
      <c r="M604" t="s">
        <v>659</v>
      </c>
      <c r="N604" t="s">
        <v>660</v>
      </c>
      <c r="O604" t="s">
        <v>707</v>
      </c>
      <c r="P604" t="s">
        <v>32</v>
      </c>
      <c r="Q604" t="s">
        <v>33</v>
      </c>
      <c r="R604" t="s">
        <v>1088</v>
      </c>
      <c r="S604" t="s">
        <v>1109</v>
      </c>
      <c r="T604" s="5">
        <v>44</v>
      </c>
      <c r="U604" s="6">
        <v>78.930000000000007</v>
      </c>
      <c r="V604" s="6">
        <v>51.44</v>
      </c>
      <c r="W604" s="8">
        <v>0.28960000000000002</v>
      </c>
      <c r="X604" s="6">
        <f t="shared" si="45"/>
        <v>2467.1623679999998</v>
      </c>
      <c r="Y604" s="6">
        <f t="shared" si="46"/>
        <v>2263.3599999999997</v>
      </c>
      <c r="Z604" s="6">
        <f t="shared" si="47"/>
        <v>203.80236800000011</v>
      </c>
      <c r="AA604" t="s">
        <v>679</v>
      </c>
      <c r="AC604" s="5">
        <v>2</v>
      </c>
      <c r="AE604" t="str">
        <f t="shared" si="48"/>
        <v>2024-04</v>
      </c>
      <c r="AF604" t="str">
        <f t="shared" si="49"/>
        <v>Q2-2024</v>
      </c>
    </row>
    <row r="605" spans="1:32" x14ac:dyDescent="0.3">
      <c r="A605" t="s">
        <v>1879</v>
      </c>
      <c r="B605" s="5">
        <v>4</v>
      </c>
      <c r="C605" s="4">
        <v>45904</v>
      </c>
      <c r="D605" s="4">
        <v>45909</v>
      </c>
      <c r="E605" t="s">
        <v>72</v>
      </c>
      <c r="F605" t="s">
        <v>73</v>
      </c>
      <c r="G605" t="s">
        <v>74</v>
      </c>
      <c r="H605" t="s">
        <v>41</v>
      </c>
      <c r="I605" t="s">
        <v>75</v>
      </c>
      <c r="J605" t="s">
        <v>1142</v>
      </c>
      <c r="K605" t="s">
        <v>1143</v>
      </c>
      <c r="L605" t="s">
        <v>962</v>
      </c>
      <c r="M605" t="s">
        <v>929</v>
      </c>
      <c r="N605" t="s">
        <v>930</v>
      </c>
      <c r="O605" t="s">
        <v>963</v>
      </c>
      <c r="P605" t="s">
        <v>48</v>
      </c>
      <c r="Q605" t="s">
        <v>49</v>
      </c>
      <c r="R605" t="s">
        <v>1088</v>
      </c>
      <c r="S605" t="s">
        <v>1156</v>
      </c>
      <c r="T605" s="5">
        <v>22</v>
      </c>
      <c r="U605" s="6">
        <v>175.79</v>
      </c>
      <c r="V605" s="6">
        <v>108.41</v>
      </c>
      <c r="W605" s="8">
        <v>0</v>
      </c>
      <c r="X605" s="6">
        <f t="shared" si="45"/>
        <v>3867.3799999999997</v>
      </c>
      <c r="Y605" s="6">
        <f t="shared" si="46"/>
        <v>2385.02</v>
      </c>
      <c r="Z605" s="6">
        <f t="shared" si="47"/>
        <v>1482.3599999999997</v>
      </c>
      <c r="AA605" t="s">
        <v>679</v>
      </c>
      <c r="AC605" s="5">
        <v>2</v>
      </c>
      <c r="AD605" t="s">
        <v>1096</v>
      </c>
      <c r="AE605" t="str">
        <f t="shared" si="48"/>
        <v>2025-09</v>
      </c>
      <c r="AF605" t="str">
        <f t="shared" si="49"/>
        <v>Q3-2025</v>
      </c>
    </row>
    <row r="606" spans="1:32" x14ac:dyDescent="0.3">
      <c r="A606" t="s">
        <v>1880</v>
      </c>
      <c r="B606" s="5">
        <v>1</v>
      </c>
      <c r="C606" s="4">
        <v>45720</v>
      </c>
      <c r="D606" s="4">
        <v>45733</v>
      </c>
      <c r="E606" t="s">
        <v>588</v>
      </c>
      <c r="F606" t="s">
        <v>589</v>
      </c>
      <c r="G606" t="s">
        <v>104</v>
      </c>
      <c r="H606" t="s">
        <v>20</v>
      </c>
      <c r="I606" t="s">
        <v>112</v>
      </c>
      <c r="J606" t="s">
        <v>1201</v>
      </c>
      <c r="K606" t="s">
        <v>1250</v>
      </c>
      <c r="L606" t="s">
        <v>944</v>
      </c>
      <c r="M606" t="s">
        <v>929</v>
      </c>
      <c r="N606" t="s">
        <v>930</v>
      </c>
      <c r="O606" t="s">
        <v>945</v>
      </c>
      <c r="P606" t="s">
        <v>21</v>
      </c>
      <c r="Q606" t="s">
        <v>22</v>
      </c>
      <c r="R606" t="s">
        <v>1088</v>
      </c>
      <c r="S606" t="s">
        <v>1089</v>
      </c>
      <c r="T606" s="5">
        <v>9</v>
      </c>
      <c r="U606" s="6">
        <v>262.08</v>
      </c>
      <c r="V606" s="6">
        <v>210.38</v>
      </c>
      <c r="W606" s="8">
        <v>0.23910000000000001</v>
      </c>
      <c r="X606" s="6">
        <f t="shared" si="45"/>
        <v>1794.7500479999999</v>
      </c>
      <c r="Y606" s="6">
        <f t="shared" si="46"/>
        <v>1893.42</v>
      </c>
      <c r="Z606" s="6">
        <f t="shared" si="47"/>
        <v>-98.669952000000194</v>
      </c>
      <c r="AA606" t="s">
        <v>679</v>
      </c>
      <c r="AC606" s="5">
        <v>4</v>
      </c>
      <c r="AD606" t="s">
        <v>1140</v>
      </c>
      <c r="AE606" t="str">
        <f t="shared" si="48"/>
        <v>2025-03</v>
      </c>
      <c r="AF606" t="str">
        <f t="shared" si="49"/>
        <v>Q1-2025</v>
      </c>
    </row>
    <row r="607" spans="1:32" x14ac:dyDescent="0.3">
      <c r="A607" t="s">
        <v>1881</v>
      </c>
      <c r="B607" s="5">
        <v>3</v>
      </c>
      <c r="C607" s="4">
        <v>45833</v>
      </c>
      <c r="D607" s="4">
        <v>45845</v>
      </c>
      <c r="E607" t="s">
        <v>326</v>
      </c>
      <c r="F607" t="s">
        <v>327</v>
      </c>
      <c r="G607" t="s">
        <v>65</v>
      </c>
      <c r="H607" t="s">
        <v>31</v>
      </c>
      <c r="I607" t="s">
        <v>67</v>
      </c>
      <c r="J607" t="s">
        <v>1304</v>
      </c>
      <c r="K607" t="s">
        <v>1342</v>
      </c>
      <c r="L607" t="s">
        <v>692</v>
      </c>
      <c r="M607" t="s">
        <v>659</v>
      </c>
      <c r="N607" t="s">
        <v>660</v>
      </c>
      <c r="O607" t="s">
        <v>693</v>
      </c>
      <c r="P607" t="s">
        <v>34</v>
      </c>
      <c r="Q607" t="s">
        <v>35</v>
      </c>
      <c r="R607" t="s">
        <v>1114</v>
      </c>
      <c r="S607" t="s">
        <v>1100</v>
      </c>
      <c r="T607" s="5">
        <v>12</v>
      </c>
      <c r="U607" s="6">
        <v>8.33</v>
      </c>
      <c r="V607" s="6">
        <v>5</v>
      </c>
      <c r="W607" s="8">
        <v>0</v>
      </c>
      <c r="X607" s="6">
        <f t="shared" si="45"/>
        <v>99.960000000000008</v>
      </c>
      <c r="Y607" s="6">
        <f t="shared" si="46"/>
        <v>60</v>
      </c>
      <c r="Z607" s="6">
        <f t="shared" si="47"/>
        <v>39.960000000000008</v>
      </c>
      <c r="AA607" t="s">
        <v>679</v>
      </c>
      <c r="AC607" s="5">
        <v>5</v>
      </c>
      <c r="AD607" t="s">
        <v>1148</v>
      </c>
      <c r="AE607" t="str">
        <f t="shared" si="48"/>
        <v>2025-06</v>
      </c>
      <c r="AF607" t="str">
        <f t="shared" si="49"/>
        <v>Q2-2025</v>
      </c>
    </row>
    <row r="608" spans="1:32" x14ac:dyDescent="0.3">
      <c r="A608" t="s">
        <v>1882</v>
      </c>
      <c r="B608" s="5">
        <v>3</v>
      </c>
      <c r="C608" s="4">
        <v>45530</v>
      </c>
      <c r="D608" s="4">
        <v>45536</v>
      </c>
      <c r="E608" t="s">
        <v>383</v>
      </c>
      <c r="F608" t="s">
        <v>384</v>
      </c>
      <c r="G608" t="s">
        <v>65</v>
      </c>
      <c r="H608" t="s">
        <v>41</v>
      </c>
      <c r="I608" t="s">
        <v>86</v>
      </c>
      <c r="J608" t="s">
        <v>1086</v>
      </c>
      <c r="K608" t="s">
        <v>1087</v>
      </c>
      <c r="L608" t="s">
        <v>836</v>
      </c>
      <c r="M608" t="s">
        <v>795</v>
      </c>
      <c r="N608" t="s">
        <v>837</v>
      </c>
      <c r="O608" t="s">
        <v>838</v>
      </c>
      <c r="P608" t="s">
        <v>17</v>
      </c>
      <c r="Q608" t="s">
        <v>18</v>
      </c>
      <c r="R608" t="s">
        <v>1094</v>
      </c>
      <c r="S608" t="s">
        <v>1095</v>
      </c>
      <c r="T608" s="5">
        <v>8</v>
      </c>
      <c r="U608" s="6">
        <v>229.64</v>
      </c>
      <c r="V608" s="6">
        <v>145.32</v>
      </c>
      <c r="W608" s="8">
        <v>0</v>
      </c>
      <c r="X608" s="6">
        <f t="shared" si="45"/>
        <v>1837.12</v>
      </c>
      <c r="Y608" s="6">
        <f t="shared" si="46"/>
        <v>1162.56</v>
      </c>
      <c r="Z608" s="6">
        <f t="shared" si="47"/>
        <v>674.56</v>
      </c>
      <c r="AA608" t="s">
        <v>679</v>
      </c>
      <c r="AC608" s="5">
        <v>2</v>
      </c>
      <c r="AD608" t="s">
        <v>1148</v>
      </c>
      <c r="AE608" t="str">
        <f t="shared" si="48"/>
        <v>2024-08</v>
      </c>
      <c r="AF608" t="str">
        <f t="shared" si="49"/>
        <v>Q3-2024</v>
      </c>
    </row>
    <row r="609" spans="1:32" x14ac:dyDescent="0.3">
      <c r="A609" t="s">
        <v>1883</v>
      </c>
      <c r="B609" s="5">
        <v>1</v>
      </c>
      <c r="C609" s="4">
        <v>45905</v>
      </c>
      <c r="D609" s="4">
        <v>45905</v>
      </c>
      <c r="E609" t="s">
        <v>418</v>
      </c>
      <c r="F609" t="s">
        <v>419</v>
      </c>
      <c r="G609" t="s">
        <v>74</v>
      </c>
      <c r="H609" t="s">
        <v>31</v>
      </c>
      <c r="I609" t="s">
        <v>67</v>
      </c>
      <c r="J609" t="s">
        <v>1128</v>
      </c>
      <c r="K609" t="s">
        <v>1129</v>
      </c>
      <c r="L609" t="s">
        <v>993</v>
      </c>
      <c r="M609" t="s">
        <v>929</v>
      </c>
      <c r="N609" t="s">
        <v>971</v>
      </c>
      <c r="O609" t="s">
        <v>994</v>
      </c>
      <c r="P609" t="s">
        <v>46</v>
      </c>
      <c r="Q609" t="s">
        <v>47</v>
      </c>
      <c r="R609" t="s">
        <v>1088</v>
      </c>
      <c r="S609" t="s">
        <v>1109</v>
      </c>
      <c r="T609" s="5">
        <v>7</v>
      </c>
      <c r="U609" s="6">
        <v>263.95999999999998</v>
      </c>
      <c r="V609" s="6">
        <v>157.38</v>
      </c>
      <c r="W609" s="8">
        <v>0</v>
      </c>
      <c r="X609" s="6">
        <f t="shared" si="45"/>
        <v>1847.7199999999998</v>
      </c>
      <c r="Y609" s="6">
        <f t="shared" si="46"/>
        <v>1101.6599999999999</v>
      </c>
      <c r="Z609" s="6">
        <f t="shared" si="47"/>
        <v>746.06</v>
      </c>
      <c r="AA609" t="s">
        <v>679</v>
      </c>
      <c r="AC609" s="5"/>
      <c r="AD609" t="s">
        <v>1090</v>
      </c>
      <c r="AE609" t="str">
        <f t="shared" si="48"/>
        <v>2025-09</v>
      </c>
      <c r="AF609" t="str">
        <f t="shared" si="49"/>
        <v>Q3-2025</v>
      </c>
    </row>
    <row r="610" spans="1:32" x14ac:dyDescent="0.3">
      <c r="A610" t="s">
        <v>1884</v>
      </c>
      <c r="B610" s="5">
        <v>2</v>
      </c>
      <c r="C610" s="4">
        <v>45469</v>
      </c>
      <c r="D610" s="4">
        <v>45479</v>
      </c>
      <c r="E610" t="s">
        <v>453</v>
      </c>
      <c r="F610" t="s">
        <v>454</v>
      </c>
      <c r="G610" t="s">
        <v>65</v>
      </c>
      <c r="H610" t="s">
        <v>20</v>
      </c>
      <c r="I610" t="s">
        <v>112</v>
      </c>
      <c r="J610" t="s">
        <v>1158</v>
      </c>
      <c r="K610" t="s">
        <v>1416</v>
      </c>
      <c r="L610" t="s">
        <v>704</v>
      </c>
      <c r="M610" t="s">
        <v>659</v>
      </c>
      <c r="N610" t="s">
        <v>660</v>
      </c>
      <c r="O610" t="s">
        <v>705</v>
      </c>
      <c r="P610" t="s">
        <v>44</v>
      </c>
      <c r="Q610" t="s">
        <v>45</v>
      </c>
      <c r="R610" t="s">
        <v>1088</v>
      </c>
      <c r="S610" t="s">
        <v>1109</v>
      </c>
      <c r="T610" s="5">
        <v>3</v>
      </c>
      <c r="U610" s="6">
        <v>164.8</v>
      </c>
      <c r="V610" s="6">
        <v>88.5</v>
      </c>
      <c r="W610" s="8">
        <v>0</v>
      </c>
      <c r="X610" s="6">
        <f t="shared" si="45"/>
        <v>494.40000000000003</v>
      </c>
      <c r="Y610" s="6">
        <f t="shared" si="46"/>
        <v>265.5</v>
      </c>
      <c r="Z610" s="6">
        <f t="shared" si="47"/>
        <v>228.90000000000003</v>
      </c>
      <c r="AA610" t="s">
        <v>679</v>
      </c>
      <c r="AC610" s="5">
        <v>2</v>
      </c>
      <c r="AD610" t="s">
        <v>1105</v>
      </c>
      <c r="AE610" t="str">
        <f t="shared" si="48"/>
        <v>2024-06</v>
      </c>
      <c r="AF610" t="str">
        <f t="shared" si="49"/>
        <v>Q2-2024</v>
      </c>
    </row>
    <row r="611" spans="1:32" x14ac:dyDescent="0.3">
      <c r="A611" t="s">
        <v>1885</v>
      </c>
      <c r="B611" s="5">
        <v>1</v>
      </c>
      <c r="C611" s="4">
        <v>45377</v>
      </c>
      <c r="D611" s="4">
        <v>45382</v>
      </c>
      <c r="E611" t="s">
        <v>299</v>
      </c>
      <c r="F611" t="s">
        <v>300</v>
      </c>
      <c r="G611" t="s">
        <v>84</v>
      </c>
      <c r="H611" t="s">
        <v>20</v>
      </c>
      <c r="I611" t="s">
        <v>112</v>
      </c>
      <c r="J611" t="s">
        <v>1158</v>
      </c>
      <c r="K611" t="s">
        <v>1320</v>
      </c>
      <c r="L611" t="s">
        <v>995</v>
      </c>
      <c r="M611" t="s">
        <v>929</v>
      </c>
      <c r="N611" t="s">
        <v>971</v>
      </c>
      <c r="O611" t="s">
        <v>996</v>
      </c>
      <c r="P611" t="s">
        <v>53</v>
      </c>
      <c r="Q611" t="s">
        <v>54</v>
      </c>
      <c r="R611" t="s">
        <v>1114</v>
      </c>
      <c r="S611" t="s">
        <v>1109</v>
      </c>
      <c r="T611" s="5">
        <v>8</v>
      </c>
      <c r="U611" s="6">
        <v>253.5</v>
      </c>
      <c r="V611" s="6">
        <v>139.47</v>
      </c>
      <c r="W611" s="8">
        <v>0.29870000000000002</v>
      </c>
      <c r="X611" s="6">
        <f t="shared" si="45"/>
        <v>1422.2364</v>
      </c>
      <c r="Y611" s="6">
        <f t="shared" si="46"/>
        <v>1115.76</v>
      </c>
      <c r="Z611" s="6">
        <f t="shared" si="47"/>
        <v>306.47640000000001</v>
      </c>
      <c r="AA611" t="s">
        <v>662</v>
      </c>
      <c r="AB611" t="s">
        <v>1327</v>
      </c>
      <c r="AC611" s="5"/>
      <c r="AD611" t="s">
        <v>1096</v>
      </c>
      <c r="AE611" t="str">
        <f t="shared" si="48"/>
        <v>2024-03</v>
      </c>
      <c r="AF611" t="str">
        <f t="shared" si="49"/>
        <v>Q1-2024</v>
      </c>
    </row>
    <row r="612" spans="1:32" x14ac:dyDescent="0.3">
      <c r="A612" t="s">
        <v>1886</v>
      </c>
      <c r="B612" s="5">
        <v>2</v>
      </c>
      <c r="C612" s="4">
        <v>45979</v>
      </c>
      <c r="D612" s="4">
        <v>45991</v>
      </c>
      <c r="E612" t="s">
        <v>132</v>
      </c>
      <c r="F612" t="s">
        <v>133</v>
      </c>
      <c r="G612" t="s">
        <v>74</v>
      </c>
      <c r="H612" t="s">
        <v>23</v>
      </c>
      <c r="I612" t="s">
        <v>109</v>
      </c>
      <c r="J612" t="s">
        <v>1138</v>
      </c>
      <c r="K612" t="s">
        <v>1139</v>
      </c>
      <c r="L612" t="s">
        <v>989</v>
      </c>
      <c r="M612" t="s">
        <v>929</v>
      </c>
      <c r="N612" t="s">
        <v>971</v>
      </c>
      <c r="O612" t="s">
        <v>990</v>
      </c>
      <c r="P612" t="s">
        <v>27</v>
      </c>
      <c r="Q612" t="s">
        <v>28</v>
      </c>
      <c r="R612" t="s">
        <v>126</v>
      </c>
      <c r="S612" t="s">
        <v>1089</v>
      </c>
      <c r="T612" s="5">
        <v>1</v>
      </c>
      <c r="U612" s="6">
        <v>285.27999999999997</v>
      </c>
      <c r="V612" s="6">
        <v>177.7</v>
      </c>
      <c r="W612" s="8">
        <v>0</v>
      </c>
      <c r="X612" s="6">
        <f t="shared" si="45"/>
        <v>285.27999999999997</v>
      </c>
      <c r="Y612" s="6">
        <f t="shared" si="46"/>
        <v>177.7</v>
      </c>
      <c r="Z612" s="6">
        <f t="shared" si="47"/>
        <v>107.57999999999998</v>
      </c>
      <c r="AA612" t="s">
        <v>662</v>
      </c>
      <c r="AB612" t="s">
        <v>1414</v>
      </c>
      <c r="AC612" s="5">
        <v>4</v>
      </c>
      <c r="AE612" t="str">
        <f t="shared" si="48"/>
        <v>2025-11</v>
      </c>
      <c r="AF612" t="str">
        <f t="shared" si="49"/>
        <v>Q4-2025</v>
      </c>
    </row>
    <row r="613" spans="1:32" x14ac:dyDescent="0.3">
      <c r="A613" t="s">
        <v>1887</v>
      </c>
      <c r="B613" s="5">
        <v>3</v>
      </c>
      <c r="C613" s="4">
        <v>45362</v>
      </c>
      <c r="D613" s="4">
        <v>45363</v>
      </c>
      <c r="E613" t="s">
        <v>180</v>
      </c>
      <c r="F613" t="s">
        <v>181</v>
      </c>
      <c r="G613" t="s">
        <v>74</v>
      </c>
      <c r="H613" t="s">
        <v>20</v>
      </c>
      <c r="I613" t="s">
        <v>71</v>
      </c>
      <c r="J613" t="s">
        <v>1112</v>
      </c>
      <c r="K613" t="s">
        <v>1266</v>
      </c>
      <c r="L613" t="s">
        <v>985</v>
      </c>
      <c r="M613" t="s">
        <v>929</v>
      </c>
      <c r="N613" t="s">
        <v>971</v>
      </c>
      <c r="O613" t="s">
        <v>986</v>
      </c>
      <c r="P613" t="s">
        <v>53</v>
      </c>
      <c r="Q613" t="s">
        <v>54</v>
      </c>
      <c r="R613" t="s">
        <v>1088</v>
      </c>
      <c r="S613" t="s">
        <v>1156</v>
      </c>
      <c r="T613" s="5">
        <v>9</v>
      </c>
      <c r="U613" s="6">
        <v>100.47</v>
      </c>
      <c r="V613" s="6">
        <v>62.43</v>
      </c>
      <c r="W613" s="8">
        <v>3.5099999999999999E-2</v>
      </c>
      <c r="X613" s="6">
        <f t="shared" si="45"/>
        <v>872.49152700000002</v>
      </c>
      <c r="Y613" s="6">
        <f t="shared" si="46"/>
        <v>561.87</v>
      </c>
      <c r="Z613" s="6">
        <f t="shared" si="47"/>
        <v>310.62152700000001</v>
      </c>
      <c r="AA613" t="s">
        <v>679</v>
      </c>
      <c r="AC613" s="5">
        <v>4</v>
      </c>
      <c r="AD613" t="s">
        <v>1096</v>
      </c>
      <c r="AE613" t="str">
        <f t="shared" si="48"/>
        <v>2024-03</v>
      </c>
      <c r="AF613" t="str">
        <f t="shared" si="49"/>
        <v>Q1-2024</v>
      </c>
    </row>
    <row r="614" spans="1:32" x14ac:dyDescent="0.3">
      <c r="A614" t="s">
        <v>1888</v>
      </c>
      <c r="B614" s="5">
        <v>4</v>
      </c>
      <c r="C614" s="4">
        <v>45881</v>
      </c>
      <c r="D614" s="4">
        <v>45887</v>
      </c>
      <c r="E614" t="s">
        <v>617</v>
      </c>
      <c r="F614" t="s">
        <v>351</v>
      </c>
      <c r="G614" t="s">
        <v>74</v>
      </c>
      <c r="H614" t="s">
        <v>23</v>
      </c>
      <c r="I614" t="s">
        <v>93</v>
      </c>
      <c r="J614" t="s">
        <v>1294</v>
      </c>
      <c r="K614" t="s">
        <v>1373</v>
      </c>
      <c r="L614" t="s">
        <v>1040</v>
      </c>
      <c r="M614" t="s">
        <v>1002</v>
      </c>
      <c r="N614" t="s">
        <v>1034</v>
      </c>
      <c r="O614" t="s">
        <v>1041</v>
      </c>
      <c r="P614" t="s">
        <v>37</v>
      </c>
      <c r="Q614" t="s">
        <v>38</v>
      </c>
      <c r="R614" t="s">
        <v>1094</v>
      </c>
      <c r="S614" t="s">
        <v>1109</v>
      </c>
      <c r="T614" s="5">
        <v>22</v>
      </c>
      <c r="U614" s="6">
        <v>51.97</v>
      </c>
      <c r="V614" s="6">
        <v>35.729999999999997</v>
      </c>
      <c r="W614" s="8">
        <v>0</v>
      </c>
      <c r="X614" s="6">
        <f t="shared" si="45"/>
        <v>1143.3399999999999</v>
      </c>
      <c r="Y614" s="6">
        <f t="shared" si="46"/>
        <v>786.06</v>
      </c>
      <c r="Z614" s="6">
        <f t="shared" si="47"/>
        <v>357.28</v>
      </c>
      <c r="AA614" t="s">
        <v>679</v>
      </c>
      <c r="AC614" s="5"/>
      <c r="AD614" t="s">
        <v>1148</v>
      </c>
      <c r="AE614" t="str">
        <f t="shared" si="48"/>
        <v>2025-08</v>
      </c>
      <c r="AF614" t="str">
        <f t="shared" si="49"/>
        <v>Q3-2025</v>
      </c>
    </row>
    <row r="615" spans="1:32" x14ac:dyDescent="0.3">
      <c r="A615" t="s">
        <v>1889</v>
      </c>
      <c r="B615" s="5">
        <v>5</v>
      </c>
      <c r="C615" s="4">
        <v>46012</v>
      </c>
      <c r="D615" s="4">
        <v>46017</v>
      </c>
      <c r="E615" t="s">
        <v>98</v>
      </c>
      <c r="F615" t="s">
        <v>99</v>
      </c>
      <c r="G615" t="s">
        <v>84</v>
      </c>
      <c r="H615" t="s">
        <v>23</v>
      </c>
      <c r="I615" t="s">
        <v>109</v>
      </c>
      <c r="J615" t="s">
        <v>1138</v>
      </c>
      <c r="K615" t="s">
        <v>1371</v>
      </c>
      <c r="L615" t="s">
        <v>859</v>
      </c>
      <c r="M615" t="s">
        <v>795</v>
      </c>
      <c r="N615" t="s">
        <v>837</v>
      </c>
      <c r="O615" t="s">
        <v>860</v>
      </c>
      <c r="P615" t="s">
        <v>48</v>
      </c>
      <c r="Q615" t="s">
        <v>49</v>
      </c>
      <c r="R615" t="s">
        <v>1114</v>
      </c>
      <c r="S615" t="s">
        <v>1109</v>
      </c>
      <c r="T615" s="5">
        <v>9</v>
      </c>
      <c r="U615" s="6">
        <v>109.65</v>
      </c>
      <c r="V615" s="6">
        <v>61.5</v>
      </c>
      <c r="W615" s="8">
        <v>9.01E-2</v>
      </c>
      <c r="X615" s="6">
        <f t="shared" si="45"/>
        <v>897.93481500000007</v>
      </c>
      <c r="Y615" s="6">
        <f t="shared" si="46"/>
        <v>553.5</v>
      </c>
      <c r="Z615" s="6">
        <f t="shared" si="47"/>
        <v>344.43481500000007</v>
      </c>
      <c r="AA615" t="s">
        <v>679</v>
      </c>
      <c r="AC615" s="5">
        <v>4</v>
      </c>
      <c r="AD615" t="s">
        <v>1110</v>
      </c>
      <c r="AE615" t="str">
        <f t="shared" si="48"/>
        <v>2025-12</v>
      </c>
      <c r="AF615" t="str">
        <f t="shared" si="49"/>
        <v>Q4-2025</v>
      </c>
    </row>
    <row r="616" spans="1:32" x14ac:dyDescent="0.3">
      <c r="A616" t="s">
        <v>1890</v>
      </c>
      <c r="B616" s="5">
        <v>3</v>
      </c>
      <c r="C616" s="4">
        <v>45485</v>
      </c>
      <c r="D616" s="4">
        <v>45494</v>
      </c>
      <c r="E616" t="s">
        <v>271</v>
      </c>
      <c r="F616" t="s">
        <v>272</v>
      </c>
      <c r="G616" t="s">
        <v>65</v>
      </c>
      <c r="H616" t="s">
        <v>20</v>
      </c>
      <c r="I616" t="s">
        <v>90</v>
      </c>
      <c r="J616" t="s">
        <v>1171</v>
      </c>
      <c r="K616" t="s">
        <v>1183</v>
      </c>
      <c r="L616" t="s">
        <v>834</v>
      </c>
      <c r="M616" t="s">
        <v>795</v>
      </c>
      <c r="N616" t="s">
        <v>796</v>
      </c>
      <c r="O616" t="s">
        <v>835</v>
      </c>
      <c r="P616" t="s">
        <v>50</v>
      </c>
      <c r="Q616" t="s">
        <v>51</v>
      </c>
      <c r="R616" t="s">
        <v>1088</v>
      </c>
      <c r="S616" t="s">
        <v>1109</v>
      </c>
      <c r="T616" s="5">
        <v>29</v>
      </c>
      <c r="U616" s="6">
        <v>245.42</v>
      </c>
      <c r="V616" s="6">
        <v>141.69999999999999</v>
      </c>
      <c r="W616" s="8">
        <v>0</v>
      </c>
      <c r="X616" s="6">
        <f t="shared" si="45"/>
        <v>7117.1799999999994</v>
      </c>
      <c r="Y616" s="6">
        <f t="shared" si="46"/>
        <v>4109.2999999999993</v>
      </c>
      <c r="Z616" s="6">
        <f t="shared" si="47"/>
        <v>3007.88</v>
      </c>
      <c r="AA616" t="s">
        <v>662</v>
      </c>
      <c r="AB616" t="s">
        <v>1240</v>
      </c>
      <c r="AC616" s="5">
        <v>5</v>
      </c>
      <c r="AD616" t="s">
        <v>1105</v>
      </c>
      <c r="AE616" t="str">
        <f t="shared" si="48"/>
        <v>2024-07</v>
      </c>
      <c r="AF616" t="str">
        <f t="shared" si="49"/>
        <v>Q3-2024</v>
      </c>
    </row>
    <row r="617" spans="1:32" x14ac:dyDescent="0.3">
      <c r="A617" t="s">
        <v>1891</v>
      </c>
      <c r="B617" s="5">
        <v>2</v>
      </c>
      <c r="C617" s="4">
        <v>45416</v>
      </c>
      <c r="D617" s="4">
        <v>45417</v>
      </c>
      <c r="E617" t="s">
        <v>523</v>
      </c>
      <c r="F617" t="s">
        <v>524</v>
      </c>
      <c r="G617" t="s">
        <v>74</v>
      </c>
      <c r="H617" t="s">
        <v>20</v>
      </c>
      <c r="I617" t="s">
        <v>90</v>
      </c>
      <c r="J617" t="s">
        <v>1171</v>
      </c>
      <c r="K617" t="s">
        <v>1183</v>
      </c>
      <c r="L617" t="s">
        <v>1019</v>
      </c>
      <c r="M617" t="s">
        <v>1002</v>
      </c>
      <c r="N617" t="s">
        <v>1003</v>
      </c>
      <c r="O617" t="s">
        <v>1020</v>
      </c>
      <c r="P617" t="s">
        <v>32</v>
      </c>
      <c r="Q617" t="s">
        <v>33</v>
      </c>
      <c r="R617" t="s">
        <v>126</v>
      </c>
      <c r="S617" t="s">
        <v>1100</v>
      </c>
      <c r="T617" s="5">
        <v>12</v>
      </c>
      <c r="U617" s="6">
        <v>169.7</v>
      </c>
      <c r="V617" s="6">
        <v>129.36000000000001</v>
      </c>
      <c r="W617" s="8">
        <v>0</v>
      </c>
      <c r="X617" s="6">
        <f t="shared" si="45"/>
        <v>2036.3999999999999</v>
      </c>
      <c r="Y617" s="6">
        <f t="shared" si="46"/>
        <v>1552.3200000000002</v>
      </c>
      <c r="Z617" s="6">
        <f t="shared" si="47"/>
        <v>484.0799999999997</v>
      </c>
      <c r="AA617" t="s">
        <v>679</v>
      </c>
      <c r="AC617" s="5">
        <v>5</v>
      </c>
      <c r="AD617" t="s">
        <v>1105</v>
      </c>
      <c r="AE617" t="str">
        <f t="shared" si="48"/>
        <v>2024-05</v>
      </c>
      <c r="AF617" t="str">
        <f t="shared" si="49"/>
        <v>Q2-2024</v>
      </c>
    </row>
    <row r="618" spans="1:32" x14ac:dyDescent="0.3">
      <c r="A618" t="s">
        <v>1892</v>
      </c>
      <c r="B618" s="5">
        <v>2</v>
      </c>
      <c r="C618" s="4">
        <v>45543</v>
      </c>
      <c r="D618" s="4">
        <v>45549</v>
      </c>
      <c r="E618" t="s">
        <v>263</v>
      </c>
      <c r="F618" t="s">
        <v>264</v>
      </c>
      <c r="G618" t="s">
        <v>74</v>
      </c>
      <c r="H618" t="s">
        <v>23</v>
      </c>
      <c r="I618" t="s">
        <v>81</v>
      </c>
      <c r="J618" t="s">
        <v>1119</v>
      </c>
      <c r="K618" t="s">
        <v>1189</v>
      </c>
      <c r="L618" t="s">
        <v>855</v>
      </c>
      <c r="M618" t="s">
        <v>795</v>
      </c>
      <c r="N618" t="s">
        <v>837</v>
      </c>
      <c r="O618" t="s">
        <v>856</v>
      </c>
      <c r="P618" t="s">
        <v>32</v>
      </c>
      <c r="Q618" t="s">
        <v>33</v>
      </c>
      <c r="R618" t="s">
        <v>1094</v>
      </c>
      <c r="S618" t="s">
        <v>1109</v>
      </c>
      <c r="T618" s="5">
        <v>12</v>
      </c>
      <c r="U618" s="6">
        <v>229.32</v>
      </c>
      <c r="V618" s="6">
        <v>134.72</v>
      </c>
      <c r="W618" s="8">
        <v>0</v>
      </c>
      <c r="X618" s="6">
        <f t="shared" si="45"/>
        <v>2751.84</v>
      </c>
      <c r="Y618" s="6">
        <f t="shared" si="46"/>
        <v>1616.6399999999999</v>
      </c>
      <c r="Z618" s="6">
        <f t="shared" si="47"/>
        <v>1135.2000000000003</v>
      </c>
      <c r="AA618" t="s">
        <v>679</v>
      </c>
      <c r="AC618" s="5"/>
      <c r="AD618" t="s">
        <v>1136</v>
      </c>
      <c r="AE618" t="str">
        <f t="shared" si="48"/>
        <v>2024-09</v>
      </c>
      <c r="AF618" t="str">
        <f t="shared" si="49"/>
        <v>Q3-2024</v>
      </c>
    </row>
    <row r="619" spans="1:32" x14ac:dyDescent="0.3">
      <c r="A619" t="s">
        <v>1893</v>
      </c>
      <c r="B619" s="5">
        <v>5</v>
      </c>
      <c r="C619" s="4">
        <v>45303</v>
      </c>
      <c r="D619" s="4">
        <v>45305</v>
      </c>
      <c r="E619" t="s">
        <v>254</v>
      </c>
      <c r="F619" t="s">
        <v>1894</v>
      </c>
      <c r="G619" t="s">
        <v>74</v>
      </c>
      <c r="H619" t="s">
        <v>23</v>
      </c>
      <c r="I619" t="s">
        <v>81</v>
      </c>
      <c r="J619" t="s">
        <v>1119</v>
      </c>
      <c r="K619" t="s">
        <v>1120</v>
      </c>
      <c r="L619" t="s">
        <v>847</v>
      </c>
      <c r="M619" t="s">
        <v>795</v>
      </c>
      <c r="N619" t="s">
        <v>837</v>
      </c>
      <c r="O619" t="s">
        <v>848</v>
      </c>
      <c r="P619" t="s">
        <v>53</v>
      </c>
      <c r="Q619" t="s">
        <v>54</v>
      </c>
      <c r="R619" t="s">
        <v>126</v>
      </c>
      <c r="S619" t="s">
        <v>1089</v>
      </c>
      <c r="T619" s="5">
        <v>14</v>
      </c>
      <c r="U619" s="6">
        <v>232.95</v>
      </c>
      <c r="V619" s="6">
        <v>188.86</v>
      </c>
      <c r="W619" s="8">
        <v>0</v>
      </c>
      <c r="X619" s="6">
        <f t="shared" si="45"/>
        <v>3261.2999999999997</v>
      </c>
      <c r="Y619" s="6">
        <f t="shared" si="46"/>
        <v>2644.04</v>
      </c>
      <c r="Z619" s="6">
        <f t="shared" si="47"/>
        <v>617.25999999999976</v>
      </c>
      <c r="AA619" t="s">
        <v>679</v>
      </c>
      <c r="AC619" s="5">
        <v>3</v>
      </c>
      <c r="AD619" t="s">
        <v>1136</v>
      </c>
      <c r="AE619" t="str">
        <f t="shared" si="48"/>
        <v>2024-01</v>
      </c>
      <c r="AF619" t="str">
        <f t="shared" si="49"/>
        <v>Q1-2024</v>
      </c>
    </row>
    <row r="620" spans="1:32" x14ac:dyDescent="0.3">
      <c r="A620" t="s">
        <v>1895</v>
      </c>
      <c r="B620" s="5">
        <v>3</v>
      </c>
      <c r="C620" s="4">
        <v>45879</v>
      </c>
      <c r="D620" s="4">
        <v>45890</v>
      </c>
      <c r="E620" t="s">
        <v>548</v>
      </c>
      <c r="F620" t="s">
        <v>448</v>
      </c>
      <c r="G620" t="s">
        <v>84</v>
      </c>
      <c r="H620" t="s">
        <v>20</v>
      </c>
      <c r="I620" t="s">
        <v>71</v>
      </c>
      <c r="J620" t="s">
        <v>1166</v>
      </c>
      <c r="K620" t="s">
        <v>1196</v>
      </c>
      <c r="L620" t="s">
        <v>954</v>
      </c>
      <c r="M620" t="s">
        <v>929</v>
      </c>
      <c r="N620" t="s">
        <v>930</v>
      </c>
      <c r="O620" t="s">
        <v>955</v>
      </c>
      <c r="P620" t="s">
        <v>39</v>
      </c>
      <c r="Q620" t="s">
        <v>40</v>
      </c>
      <c r="R620" t="s">
        <v>1088</v>
      </c>
      <c r="S620" t="s">
        <v>1109</v>
      </c>
      <c r="T620" s="5">
        <v>7</v>
      </c>
      <c r="U620" s="6">
        <v>145.18</v>
      </c>
      <c r="V620" s="6">
        <v>99.65</v>
      </c>
      <c r="W620" s="8">
        <v>0</v>
      </c>
      <c r="X620" s="6">
        <f t="shared" si="45"/>
        <v>1016.26</v>
      </c>
      <c r="Y620" s="6">
        <f t="shared" si="46"/>
        <v>697.55000000000007</v>
      </c>
      <c r="Z620" s="6">
        <f t="shared" si="47"/>
        <v>318.70999999999992</v>
      </c>
      <c r="AA620" t="s">
        <v>679</v>
      </c>
      <c r="AC620" s="5">
        <v>5</v>
      </c>
      <c r="AD620" t="s">
        <v>1110</v>
      </c>
      <c r="AE620" t="str">
        <f t="shared" si="48"/>
        <v>2025-08</v>
      </c>
      <c r="AF620" t="str">
        <f t="shared" si="49"/>
        <v>Q3-2025</v>
      </c>
    </row>
    <row r="621" spans="1:32" x14ac:dyDescent="0.3">
      <c r="A621" t="s">
        <v>1896</v>
      </c>
      <c r="B621" s="5">
        <v>2</v>
      </c>
      <c r="C621" s="4">
        <v>45818</v>
      </c>
      <c r="D621" s="4">
        <v>45822</v>
      </c>
      <c r="E621" t="s">
        <v>397</v>
      </c>
      <c r="F621" t="s">
        <v>398</v>
      </c>
      <c r="G621" t="s">
        <v>74</v>
      </c>
      <c r="H621" t="s">
        <v>23</v>
      </c>
      <c r="I621" t="s">
        <v>81</v>
      </c>
      <c r="J621" t="s">
        <v>1119</v>
      </c>
      <c r="K621" t="s">
        <v>1291</v>
      </c>
      <c r="L621" t="s">
        <v>733</v>
      </c>
      <c r="M621" t="s">
        <v>659</v>
      </c>
      <c r="N621" t="s">
        <v>713</v>
      </c>
      <c r="O621" t="s">
        <v>734</v>
      </c>
      <c r="P621" t="s">
        <v>24</v>
      </c>
      <c r="Q621" t="s">
        <v>25</v>
      </c>
      <c r="R621" t="s">
        <v>1114</v>
      </c>
      <c r="S621" t="s">
        <v>1095</v>
      </c>
      <c r="T621" s="5">
        <v>6</v>
      </c>
      <c r="U621" s="6">
        <v>10.09</v>
      </c>
      <c r="V621" s="6">
        <v>5</v>
      </c>
      <c r="W621" s="8">
        <v>0</v>
      </c>
      <c r="X621" s="6">
        <f t="shared" si="45"/>
        <v>60.54</v>
      </c>
      <c r="Y621" s="6">
        <f t="shared" si="46"/>
        <v>30</v>
      </c>
      <c r="Z621" s="6">
        <f t="shared" si="47"/>
        <v>30.54</v>
      </c>
      <c r="AA621" t="s">
        <v>679</v>
      </c>
      <c r="AC621" s="5">
        <v>3</v>
      </c>
      <c r="AD621" t="s">
        <v>1090</v>
      </c>
      <c r="AE621" t="str">
        <f t="shared" si="48"/>
        <v>2025-06</v>
      </c>
      <c r="AF621" t="str">
        <f t="shared" si="49"/>
        <v>Q2-2025</v>
      </c>
    </row>
    <row r="622" spans="1:32" x14ac:dyDescent="0.3">
      <c r="A622" t="s">
        <v>1897</v>
      </c>
      <c r="B622" s="5">
        <v>2</v>
      </c>
      <c r="C622" s="4">
        <v>45834</v>
      </c>
      <c r="D622" s="4">
        <v>45845</v>
      </c>
      <c r="E622" t="s">
        <v>503</v>
      </c>
      <c r="F622" t="s">
        <v>504</v>
      </c>
      <c r="G622" t="s">
        <v>65</v>
      </c>
      <c r="H622" t="s">
        <v>31</v>
      </c>
      <c r="I622" t="s">
        <v>160</v>
      </c>
      <c r="J622" t="s">
        <v>1125</v>
      </c>
      <c r="K622" t="s">
        <v>1132</v>
      </c>
      <c r="L622" t="s">
        <v>665</v>
      </c>
      <c r="M622" t="s">
        <v>659</v>
      </c>
      <c r="N622" t="s">
        <v>660</v>
      </c>
      <c r="O622" t="s">
        <v>666</v>
      </c>
      <c r="P622" t="s">
        <v>44</v>
      </c>
      <c r="Q622" t="s">
        <v>45</v>
      </c>
      <c r="R622" t="s">
        <v>1088</v>
      </c>
      <c r="S622" t="s">
        <v>1156</v>
      </c>
      <c r="T622" s="5">
        <v>6</v>
      </c>
      <c r="U622" s="6">
        <v>187.63</v>
      </c>
      <c r="V622" s="6">
        <v>134.65</v>
      </c>
      <c r="W622" s="8">
        <v>0</v>
      </c>
      <c r="X622" s="6">
        <f t="shared" si="45"/>
        <v>1125.78</v>
      </c>
      <c r="Y622" s="6">
        <f t="shared" si="46"/>
        <v>807.90000000000009</v>
      </c>
      <c r="Z622" s="6">
        <f t="shared" si="47"/>
        <v>317.87999999999988</v>
      </c>
      <c r="AA622" t="s">
        <v>679</v>
      </c>
      <c r="AC622" s="5">
        <v>4</v>
      </c>
      <c r="AD622" t="s">
        <v>1090</v>
      </c>
      <c r="AE622" t="str">
        <f t="shared" si="48"/>
        <v>2025-06</v>
      </c>
      <c r="AF622" t="str">
        <f t="shared" si="49"/>
        <v>Q2-2025</v>
      </c>
    </row>
    <row r="623" spans="1:32" x14ac:dyDescent="0.3">
      <c r="A623" t="s">
        <v>1898</v>
      </c>
      <c r="B623" s="5">
        <v>1</v>
      </c>
      <c r="C623" s="4">
        <v>45546</v>
      </c>
      <c r="D623" s="4">
        <v>45551</v>
      </c>
      <c r="E623" t="s">
        <v>124</v>
      </c>
      <c r="F623" t="s">
        <v>125</v>
      </c>
      <c r="G623" t="s">
        <v>65</v>
      </c>
      <c r="H623" t="s">
        <v>20</v>
      </c>
      <c r="I623" t="s">
        <v>71</v>
      </c>
      <c r="J623" t="s">
        <v>1166</v>
      </c>
      <c r="K623" t="s">
        <v>1196</v>
      </c>
      <c r="L623" t="s">
        <v>836</v>
      </c>
      <c r="M623" t="s">
        <v>795</v>
      </c>
      <c r="N623" t="s">
        <v>837</v>
      </c>
      <c r="O623" t="s">
        <v>838</v>
      </c>
      <c r="P623" t="s">
        <v>53</v>
      </c>
      <c r="Q623" t="s">
        <v>54</v>
      </c>
      <c r="R623" t="s">
        <v>1088</v>
      </c>
      <c r="S623" t="s">
        <v>1109</v>
      </c>
      <c r="T623" s="5">
        <v>6</v>
      </c>
      <c r="U623" s="6">
        <v>217.86</v>
      </c>
      <c r="V623" s="6">
        <v>145.32</v>
      </c>
      <c r="W623" s="8">
        <v>9.6199999999999994E-2</v>
      </c>
      <c r="X623" s="6">
        <f t="shared" si="45"/>
        <v>1181.4112080000002</v>
      </c>
      <c r="Y623" s="6">
        <f t="shared" si="46"/>
        <v>871.92</v>
      </c>
      <c r="Z623" s="6">
        <f t="shared" si="47"/>
        <v>309.49120800000026</v>
      </c>
      <c r="AA623" t="s">
        <v>679</v>
      </c>
      <c r="AC623" s="5">
        <v>5</v>
      </c>
      <c r="AD623" t="s">
        <v>1123</v>
      </c>
      <c r="AE623" t="str">
        <f t="shared" si="48"/>
        <v>2024-09</v>
      </c>
      <c r="AF623" t="str">
        <f t="shared" si="49"/>
        <v>Q3-2024</v>
      </c>
    </row>
    <row r="624" spans="1:32" x14ac:dyDescent="0.3">
      <c r="A624" t="s">
        <v>1899</v>
      </c>
      <c r="B624" s="5">
        <v>1</v>
      </c>
      <c r="C624" s="4">
        <v>45997</v>
      </c>
      <c r="D624" s="4">
        <v>45997</v>
      </c>
      <c r="E624" t="s">
        <v>175</v>
      </c>
      <c r="F624" t="s">
        <v>1900</v>
      </c>
      <c r="G624" t="s">
        <v>65</v>
      </c>
      <c r="H624" t="s">
        <v>41</v>
      </c>
      <c r="I624" t="s">
        <v>86</v>
      </c>
      <c r="J624" t="s">
        <v>1107</v>
      </c>
      <c r="K624" t="s">
        <v>1230</v>
      </c>
      <c r="L624" t="s">
        <v>859</v>
      </c>
      <c r="M624" t="s">
        <v>795</v>
      </c>
      <c r="N624" t="s">
        <v>837</v>
      </c>
      <c r="O624" t="s">
        <v>860</v>
      </c>
      <c r="P624" t="s">
        <v>50</v>
      </c>
      <c r="Q624" t="s">
        <v>51</v>
      </c>
      <c r="R624" t="s">
        <v>1114</v>
      </c>
      <c r="S624" t="s">
        <v>1089</v>
      </c>
      <c r="T624" s="5">
        <v>5</v>
      </c>
      <c r="U624" s="6">
        <v>120.78</v>
      </c>
      <c r="V624" s="6">
        <v>61.5</v>
      </c>
      <c r="W624" s="8">
        <v>0</v>
      </c>
      <c r="X624" s="6">
        <f t="shared" si="45"/>
        <v>603.9</v>
      </c>
      <c r="Y624" s="6">
        <f t="shared" si="46"/>
        <v>307.5</v>
      </c>
      <c r="Z624" s="6">
        <f t="shared" si="47"/>
        <v>296.39999999999998</v>
      </c>
      <c r="AA624" t="s">
        <v>679</v>
      </c>
      <c r="AC624" s="5"/>
      <c r="AD624" t="s">
        <v>1101</v>
      </c>
      <c r="AE624" t="str">
        <f t="shared" si="48"/>
        <v>2025-12</v>
      </c>
      <c r="AF624" t="str">
        <f t="shared" si="49"/>
        <v>Q4-2025</v>
      </c>
    </row>
    <row r="625" spans="1:32" x14ac:dyDescent="0.3">
      <c r="A625" t="s">
        <v>1901</v>
      </c>
      <c r="B625" s="5">
        <v>4</v>
      </c>
      <c r="C625" s="4">
        <v>45463</v>
      </c>
      <c r="D625" s="4">
        <v>45465</v>
      </c>
      <c r="E625" t="s">
        <v>287</v>
      </c>
      <c r="F625" t="s">
        <v>288</v>
      </c>
      <c r="G625" t="s">
        <v>104</v>
      </c>
      <c r="H625" t="s">
        <v>23</v>
      </c>
      <c r="I625" t="s">
        <v>109</v>
      </c>
      <c r="J625" t="s">
        <v>1138</v>
      </c>
      <c r="K625" t="s">
        <v>1255</v>
      </c>
      <c r="L625" t="s">
        <v>924</v>
      </c>
      <c r="M625" t="s">
        <v>795</v>
      </c>
      <c r="N625" t="s">
        <v>898</v>
      </c>
      <c r="O625" t="s">
        <v>925</v>
      </c>
      <c r="P625" t="s">
        <v>17</v>
      </c>
      <c r="Q625" t="s">
        <v>18</v>
      </c>
      <c r="R625" t="s">
        <v>1088</v>
      </c>
      <c r="S625" t="s">
        <v>1156</v>
      </c>
      <c r="T625" s="5">
        <v>10</v>
      </c>
      <c r="U625" s="6">
        <v>161.62</v>
      </c>
      <c r="V625" s="6">
        <v>97.84</v>
      </c>
      <c r="W625" s="8">
        <v>0</v>
      </c>
      <c r="X625" s="6">
        <f t="shared" si="45"/>
        <v>1616.2</v>
      </c>
      <c r="Y625" s="6">
        <f t="shared" si="46"/>
        <v>978.40000000000009</v>
      </c>
      <c r="Z625" s="6">
        <f t="shared" si="47"/>
        <v>637.79999999999995</v>
      </c>
      <c r="AA625" t="s">
        <v>679</v>
      </c>
      <c r="AC625" s="5">
        <v>2</v>
      </c>
      <c r="AD625" t="s">
        <v>1123</v>
      </c>
      <c r="AE625" t="str">
        <f t="shared" si="48"/>
        <v>2024-06</v>
      </c>
      <c r="AF625" t="str">
        <f t="shared" si="49"/>
        <v>Q2-2024</v>
      </c>
    </row>
    <row r="626" spans="1:32" x14ac:dyDescent="0.3">
      <c r="A626" t="s">
        <v>1902</v>
      </c>
      <c r="B626" s="5">
        <v>3</v>
      </c>
      <c r="C626" s="4">
        <v>45667</v>
      </c>
      <c r="D626" s="4">
        <v>45667</v>
      </c>
      <c r="E626" t="s">
        <v>371</v>
      </c>
      <c r="F626" t="s">
        <v>372</v>
      </c>
      <c r="G626" t="s">
        <v>74</v>
      </c>
      <c r="H626" t="s">
        <v>31</v>
      </c>
      <c r="I626" t="s">
        <v>127</v>
      </c>
      <c r="J626" t="s">
        <v>1116</v>
      </c>
      <c r="K626" t="s">
        <v>1117</v>
      </c>
      <c r="L626" t="s">
        <v>887</v>
      </c>
      <c r="M626" t="s">
        <v>795</v>
      </c>
      <c r="N626" t="s">
        <v>837</v>
      </c>
      <c r="O626" t="s">
        <v>888</v>
      </c>
      <c r="P626" t="s">
        <v>34</v>
      </c>
      <c r="Q626" t="s">
        <v>35</v>
      </c>
      <c r="R626" t="s">
        <v>126</v>
      </c>
      <c r="S626" t="s">
        <v>1156</v>
      </c>
      <c r="T626" s="5">
        <v>17</v>
      </c>
      <c r="U626" s="6">
        <v>142.4</v>
      </c>
      <c r="V626" s="6">
        <v>111.35</v>
      </c>
      <c r="W626" s="8">
        <v>0</v>
      </c>
      <c r="X626" s="6">
        <f t="shared" si="45"/>
        <v>2420.8000000000002</v>
      </c>
      <c r="Y626" s="6">
        <f t="shared" si="46"/>
        <v>1892.9499999999998</v>
      </c>
      <c r="Z626" s="6">
        <f t="shared" si="47"/>
        <v>527.85000000000036</v>
      </c>
      <c r="AA626" t="s">
        <v>679</v>
      </c>
      <c r="AC626" s="5">
        <v>2</v>
      </c>
      <c r="AD626" t="s">
        <v>1778</v>
      </c>
      <c r="AE626" t="str">
        <f t="shared" si="48"/>
        <v>2025-01</v>
      </c>
      <c r="AF626" t="str">
        <f t="shared" si="49"/>
        <v>Q1-2025</v>
      </c>
    </row>
    <row r="627" spans="1:32" x14ac:dyDescent="0.3">
      <c r="A627" t="s">
        <v>1903</v>
      </c>
      <c r="B627" s="5">
        <v>4</v>
      </c>
      <c r="C627" s="4">
        <v>45417</v>
      </c>
      <c r="D627" s="4">
        <v>45418</v>
      </c>
      <c r="E627" t="s">
        <v>233</v>
      </c>
      <c r="F627" t="s">
        <v>234</v>
      </c>
      <c r="G627" t="s">
        <v>84</v>
      </c>
      <c r="H627" t="s">
        <v>31</v>
      </c>
      <c r="I627" t="s">
        <v>67</v>
      </c>
      <c r="J627" t="s">
        <v>1304</v>
      </c>
      <c r="K627" t="s">
        <v>1342</v>
      </c>
      <c r="L627" t="s">
        <v>733</v>
      </c>
      <c r="M627" t="s">
        <v>659</v>
      </c>
      <c r="N627" t="s">
        <v>713</v>
      </c>
      <c r="O627" t="s">
        <v>734</v>
      </c>
      <c r="P627" t="s">
        <v>53</v>
      </c>
      <c r="Q627" t="s">
        <v>54</v>
      </c>
      <c r="R627" t="s">
        <v>1114</v>
      </c>
      <c r="S627" t="s">
        <v>1095</v>
      </c>
      <c r="T627" s="5">
        <v>20</v>
      </c>
      <c r="U627" s="6">
        <v>9</v>
      </c>
      <c r="V627" s="6">
        <v>5</v>
      </c>
      <c r="W627" s="8">
        <v>0</v>
      </c>
      <c r="X627" s="6">
        <f t="shared" si="45"/>
        <v>180</v>
      </c>
      <c r="Y627" s="6">
        <f t="shared" si="46"/>
        <v>100</v>
      </c>
      <c r="Z627" s="6">
        <f t="shared" si="47"/>
        <v>80</v>
      </c>
      <c r="AA627" t="s">
        <v>679</v>
      </c>
      <c r="AC627" s="5">
        <v>5</v>
      </c>
      <c r="AD627" t="s">
        <v>1421</v>
      </c>
      <c r="AE627" t="str">
        <f t="shared" si="48"/>
        <v>2024-05</v>
      </c>
      <c r="AF627" t="str">
        <f t="shared" si="49"/>
        <v>Q2-2024</v>
      </c>
    </row>
    <row r="628" spans="1:32" x14ac:dyDescent="0.3">
      <c r="A628" t="s">
        <v>1904</v>
      </c>
      <c r="B628" s="5">
        <v>2</v>
      </c>
      <c r="C628" s="4">
        <v>45951</v>
      </c>
      <c r="D628" s="4">
        <v>45954</v>
      </c>
      <c r="E628" t="s">
        <v>171</v>
      </c>
      <c r="F628" t="s">
        <v>172</v>
      </c>
      <c r="G628" t="s">
        <v>104</v>
      </c>
      <c r="H628" t="s">
        <v>41</v>
      </c>
      <c r="I628" t="s">
        <v>75</v>
      </c>
      <c r="J628" t="s">
        <v>1142</v>
      </c>
      <c r="K628" t="s">
        <v>1205</v>
      </c>
      <c r="L628" t="s">
        <v>956</v>
      </c>
      <c r="M628" t="s">
        <v>929</v>
      </c>
      <c r="N628" t="s">
        <v>930</v>
      </c>
      <c r="O628" t="s">
        <v>957</v>
      </c>
      <c r="P628" t="s">
        <v>32</v>
      </c>
      <c r="Q628" t="s">
        <v>33</v>
      </c>
      <c r="R628" t="s">
        <v>1114</v>
      </c>
      <c r="S628" t="s">
        <v>1089</v>
      </c>
      <c r="T628" s="5">
        <v>24</v>
      </c>
      <c r="U628" s="6">
        <v>265.12</v>
      </c>
      <c r="V628" s="6">
        <v>190.78</v>
      </c>
      <c r="W628" s="8">
        <v>0</v>
      </c>
      <c r="X628" s="6">
        <f t="shared" si="45"/>
        <v>6362.88</v>
      </c>
      <c r="Y628" s="6">
        <f t="shared" si="46"/>
        <v>4578.72</v>
      </c>
      <c r="Z628" s="6">
        <f t="shared" si="47"/>
        <v>1784.1599999999999</v>
      </c>
      <c r="AA628" t="s">
        <v>679</v>
      </c>
      <c r="AC628" s="5">
        <v>3</v>
      </c>
      <c r="AD628" t="s">
        <v>1905</v>
      </c>
      <c r="AE628" t="str">
        <f t="shared" si="48"/>
        <v>2025-10</v>
      </c>
      <c r="AF628" t="str">
        <f t="shared" si="49"/>
        <v>Q4-2025</v>
      </c>
    </row>
    <row r="629" spans="1:32" x14ac:dyDescent="0.3">
      <c r="A629" t="s">
        <v>1906</v>
      </c>
      <c r="B629" s="5">
        <v>2</v>
      </c>
      <c r="C629" s="4">
        <v>45332</v>
      </c>
      <c r="D629" s="4">
        <v>45344</v>
      </c>
      <c r="E629" t="s">
        <v>163</v>
      </c>
      <c r="F629" t="s">
        <v>164</v>
      </c>
      <c r="G629" t="s">
        <v>74</v>
      </c>
      <c r="H629" t="s">
        <v>23</v>
      </c>
      <c r="I629" t="s">
        <v>81</v>
      </c>
      <c r="J629" t="s">
        <v>1163</v>
      </c>
      <c r="K629" t="s">
        <v>1407</v>
      </c>
      <c r="L629" t="s">
        <v>940</v>
      </c>
      <c r="M629" t="s">
        <v>929</v>
      </c>
      <c r="N629" t="s">
        <v>930</v>
      </c>
      <c r="O629" t="s">
        <v>941</v>
      </c>
      <c r="P629" t="s">
        <v>37</v>
      </c>
      <c r="Q629" t="s">
        <v>38</v>
      </c>
      <c r="R629" t="s">
        <v>1094</v>
      </c>
      <c r="S629" t="s">
        <v>1095</v>
      </c>
      <c r="T629" s="5">
        <v>24</v>
      </c>
      <c r="U629" s="6">
        <v>194.32</v>
      </c>
      <c r="V629" s="6">
        <v>157.07</v>
      </c>
      <c r="W629" s="8">
        <v>0</v>
      </c>
      <c r="X629" s="6">
        <f t="shared" si="45"/>
        <v>4663.68</v>
      </c>
      <c r="Y629" s="6">
        <f t="shared" si="46"/>
        <v>3769.68</v>
      </c>
      <c r="Z629" s="6">
        <f t="shared" si="47"/>
        <v>894.00000000000045</v>
      </c>
      <c r="AA629" t="s">
        <v>679</v>
      </c>
      <c r="AC629" s="5">
        <v>4</v>
      </c>
      <c r="AD629" t="s">
        <v>1096</v>
      </c>
      <c r="AE629" t="str">
        <f t="shared" si="48"/>
        <v>2024-02</v>
      </c>
      <c r="AF629" t="str">
        <f t="shared" si="49"/>
        <v>Q1-2024</v>
      </c>
    </row>
    <row r="630" spans="1:32" x14ac:dyDescent="0.3">
      <c r="A630" t="s">
        <v>1907</v>
      </c>
      <c r="B630" s="5">
        <v>3</v>
      </c>
      <c r="C630" s="4">
        <v>45947</v>
      </c>
      <c r="D630" s="4">
        <v>45952</v>
      </c>
      <c r="E630" t="s">
        <v>445</v>
      </c>
      <c r="F630" t="s">
        <v>446</v>
      </c>
      <c r="G630" t="s">
        <v>84</v>
      </c>
      <c r="H630" t="s">
        <v>20</v>
      </c>
      <c r="I630" t="s">
        <v>112</v>
      </c>
      <c r="J630" t="s">
        <v>1158</v>
      </c>
      <c r="K630" t="s">
        <v>1416</v>
      </c>
      <c r="L630" t="s">
        <v>908</v>
      </c>
      <c r="M630" t="s">
        <v>795</v>
      </c>
      <c r="N630" t="s">
        <v>898</v>
      </c>
      <c r="O630" t="s">
        <v>909</v>
      </c>
      <c r="P630" t="s">
        <v>50</v>
      </c>
      <c r="Q630" t="s">
        <v>51</v>
      </c>
      <c r="R630" t="s">
        <v>1088</v>
      </c>
      <c r="S630" t="s">
        <v>1095</v>
      </c>
      <c r="T630" s="5">
        <v>24</v>
      </c>
      <c r="U630" s="6">
        <v>203.22</v>
      </c>
      <c r="V630" s="6">
        <v>145.38</v>
      </c>
      <c r="W630" s="8">
        <v>0.2863</v>
      </c>
      <c r="X630" s="6">
        <f t="shared" si="45"/>
        <v>3480.9147359999997</v>
      </c>
      <c r="Y630" s="6">
        <f t="shared" si="46"/>
        <v>3489.12</v>
      </c>
      <c r="Z630" s="6">
        <f t="shared" si="47"/>
        <v>-8.2052640000001702</v>
      </c>
      <c r="AA630" t="s">
        <v>679</v>
      </c>
      <c r="AC630" s="5">
        <v>1</v>
      </c>
      <c r="AD630" t="s">
        <v>1110</v>
      </c>
      <c r="AE630" t="str">
        <f t="shared" si="48"/>
        <v>2025-10</v>
      </c>
      <c r="AF630" t="str">
        <f t="shared" si="49"/>
        <v>Q4-2025</v>
      </c>
    </row>
    <row r="631" spans="1:32" x14ac:dyDescent="0.3">
      <c r="A631" t="s">
        <v>1908</v>
      </c>
      <c r="B631" s="5">
        <v>5</v>
      </c>
      <c r="C631" s="4">
        <v>46011</v>
      </c>
      <c r="D631" s="4">
        <v>46008</v>
      </c>
      <c r="E631" t="s">
        <v>391</v>
      </c>
      <c r="F631" t="s">
        <v>392</v>
      </c>
      <c r="G631" t="s">
        <v>74</v>
      </c>
      <c r="H631" t="s">
        <v>23</v>
      </c>
      <c r="I631" t="s">
        <v>109</v>
      </c>
      <c r="J631" t="s">
        <v>1300</v>
      </c>
      <c r="K631" t="s">
        <v>1429</v>
      </c>
      <c r="L631" t="s">
        <v>975</v>
      </c>
      <c r="M631" t="s">
        <v>929</v>
      </c>
      <c r="N631" t="s">
        <v>971</v>
      </c>
      <c r="O631" t="s">
        <v>976</v>
      </c>
      <c r="P631" t="s">
        <v>24</v>
      </c>
      <c r="Q631" t="s">
        <v>25</v>
      </c>
      <c r="R631" t="s">
        <v>1088</v>
      </c>
      <c r="S631" t="s">
        <v>1100</v>
      </c>
      <c r="T631" s="5">
        <v>16</v>
      </c>
      <c r="U631" s="6">
        <v>123.95</v>
      </c>
      <c r="V631" s="6">
        <v>66.319999999999993</v>
      </c>
      <c r="W631" s="8">
        <v>9.9000000000000005E-2</v>
      </c>
      <c r="X631" s="6">
        <f t="shared" si="45"/>
        <v>1786.8632</v>
      </c>
      <c r="Y631" s="6">
        <f t="shared" si="46"/>
        <v>1061.1199999999999</v>
      </c>
      <c r="Z631" s="6">
        <f t="shared" si="47"/>
        <v>725.74320000000012</v>
      </c>
      <c r="AA631" t="s">
        <v>679</v>
      </c>
      <c r="AC631" s="5">
        <v>2</v>
      </c>
      <c r="AD631" t="s">
        <v>1136</v>
      </c>
      <c r="AE631" t="str">
        <f t="shared" si="48"/>
        <v>2025-12</v>
      </c>
      <c r="AF631" t="str">
        <f t="shared" si="49"/>
        <v>Q4-2025</v>
      </c>
    </row>
    <row r="632" spans="1:32" x14ac:dyDescent="0.3">
      <c r="A632" t="s">
        <v>1909</v>
      </c>
      <c r="B632" s="5">
        <v>1</v>
      </c>
      <c r="C632" s="4">
        <v>45569</v>
      </c>
      <c r="D632" s="4">
        <v>45571</v>
      </c>
      <c r="E632" t="s">
        <v>371</v>
      </c>
      <c r="F632" t="s">
        <v>372</v>
      </c>
      <c r="G632" t="s">
        <v>74</v>
      </c>
      <c r="H632" t="s">
        <v>23</v>
      </c>
      <c r="I632" t="s">
        <v>81</v>
      </c>
      <c r="J632" t="s">
        <v>1163</v>
      </c>
      <c r="K632" t="s">
        <v>1407</v>
      </c>
      <c r="L632" t="s">
        <v>948</v>
      </c>
      <c r="M632" t="s">
        <v>929</v>
      </c>
      <c r="N632" t="s">
        <v>930</v>
      </c>
      <c r="O632" t="s">
        <v>949</v>
      </c>
      <c r="P632" t="s">
        <v>42</v>
      </c>
      <c r="Q632" t="s">
        <v>43</v>
      </c>
      <c r="R632" t="s">
        <v>1088</v>
      </c>
      <c r="S632" t="s">
        <v>1089</v>
      </c>
      <c r="T632" s="5">
        <v>5</v>
      </c>
      <c r="U632" s="6">
        <v>71.900000000000006</v>
      </c>
      <c r="V632" s="6">
        <v>44.35</v>
      </c>
      <c r="W632" s="8">
        <v>0</v>
      </c>
      <c r="X632" s="6">
        <f t="shared" si="45"/>
        <v>359.5</v>
      </c>
      <c r="Y632" s="6">
        <f t="shared" si="46"/>
        <v>221.75</v>
      </c>
      <c r="Z632" s="6">
        <f t="shared" si="47"/>
        <v>137.75</v>
      </c>
      <c r="AA632" t="s">
        <v>679</v>
      </c>
      <c r="AC632" s="5">
        <v>4</v>
      </c>
      <c r="AD632" t="s">
        <v>1096</v>
      </c>
      <c r="AE632" t="str">
        <f t="shared" si="48"/>
        <v>2024-10</v>
      </c>
      <c r="AF632" t="str">
        <f t="shared" si="49"/>
        <v>Q4-2024</v>
      </c>
    </row>
    <row r="633" spans="1:32" x14ac:dyDescent="0.3">
      <c r="A633" t="s">
        <v>1910</v>
      </c>
      <c r="B633" s="5">
        <v>4</v>
      </c>
      <c r="C633" s="4">
        <v>45528</v>
      </c>
      <c r="D633" s="4">
        <v>45529</v>
      </c>
      <c r="E633" t="s">
        <v>96</v>
      </c>
      <c r="F633" t="s">
        <v>97</v>
      </c>
      <c r="G633" t="s">
        <v>80</v>
      </c>
      <c r="H633" t="s">
        <v>23</v>
      </c>
      <c r="I633" t="s">
        <v>81</v>
      </c>
      <c r="J633" t="s">
        <v>1119</v>
      </c>
      <c r="K633" t="s">
        <v>1189</v>
      </c>
      <c r="L633" t="s">
        <v>940</v>
      </c>
      <c r="M633" t="s">
        <v>929</v>
      </c>
      <c r="N633" t="s">
        <v>930</v>
      </c>
      <c r="O633" t="s">
        <v>941</v>
      </c>
      <c r="P633" t="s">
        <v>50</v>
      </c>
      <c r="Q633" t="s">
        <v>51</v>
      </c>
      <c r="R633" t="s">
        <v>1088</v>
      </c>
      <c r="S633" t="s">
        <v>1109</v>
      </c>
      <c r="T633" s="5">
        <v>24</v>
      </c>
      <c r="U633" s="6">
        <v>186.19</v>
      </c>
      <c r="V633" s="6">
        <v>157.07</v>
      </c>
      <c r="W633" s="8">
        <v>0</v>
      </c>
      <c r="X633" s="6">
        <f t="shared" si="45"/>
        <v>4468.5599999999995</v>
      </c>
      <c r="Y633" s="6">
        <f t="shared" si="46"/>
        <v>3769.68</v>
      </c>
      <c r="Z633" s="6">
        <f t="shared" si="47"/>
        <v>698.87999999999965</v>
      </c>
      <c r="AA633" t="s">
        <v>679</v>
      </c>
      <c r="AC633" s="5">
        <v>5</v>
      </c>
      <c r="AD633" t="s">
        <v>1090</v>
      </c>
      <c r="AE633" t="str">
        <f t="shared" si="48"/>
        <v>2024-08</v>
      </c>
      <c r="AF633" t="str">
        <f t="shared" si="49"/>
        <v>Q3-2024</v>
      </c>
    </row>
    <row r="634" spans="1:32" x14ac:dyDescent="0.3">
      <c r="A634" t="s">
        <v>1911</v>
      </c>
      <c r="B634" s="5">
        <v>4</v>
      </c>
      <c r="C634" s="4">
        <v>45346</v>
      </c>
      <c r="D634" s="4">
        <v>45347</v>
      </c>
      <c r="E634" t="s">
        <v>248</v>
      </c>
      <c r="F634" t="s">
        <v>249</v>
      </c>
      <c r="G634" t="s">
        <v>65</v>
      </c>
      <c r="H634" t="s">
        <v>23</v>
      </c>
      <c r="I634" t="s">
        <v>81</v>
      </c>
      <c r="J634" t="s">
        <v>1163</v>
      </c>
      <c r="K634" t="s">
        <v>1164</v>
      </c>
      <c r="L634" t="s">
        <v>1052</v>
      </c>
      <c r="M634" t="s">
        <v>1002</v>
      </c>
      <c r="N634" t="s">
        <v>1034</v>
      </c>
      <c r="O634" t="s">
        <v>1053</v>
      </c>
      <c r="P634" t="s">
        <v>50</v>
      </c>
      <c r="Q634" t="s">
        <v>51</v>
      </c>
      <c r="R634" t="s">
        <v>1088</v>
      </c>
      <c r="S634" t="s">
        <v>1089</v>
      </c>
      <c r="T634" s="5">
        <v>12</v>
      </c>
      <c r="U634" s="6">
        <v>129.84</v>
      </c>
      <c r="V634" s="6">
        <v>81.599999999999994</v>
      </c>
      <c r="W634" s="8">
        <v>0.245</v>
      </c>
      <c r="X634" s="6">
        <f t="shared" si="45"/>
        <v>1176.3504</v>
      </c>
      <c r="Y634" s="6">
        <f t="shared" si="46"/>
        <v>979.19999999999993</v>
      </c>
      <c r="Z634" s="6">
        <f t="shared" si="47"/>
        <v>197.1504000000001</v>
      </c>
      <c r="AA634" t="s">
        <v>679</v>
      </c>
      <c r="AC634" s="5">
        <v>1</v>
      </c>
      <c r="AD634" t="s">
        <v>1140</v>
      </c>
      <c r="AE634" t="str">
        <f t="shared" si="48"/>
        <v>2024-02</v>
      </c>
      <c r="AF634" t="str">
        <f t="shared" si="49"/>
        <v>Q1-2024</v>
      </c>
    </row>
    <row r="635" spans="1:32" x14ac:dyDescent="0.3">
      <c r="A635" t="s">
        <v>1912</v>
      </c>
      <c r="B635" s="5">
        <v>1</v>
      </c>
      <c r="C635" s="4">
        <v>45941</v>
      </c>
      <c r="D635" s="4">
        <v>45952</v>
      </c>
      <c r="E635" t="s">
        <v>239</v>
      </c>
      <c r="F635" t="s">
        <v>240</v>
      </c>
      <c r="G635" t="s">
        <v>84</v>
      </c>
      <c r="H635" t="s">
        <v>41</v>
      </c>
      <c r="I635" t="s">
        <v>86</v>
      </c>
      <c r="J635" t="s">
        <v>1086</v>
      </c>
      <c r="K635" t="s">
        <v>1087</v>
      </c>
      <c r="L635" t="s">
        <v>832</v>
      </c>
      <c r="M635" t="s">
        <v>795</v>
      </c>
      <c r="N635" t="s">
        <v>796</v>
      </c>
      <c r="O635" t="s">
        <v>833</v>
      </c>
      <c r="P635" t="s">
        <v>44</v>
      </c>
      <c r="Q635" t="s">
        <v>45</v>
      </c>
      <c r="R635" t="s">
        <v>1094</v>
      </c>
      <c r="S635" t="s">
        <v>1100</v>
      </c>
      <c r="T635" s="5">
        <v>2</v>
      </c>
      <c r="U635" s="6">
        <v>197.08</v>
      </c>
      <c r="V635" s="6">
        <v>161.80000000000001</v>
      </c>
      <c r="W635" s="8">
        <v>0</v>
      </c>
      <c r="X635" s="6">
        <f t="shared" si="45"/>
        <v>394.16</v>
      </c>
      <c r="Y635" s="6">
        <f t="shared" si="46"/>
        <v>323.60000000000002</v>
      </c>
      <c r="Z635" s="6">
        <f t="shared" si="47"/>
        <v>70.56</v>
      </c>
      <c r="AA635" t="s">
        <v>679</v>
      </c>
      <c r="AC635" s="5">
        <v>2</v>
      </c>
      <c r="AD635" t="s">
        <v>1123</v>
      </c>
      <c r="AE635" t="str">
        <f t="shared" si="48"/>
        <v>2025-10</v>
      </c>
      <c r="AF635" t="str">
        <f t="shared" si="49"/>
        <v>Q4-2025</v>
      </c>
    </row>
    <row r="636" spans="1:32" x14ac:dyDescent="0.3">
      <c r="A636" t="s">
        <v>1913</v>
      </c>
      <c r="B636" s="5">
        <v>2</v>
      </c>
      <c r="C636" s="4">
        <v>45884</v>
      </c>
      <c r="D636" s="4">
        <v>45895</v>
      </c>
      <c r="E636" t="s">
        <v>303</v>
      </c>
      <c r="F636" t="s">
        <v>304</v>
      </c>
      <c r="G636" t="s">
        <v>74</v>
      </c>
      <c r="H636" t="s">
        <v>41</v>
      </c>
      <c r="I636" t="s">
        <v>86</v>
      </c>
      <c r="J636" t="s">
        <v>1107</v>
      </c>
      <c r="K636" t="s">
        <v>1439</v>
      </c>
      <c r="L636" t="s">
        <v>677</v>
      </c>
      <c r="M636" t="s">
        <v>659</v>
      </c>
      <c r="N636" t="s">
        <v>660</v>
      </c>
      <c r="O636" t="s">
        <v>678</v>
      </c>
      <c r="P636" t="s">
        <v>27</v>
      </c>
      <c r="Q636" t="s">
        <v>28</v>
      </c>
      <c r="R636" t="s">
        <v>1088</v>
      </c>
      <c r="S636" t="s">
        <v>1095</v>
      </c>
      <c r="T636" s="5">
        <v>9</v>
      </c>
      <c r="U636" s="6">
        <v>66.540000000000006</v>
      </c>
      <c r="V636" s="6">
        <v>53.6</v>
      </c>
      <c r="W636" s="8">
        <v>0</v>
      </c>
      <c r="X636" s="6">
        <f t="shared" si="45"/>
        <v>598.86</v>
      </c>
      <c r="Y636" s="6">
        <f t="shared" si="46"/>
        <v>482.40000000000003</v>
      </c>
      <c r="Z636" s="6">
        <f t="shared" si="47"/>
        <v>116.45999999999998</v>
      </c>
      <c r="AA636" t="s">
        <v>679</v>
      </c>
      <c r="AC636" s="5"/>
      <c r="AD636" t="s">
        <v>1090</v>
      </c>
      <c r="AE636" t="str">
        <f t="shared" si="48"/>
        <v>2025-08</v>
      </c>
      <c r="AF636" t="str">
        <f t="shared" si="49"/>
        <v>Q3-2025</v>
      </c>
    </row>
    <row r="637" spans="1:32" x14ac:dyDescent="0.3">
      <c r="A637" t="s">
        <v>1914</v>
      </c>
      <c r="B637" s="5">
        <v>3</v>
      </c>
      <c r="C637" s="4">
        <v>45927</v>
      </c>
      <c r="D637" s="4">
        <v>45932</v>
      </c>
      <c r="E637" t="s">
        <v>299</v>
      </c>
      <c r="F637" t="s">
        <v>300</v>
      </c>
      <c r="G637" t="s">
        <v>84</v>
      </c>
      <c r="H637" t="s">
        <v>20</v>
      </c>
      <c r="I637" t="s">
        <v>90</v>
      </c>
      <c r="J637" t="s">
        <v>1171</v>
      </c>
      <c r="K637" t="s">
        <v>1172</v>
      </c>
      <c r="L637" t="s">
        <v>997</v>
      </c>
      <c r="M637" t="s">
        <v>929</v>
      </c>
      <c r="N637" t="s">
        <v>971</v>
      </c>
      <c r="O637" t="s">
        <v>998</v>
      </c>
      <c r="P637" t="s">
        <v>46</v>
      </c>
      <c r="Q637" t="s">
        <v>47</v>
      </c>
      <c r="R637" t="s">
        <v>1114</v>
      </c>
      <c r="S637" t="s">
        <v>1095</v>
      </c>
      <c r="T637" s="5">
        <v>22</v>
      </c>
      <c r="U637" s="6">
        <v>111.43</v>
      </c>
      <c r="V637" s="6">
        <v>86.65</v>
      </c>
      <c r="W637" s="8">
        <v>0.14000000000000001</v>
      </c>
      <c r="X637" s="6">
        <f t="shared" si="45"/>
        <v>2108.2556</v>
      </c>
      <c r="Y637" s="6">
        <f t="shared" si="46"/>
        <v>1906.3000000000002</v>
      </c>
      <c r="Z637" s="6">
        <f t="shared" si="47"/>
        <v>201.95559999999978</v>
      </c>
      <c r="AA637" t="s">
        <v>679</v>
      </c>
      <c r="AC637" s="5"/>
      <c r="AD637" t="s">
        <v>1148</v>
      </c>
      <c r="AE637" t="str">
        <f t="shared" si="48"/>
        <v>2025-09</v>
      </c>
      <c r="AF637" t="str">
        <f t="shared" si="49"/>
        <v>Q3-2025</v>
      </c>
    </row>
    <row r="638" spans="1:32" x14ac:dyDescent="0.3">
      <c r="A638" t="s">
        <v>1915</v>
      </c>
      <c r="B638" s="5">
        <v>2</v>
      </c>
      <c r="C638" s="4">
        <v>45730</v>
      </c>
      <c r="D638" s="4">
        <v>45736</v>
      </c>
      <c r="E638" t="s">
        <v>436</v>
      </c>
      <c r="F638" t="s">
        <v>437</v>
      </c>
      <c r="G638" t="s">
        <v>65</v>
      </c>
      <c r="H638" t="s">
        <v>23</v>
      </c>
      <c r="I638" t="s">
        <v>109</v>
      </c>
      <c r="J638" t="s">
        <v>1138</v>
      </c>
      <c r="K638" t="s">
        <v>1255</v>
      </c>
      <c r="L638" t="s">
        <v>686</v>
      </c>
      <c r="M638" t="s">
        <v>659</v>
      </c>
      <c r="N638" t="s">
        <v>660</v>
      </c>
      <c r="O638" t="s">
        <v>687</v>
      </c>
      <c r="P638" t="s">
        <v>39</v>
      </c>
      <c r="Q638" t="s">
        <v>40</v>
      </c>
      <c r="R638" t="s">
        <v>126</v>
      </c>
      <c r="S638" t="s">
        <v>1109</v>
      </c>
      <c r="T638" s="5">
        <v>6</v>
      </c>
      <c r="U638" s="6">
        <v>7.06</v>
      </c>
      <c r="V638" s="6">
        <v>5</v>
      </c>
      <c r="W638" s="8">
        <v>0</v>
      </c>
      <c r="X638" s="6">
        <f t="shared" si="45"/>
        <v>42.36</v>
      </c>
      <c r="Y638" s="6">
        <f t="shared" si="46"/>
        <v>30</v>
      </c>
      <c r="Z638" s="6">
        <f t="shared" si="47"/>
        <v>12.36</v>
      </c>
      <c r="AA638" t="s">
        <v>679</v>
      </c>
      <c r="AC638" s="5">
        <v>1</v>
      </c>
      <c r="AD638" t="s">
        <v>1123</v>
      </c>
      <c r="AE638" t="str">
        <f t="shared" si="48"/>
        <v>2025-03</v>
      </c>
      <c r="AF638" t="str">
        <f t="shared" si="49"/>
        <v>Q1-2025</v>
      </c>
    </row>
    <row r="639" spans="1:32" x14ac:dyDescent="0.3">
      <c r="A639" t="s">
        <v>1916</v>
      </c>
      <c r="B639" s="5">
        <v>1</v>
      </c>
      <c r="C639" s="4">
        <v>45659</v>
      </c>
      <c r="D639" s="4">
        <v>45669</v>
      </c>
      <c r="E639" t="s">
        <v>621</v>
      </c>
      <c r="F639" t="s">
        <v>191</v>
      </c>
      <c r="G639" t="s">
        <v>84</v>
      </c>
      <c r="H639" t="s">
        <v>20</v>
      </c>
      <c r="I639" t="s">
        <v>71</v>
      </c>
      <c r="J639" t="s">
        <v>1166</v>
      </c>
      <c r="K639" t="s">
        <v>1167</v>
      </c>
      <c r="L639" t="s">
        <v>706</v>
      </c>
      <c r="M639" t="s">
        <v>659</v>
      </c>
      <c r="N639" t="s">
        <v>660</v>
      </c>
      <c r="O639" t="s">
        <v>707</v>
      </c>
      <c r="P639" t="s">
        <v>50</v>
      </c>
      <c r="Q639" t="s">
        <v>51</v>
      </c>
      <c r="R639" t="s">
        <v>1094</v>
      </c>
      <c r="S639" t="s">
        <v>1089</v>
      </c>
      <c r="T639" s="5">
        <v>19</v>
      </c>
      <c r="U639" s="6">
        <v>65.25</v>
      </c>
      <c r="V639" s="6">
        <v>51.44</v>
      </c>
      <c r="W639" s="8">
        <v>0</v>
      </c>
      <c r="X639" s="6">
        <f t="shared" si="45"/>
        <v>1239.75</v>
      </c>
      <c r="Y639" s="6">
        <f t="shared" si="46"/>
        <v>977.3599999999999</v>
      </c>
      <c r="Z639" s="6">
        <f t="shared" si="47"/>
        <v>262.3900000000001</v>
      </c>
      <c r="AA639" t="s">
        <v>679</v>
      </c>
      <c r="AC639" s="5">
        <v>2</v>
      </c>
      <c r="AD639" t="s">
        <v>1553</v>
      </c>
      <c r="AE639" t="str">
        <f t="shared" si="48"/>
        <v>2025-01</v>
      </c>
      <c r="AF639" t="str">
        <f t="shared" si="49"/>
        <v>Q1-2025</v>
      </c>
    </row>
    <row r="640" spans="1:32" x14ac:dyDescent="0.3">
      <c r="A640" t="s">
        <v>1917</v>
      </c>
      <c r="B640" s="5">
        <v>2</v>
      </c>
      <c r="C640" s="4">
        <v>45442</v>
      </c>
      <c r="D640" s="4">
        <v>45444</v>
      </c>
      <c r="E640" t="s">
        <v>583</v>
      </c>
      <c r="F640" t="s">
        <v>584</v>
      </c>
      <c r="G640" t="s">
        <v>74</v>
      </c>
      <c r="H640" t="s">
        <v>23</v>
      </c>
      <c r="I640" t="s">
        <v>81</v>
      </c>
      <c r="J640" t="s">
        <v>1119</v>
      </c>
      <c r="K640" t="s">
        <v>1291</v>
      </c>
      <c r="L640" t="s">
        <v>814</v>
      </c>
      <c r="M640" t="s">
        <v>795</v>
      </c>
      <c r="N640" t="s">
        <v>796</v>
      </c>
      <c r="O640" t="s">
        <v>815</v>
      </c>
      <c r="P640" t="s">
        <v>29</v>
      </c>
      <c r="Q640" t="s">
        <v>30</v>
      </c>
      <c r="R640" t="s">
        <v>126</v>
      </c>
      <c r="S640" t="s">
        <v>1095</v>
      </c>
      <c r="T640" s="5">
        <v>16</v>
      </c>
      <c r="U640" s="6">
        <v>157.74</v>
      </c>
      <c r="V640" s="6">
        <v>124.03</v>
      </c>
      <c r="W640" s="8">
        <v>0</v>
      </c>
      <c r="X640" s="6">
        <f t="shared" si="45"/>
        <v>2523.84</v>
      </c>
      <c r="Y640" s="6">
        <f t="shared" si="46"/>
        <v>1984.48</v>
      </c>
      <c r="Z640" s="6">
        <f t="shared" si="47"/>
        <v>539.36000000000013</v>
      </c>
      <c r="AA640" t="s">
        <v>679</v>
      </c>
      <c r="AC640" s="5">
        <v>4</v>
      </c>
      <c r="AE640" t="str">
        <f t="shared" si="48"/>
        <v>2024-05</v>
      </c>
      <c r="AF640" t="str">
        <f t="shared" si="49"/>
        <v>Q2-2024</v>
      </c>
    </row>
    <row r="641" spans="1:32" x14ac:dyDescent="0.3">
      <c r="A641" t="s">
        <v>1918</v>
      </c>
      <c r="B641" s="5">
        <v>5</v>
      </c>
      <c r="C641" s="4">
        <v>45642</v>
      </c>
      <c r="D641" s="4">
        <v>45645</v>
      </c>
      <c r="E641" t="s">
        <v>134</v>
      </c>
      <c r="F641" t="s">
        <v>135</v>
      </c>
      <c r="G641" t="s">
        <v>80</v>
      </c>
      <c r="H641" t="s">
        <v>41</v>
      </c>
      <c r="I641" t="s">
        <v>86</v>
      </c>
      <c r="J641" t="s">
        <v>1107</v>
      </c>
      <c r="K641" t="s">
        <v>1439</v>
      </c>
      <c r="L641" t="s">
        <v>696</v>
      </c>
      <c r="M641" t="s">
        <v>659</v>
      </c>
      <c r="N641" t="s">
        <v>660</v>
      </c>
      <c r="O641" t="s">
        <v>697</v>
      </c>
      <c r="P641" t="s">
        <v>50</v>
      </c>
      <c r="Q641" t="s">
        <v>51</v>
      </c>
      <c r="R641" t="s">
        <v>1114</v>
      </c>
      <c r="S641" t="s">
        <v>1156</v>
      </c>
      <c r="T641" s="5">
        <v>7</v>
      </c>
      <c r="U641" s="6">
        <v>89.07</v>
      </c>
      <c r="V641" s="6">
        <v>66.25</v>
      </c>
      <c r="W641" s="8">
        <v>0</v>
      </c>
      <c r="X641" s="6">
        <f t="shared" si="45"/>
        <v>623.49</v>
      </c>
      <c r="Y641" s="6">
        <f t="shared" si="46"/>
        <v>463.75</v>
      </c>
      <c r="Z641" s="6">
        <f t="shared" si="47"/>
        <v>159.74</v>
      </c>
      <c r="AA641" t="s">
        <v>679</v>
      </c>
      <c r="AC641" s="5">
        <v>3</v>
      </c>
      <c r="AD641" t="s">
        <v>1123</v>
      </c>
      <c r="AE641" t="str">
        <f t="shared" si="48"/>
        <v>2024-12</v>
      </c>
      <c r="AF641" t="str">
        <f t="shared" si="49"/>
        <v>Q4-2024</v>
      </c>
    </row>
    <row r="642" spans="1:32" x14ac:dyDescent="0.3">
      <c r="A642" t="s">
        <v>1919</v>
      </c>
      <c r="B642" s="5">
        <v>1</v>
      </c>
      <c r="C642" s="4">
        <v>45972</v>
      </c>
      <c r="D642" s="4">
        <v>45973</v>
      </c>
      <c r="E642" t="s">
        <v>469</v>
      </c>
      <c r="F642" t="s">
        <v>470</v>
      </c>
      <c r="G642" t="s">
        <v>84</v>
      </c>
      <c r="H642" t="s">
        <v>20</v>
      </c>
      <c r="I642" t="s">
        <v>112</v>
      </c>
      <c r="J642" t="s">
        <v>1201</v>
      </c>
      <c r="K642" t="s">
        <v>1221</v>
      </c>
      <c r="L642" t="s">
        <v>812</v>
      </c>
      <c r="M642" t="s">
        <v>795</v>
      </c>
      <c r="N642" t="s">
        <v>796</v>
      </c>
      <c r="O642" t="s">
        <v>813</v>
      </c>
      <c r="P642" t="s">
        <v>44</v>
      </c>
      <c r="Q642" t="s">
        <v>45</v>
      </c>
      <c r="R642" t="s">
        <v>1088</v>
      </c>
      <c r="S642" t="s">
        <v>1156</v>
      </c>
      <c r="T642" s="5">
        <v>24</v>
      </c>
      <c r="U642" s="6">
        <v>127.29</v>
      </c>
      <c r="V642" s="6">
        <v>76.83</v>
      </c>
      <c r="W642" s="8">
        <v>0</v>
      </c>
      <c r="X642" s="6">
        <f t="shared" ref="X642:X705" si="50">T642*U642*(1-IF(ISBLANK(W642),0,W642))</f>
        <v>3054.96</v>
      </c>
      <c r="Y642" s="6">
        <f t="shared" ref="Y642:Y705" si="51">T642*V642</f>
        <v>1843.92</v>
      </c>
      <c r="Z642" s="6">
        <f t="shared" ref="Z642:Z705" si="52">X642-Y642</f>
        <v>1211.04</v>
      </c>
      <c r="AA642" t="s">
        <v>662</v>
      </c>
      <c r="AB642" t="s">
        <v>1327</v>
      </c>
      <c r="AC642" s="5">
        <v>3</v>
      </c>
      <c r="AD642" t="s">
        <v>1535</v>
      </c>
      <c r="AE642" t="str">
        <f t="shared" ref="AE642:AE705" si="53">TEXT(C642,"yyyy-mm")</f>
        <v>2025-11</v>
      </c>
      <c r="AF642" t="str">
        <f t="shared" ref="AF642:AF705" si="54">"Q"&amp;ROUNDUP(MONTH(C642)/3,0)&amp;"-"&amp;YEAR(C642)</f>
        <v>Q4-2025</v>
      </c>
    </row>
    <row r="643" spans="1:32" x14ac:dyDescent="0.3">
      <c r="A643" t="s">
        <v>1920</v>
      </c>
      <c r="B643" s="5">
        <v>1</v>
      </c>
      <c r="C643" s="4">
        <v>45674</v>
      </c>
      <c r="D643" s="4">
        <v>45675</v>
      </c>
      <c r="E643" t="s">
        <v>354</v>
      </c>
      <c r="F643" t="s">
        <v>355</v>
      </c>
      <c r="G643" t="s">
        <v>84</v>
      </c>
      <c r="H643" t="s">
        <v>23</v>
      </c>
      <c r="I643" t="s">
        <v>93</v>
      </c>
      <c r="J643" t="s">
        <v>1294</v>
      </c>
      <c r="K643" t="s">
        <v>1295</v>
      </c>
      <c r="L643" t="s">
        <v>841</v>
      </c>
      <c r="M643" t="s">
        <v>795</v>
      </c>
      <c r="N643" t="s">
        <v>837</v>
      </c>
      <c r="O643" t="s">
        <v>842</v>
      </c>
      <c r="P643" t="s">
        <v>32</v>
      </c>
      <c r="Q643" t="s">
        <v>33</v>
      </c>
      <c r="R643" t="s">
        <v>1094</v>
      </c>
      <c r="S643" t="s">
        <v>1109</v>
      </c>
      <c r="T643" s="5">
        <v>24</v>
      </c>
      <c r="U643" s="6">
        <v>7.54</v>
      </c>
      <c r="V643" s="6">
        <v>5</v>
      </c>
      <c r="W643" s="8">
        <v>0</v>
      </c>
      <c r="X643" s="6">
        <f t="shared" si="50"/>
        <v>180.96</v>
      </c>
      <c r="Y643" s="6">
        <f t="shared" si="51"/>
        <v>120</v>
      </c>
      <c r="Z643" s="6">
        <f t="shared" si="52"/>
        <v>60.960000000000008</v>
      </c>
      <c r="AA643" t="s">
        <v>679</v>
      </c>
      <c r="AC643" s="5"/>
      <c r="AD643" t="s">
        <v>1553</v>
      </c>
      <c r="AE643" t="str">
        <f t="shared" si="53"/>
        <v>2025-01</v>
      </c>
      <c r="AF643" t="str">
        <f t="shared" si="54"/>
        <v>Q1-2025</v>
      </c>
    </row>
    <row r="644" spans="1:32" x14ac:dyDescent="0.3">
      <c r="A644" t="s">
        <v>1921</v>
      </c>
      <c r="B644" s="5">
        <v>2</v>
      </c>
      <c r="C644" s="4">
        <v>45979</v>
      </c>
      <c r="D644" s="4">
        <v>45979</v>
      </c>
      <c r="E644" t="s">
        <v>572</v>
      </c>
      <c r="F644" t="s">
        <v>573</v>
      </c>
      <c r="G644" t="s">
        <v>80</v>
      </c>
      <c r="H644" t="s">
        <v>23</v>
      </c>
      <c r="I644" t="s">
        <v>93</v>
      </c>
      <c r="J644" t="s">
        <v>1450</v>
      </c>
      <c r="K644" t="s">
        <v>1528</v>
      </c>
      <c r="L644" t="s">
        <v>822</v>
      </c>
      <c r="M644" t="s">
        <v>795</v>
      </c>
      <c r="N644" t="s">
        <v>796</v>
      </c>
      <c r="O644" t="s">
        <v>823</v>
      </c>
      <c r="P644" t="s">
        <v>21</v>
      </c>
      <c r="Q644" t="s">
        <v>22</v>
      </c>
      <c r="R644" t="s">
        <v>126</v>
      </c>
      <c r="S644" t="s">
        <v>1156</v>
      </c>
      <c r="T644" s="5">
        <v>26</v>
      </c>
      <c r="U644" s="6">
        <v>59.98</v>
      </c>
      <c r="V644" s="6">
        <v>36.979999999999997</v>
      </c>
      <c r="W644" s="8">
        <v>0.1532</v>
      </c>
      <c r="X644" s="6">
        <f t="shared" si="50"/>
        <v>1320.5676639999999</v>
      </c>
      <c r="Y644" s="6">
        <f t="shared" si="51"/>
        <v>961.4799999999999</v>
      </c>
      <c r="Z644" s="6">
        <f t="shared" si="52"/>
        <v>359.08766400000002</v>
      </c>
      <c r="AA644" t="s">
        <v>679</v>
      </c>
      <c r="AC644" s="5">
        <v>5</v>
      </c>
      <c r="AD644" t="s">
        <v>1778</v>
      </c>
      <c r="AE644" t="str">
        <f t="shared" si="53"/>
        <v>2025-11</v>
      </c>
      <c r="AF644" t="str">
        <f t="shared" si="54"/>
        <v>Q4-2025</v>
      </c>
    </row>
    <row r="645" spans="1:32" x14ac:dyDescent="0.3">
      <c r="A645" t="s">
        <v>1922</v>
      </c>
      <c r="B645" s="5">
        <v>4</v>
      </c>
      <c r="C645" s="4">
        <v>45533</v>
      </c>
      <c r="D645" s="4">
        <v>45534</v>
      </c>
      <c r="E645" t="s">
        <v>269</v>
      </c>
      <c r="F645" t="s">
        <v>270</v>
      </c>
      <c r="G645" t="s">
        <v>84</v>
      </c>
      <c r="H645" t="s">
        <v>20</v>
      </c>
      <c r="I645" t="s">
        <v>112</v>
      </c>
      <c r="J645" t="s">
        <v>1158</v>
      </c>
      <c r="K645" t="s">
        <v>1416</v>
      </c>
      <c r="L645" t="s">
        <v>675</v>
      </c>
      <c r="M645" t="s">
        <v>659</v>
      </c>
      <c r="N645" t="s">
        <v>660</v>
      </c>
      <c r="O645" t="s">
        <v>676</v>
      </c>
      <c r="P645" t="s">
        <v>37</v>
      </c>
      <c r="Q645" t="s">
        <v>38</v>
      </c>
      <c r="R645" t="s">
        <v>126</v>
      </c>
      <c r="S645" t="s">
        <v>1156</v>
      </c>
      <c r="T645" s="5">
        <v>13</v>
      </c>
      <c r="U645" s="6">
        <v>30.39</v>
      </c>
      <c r="V645" s="6">
        <v>15.14</v>
      </c>
      <c r="W645" s="8">
        <v>0</v>
      </c>
      <c r="X645" s="6">
        <f t="shared" si="50"/>
        <v>395.07</v>
      </c>
      <c r="Y645" s="6">
        <f t="shared" si="51"/>
        <v>196.82</v>
      </c>
      <c r="Z645" s="6">
        <f t="shared" si="52"/>
        <v>198.25</v>
      </c>
      <c r="AA645" t="s">
        <v>679</v>
      </c>
      <c r="AC645" s="5"/>
      <c r="AD645" t="s">
        <v>1105</v>
      </c>
      <c r="AE645" t="str">
        <f t="shared" si="53"/>
        <v>2024-08</v>
      </c>
      <c r="AF645" t="str">
        <f t="shared" si="54"/>
        <v>Q3-2024</v>
      </c>
    </row>
    <row r="646" spans="1:32" x14ac:dyDescent="0.3">
      <c r="A646" t="s">
        <v>1923</v>
      </c>
      <c r="B646" s="5">
        <v>5</v>
      </c>
      <c r="C646" s="4">
        <v>45985</v>
      </c>
      <c r="D646" s="4">
        <v>45996</v>
      </c>
      <c r="E646" t="s">
        <v>420</v>
      </c>
      <c r="F646" t="s">
        <v>1924</v>
      </c>
      <c r="G646" t="s">
        <v>84</v>
      </c>
      <c r="H646" t="s">
        <v>20</v>
      </c>
      <c r="I646" t="s">
        <v>90</v>
      </c>
      <c r="J646" t="s">
        <v>1171</v>
      </c>
      <c r="K646" t="s">
        <v>1172</v>
      </c>
      <c r="L646" t="s">
        <v>684</v>
      </c>
      <c r="M646" t="s">
        <v>659</v>
      </c>
      <c r="N646" t="s">
        <v>660</v>
      </c>
      <c r="O646" t="s">
        <v>685</v>
      </c>
      <c r="P646" t="s">
        <v>24</v>
      </c>
      <c r="Q646" t="s">
        <v>25</v>
      </c>
      <c r="R646" t="s">
        <v>1088</v>
      </c>
      <c r="S646" t="s">
        <v>1109</v>
      </c>
      <c r="T646" s="5">
        <v>36</v>
      </c>
      <c r="U646" s="6">
        <v>45.14</v>
      </c>
      <c r="V646" s="6">
        <v>32.08</v>
      </c>
      <c r="W646" s="8">
        <v>0</v>
      </c>
      <c r="X646" s="6">
        <f t="shared" si="50"/>
        <v>1625.04</v>
      </c>
      <c r="Y646" s="6">
        <f t="shared" si="51"/>
        <v>1154.8799999999999</v>
      </c>
      <c r="Z646" s="6">
        <f t="shared" si="52"/>
        <v>470.16000000000008</v>
      </c>
      <c r="AA646" t="s">
        <v>679</v>
      </c>
      <c r="AC646" s="5">
        <v>3</v>
      </c>
      <c r="AD646" t="s">
        <v>1090</v>
      </c>
      <c r="AE646" t="str">
        <f t="shared" si="53"/>
        <v>2025-11</v>
      </c>
      <c r="AF646" t="str">
        <f t="shared" si="54"/>
        <v>Q4-2025</v>
      </c>
    </row>
    <row r="647" spans="1:32" x14ac:dyDescent="0.3">
      <c r="A647" t="s">
        <v>1925</v>
      </c>
      <c r="B647" s="5">
        <v>5</v>
      </c>
      <c r="C647" s="4">
        <v>45772</v>
      </c>
      <c r="D647" s="4">
        <v>45778</v>
      </c>
      <c r="E647" t="s">
        <v>614</v>
      </c>
      <c r="F647" t="s">
        <v>615</v>
      </c>
      <c r="G647" t="s">
        <v>104</v>
      </c>
      <c r="H647" t="s">
        <v>41</v>
      </c>
      <c r="I647" t="s">
        <v>75</v>
      </c>
      <c r="J647" t="s">
        <v>1142</v>
      </c>
      <c r="K647" t="s">
        <v>1198</v>
      </c>
      <c r="L647" t="s">
        <v>962</v>
      </c>
      <c r="M647" t="s">
        <v>929</v>
      </c>
      <c r="N647" t="s">
        <v>930</v>
      </c>
      <c r="O647" t="s">
        <v>963</v>
      </c>
      <c r="P647" t="s">
        <v>37</v>
      </c>
      <c r="Q647" t="s">
        <v>38</v>
      </c>
      <c r="R647" t="s">
        <v>1094</v>
      </c>
      <c r="S647" t="s">
        <v>1100</v>
      </c>
      <c r="T647" s="5">
        <v>9</v>
      </c>
      <c r="U647" s="6">
        <v>173.13</v>
      </c>
      <c r="V647" s="6">
        <v>108.41</v>
      </c>
      <c r="W647" s="8">
        <v>0</v>
      </c>
      <c r="X647" s="6">
        <f t="shared" si="50"/>
        <v>1558.17</v>
      </c>
      <c r="Y647" s="6">
        <f t="shared" si="51"/>
        <v>975.68999999999994</v>
      </c>
      <c r="Z647" s="6">
        <f t="shared" si="52"/>
        <v>582.48000000000013</v>
      </c>
      <c r="AA647" t="s">
        <v>679</v>
      </c>
      <c r="AC647" s="5">
        <v>2</v>
      </c>
      <c r="AE647" t="str">
        <f t="shared" si="53"/>
        <v>2025-04</v>
      </c>
      <c r="AF647" t="str">
        <f t="shared" si="54"/>
        <v>Q2-2025</v>
      </c>
    </row>
    <row r="648" spans="1:32" x14ac:dyDescent="0.3">
      <c r="A648" t="s">
        <v>1926</v>
      </c>
      <c r="B648" s="5">
        <v>4</v>
      </c>
      <c r="C648" s="4">
        <v>45575</v>
      </c>
      <c r="D648" s="4">
        <v>45584</v>
      </c>
      <c r="E648" t="s">
        <v>271</v>
      </c>
      <c r="F648" t="s">
        <v>272</v>
      </c>
      <c r="G648" t="s">
        <v>65</v>
      </c>
      <c r="H648" t="s">
        <v>41</v>
      </c>
      <c r="I648" t="s">
        <v>75</v>
      </c>
      <c r="J648" t="s">
        <v>1142</v>
      </c>
      <c r="K648" t="s">
        <v>1205</v>
      </c>
      <c r="L648" t="s">
        <v>995</v>
      </c>
      <c r="M648" t="s">
        <v>929</v>
      </c>
      <c r="N648" t="s">
        <v>971</v>
      </c>
      <c r="O648" t="s">
        <v>996</v>
      </c>
      <c r="P648" t="s">
        <v>42</v>
      </c>
      <c r="Q648" t="s">
        <v>43</v>
      </c>
      <c r="R648" t="s">
        <v>1114</v>
      </c>
      <c r="S648" t="s">
        <v>1109</v>
      </c>
      <c r="T648" s="5">
        <v>22</v>
      </c>
      <c r="U648" s="6">
        <v>246.51</v>
      </c>
      <c r="V648" s="6">
        <v>139.47</v>
      </c>
      <c r="W648" s="8">
        <v>0.24929999999999999</v>
      </c>
      <c r="X648" s="6">
        <f t="shared" si="50"/>
        <v>4071.2112539999998</v>
      </c>
      <c r="Y648" s="6">
        <f t="shared" si="51"/>
        <v>3068.34</v>
      </c>
      <c r="Z648" s="6">
        <f t="shared" si="52"/>
        <v>1002.8712539999997</v>
      </c>
      <c r="AA648" t="s">
        <v>679</v>
      </c>
      <c r="AC648" s="5">
        <v>3</v>
      </c>
      <c r="AD648" t="s">
        <v>1231</v>
      </c>
      <c r="AE648" t="str">
        <f t="shared" si="53"/>
        <v>2024-10</v>
      </c>
      <c r="AF648" t="str">
        <f t="shared" si="54"/>
        <v>Q4-2024</v>
      </c>
    </row>
    <row r="649" spans="1:32" x14ac:dyDescent="0.3">
      <c r="A649" t="s">
        <v>1927</v>
      </c>
      <c r="B649" s="5">
        <v>2</v>
      </c>
      <c r="C649" s="4">
        <v>45733</v>
      </c>
      <c r="D649" s="4">
        <v>45737</v>
      </c>
      <c r="E649" t="s">
        <v>165</v>
      </c>
      <c r="F649" t="s">
        <v>166</v>
      </c>
      <c r="G649" t="s">
        <v>84</v>
      </c>
      <c r="H649" t="s">
        <v>31</v>
      </c>
      <c r="I649" t="s">
        <v>160</v>
      </c>
      <c r="J649" t="s">
        <v>1092</v>
      </c>
      <c r="K649" t="s">
        <v>1150</v>
      </c>
      <c r="L649" t="s">
        <v>987</v>
      </c>
      <c r="M649" t="s">
        <v>929</v>
      </c>
      <c r="N649" t="s">
        <v>971</v>
      </c>
      <c r="O649" t="s">
        <v>988</v>
      </c>
      <c r="P649" t="s">
        <v>50</v>
      </c>
      <c r="Q649" t="s">
        <v>51</v>
      </c>
      <c r="R649" t="s">
        <v>1094</v>
      </c>
      <c r="S649" t="s">
        <v>1156</v>
      </c>
      <c r="T649" s="5">
        <v>9</v>
      </c>
      <c r="U649" s="6">
        <v>227.35</v>
      </c>
      <c r="V649" s="6">
        <v>181.22</v>
      </c>
      <c r="W649" s="8">
        <v>0</v>
      </c>
      <c r="X649" s="6">
        <f t="shared" si="50"/>
        <v>2046.1499999999999</v>
      </c>
      <c r="Y649" s="6">
        <f t="shared" si="51"/>
        <v>1630.98</v>
      </c>
      <c r="Z649" s="6">
        <f t="shared" si="52"/>
        <v>415.16999999999985</v>
      </c>
      <c r="AA649" t="s">
        <v>679</v>
      </c>
      <c r="AC649" s="5">
        <v>3</v>
      </c>
      <c r="AD649" t="s">
        <v>1148</v>
      </c>
      <c r="AE649" t="str">
        <f t="shared" si="53"/>
        <v>2025-03</v>
      </c>
      <c r="AF649" t="str">
        <f t="shared" si="54"/>
        <v>Q1-2025</v>
      </c>
    </row>
    <row r="650" spans="1:32" x14ac:dyDescent="0.3">
      <c r="A650" t="s">
        <v>1928</v>
      </c>
      <c r="B650" s="5">
        <v>1</v>
      </c>
      <c r="C650" s="4">
        <v>45609</v>
      </c>
      <c r="D650" s="4">
        <v>45618</v>
      </c>
      <c r="E650" t="s">
        <v>634</v>
      </c>
      <c r="F650" t="s">
        <v>635</v>
      </c>
      <c r="G650" t="s">
        <v>80</v>
      </c>
      <c r="H650" t="s">
        <v>20</v>
      </c>
      <c r="I650" t="s">
        <v>71</v>
      </c>
      <c r="J650" t="s">
        <v>1166</v>
      </c>
      <c r="K650" t="s">
        <v>1167</v>
      </c>
      <c r="L650" t="s">
        <v>798</v>
      </c>
      <c r="M650" t="s">
        <v>795</v>
      </c>
      <c r="N650" t="s">
        <v>796</v>
      </c>
      <c r="O650" t="s">
        <v>799</v>
      </c>
      <c r="P650" t="s">
        <v>29</v>
      </c>
      <c r="Q650" t="s">
        <v>30</v>
      </c>
      <c r="R650" t="s">
        <v>1094</v>
      </c>
      <c r="S650" t="s">
        <v>1109</v>
      </c>
      <c r="T650" s="5">
        <v>16</v>
      </c>
      <c r="U650" s="6">
        <v>196.04</v>
      </c>
      <c r="V650" s="6">
        <v>120.52</v>
      </c>
      <c r="W650" s="8">
        <v>0</v>
      </c>
      <c r="X650" s="6">
        <f t="shared" si="50"/>
        <v>3136.64</v>
      </c>
      <c r="Y650" s="6">
        <f t="shared" si="51"/>
        <v>1928.32</v>
      </c>
      <c r="Z650" s="6">
        <f t="shared" si="52"/>
        <v>1208.32</v>
      </c>
      <c r="AA650" t="s">
        <v>662</v>
      </c>
      <c r="AB650" t="s">
        <v>1327</v>
      </c>
      <c r="AC650" s="5">
        <v>5</v>
      </c>
      <c r="AD650" t="s">
        <v>1105</v>
      </c>
      <c r="AE650" t="str">
        <f t="shared" si="53"/>
        <v>2024-11</v>
      </c>
      <c r="AF650" t="str">
        <f t="shared" si="54"/>
        <v>Q4-2024</v>
      </c>
    </row>
    <row r="651" spans="1:32" x14ac:dyDescent="0.3">
      <c r="A651" t="s">
        <v>1929</v>
      </c>
      <c r="B651" s="5">
        <v>2</v>
      </c>
      <c r="C651" s="4">
        <v>45886</v>
      </c>
      <c r="D651" s="4">
        <v>45896</v>
      </c>
      <c r="E651" t="s">
        <v>594</v>
      </c>
      <c r="F651" t="s">
        <v>595</v>
      </c>
      <c r="G651" t="s">
        <v>65</v>
      </c>
      <c r="H651" t="s">
        <v>31</v>
      </c>
      <c r="I651" t="s">
        <v>67</v>
      </c>
      <c r="J651" t="s">
        <v>1128</v>
      </c>
      <c r="K651" t="s">
        <v>1181</v>
      </c>
      <c r="L651" t="s">
        <v>715</v>
      </c>
      <c r="M651" t="s">
        <v>659</v>
      </c>
      <c r="N651" t="s">
        <v>713</v>
      </c>
      <c r="O651" t="s">
        <v>716</v>
      </c>
      <c r="P651" t="s">
        <v>17</v>
      </c>
      <c r="Q651" t="s">
        <v>18</v>
      </c>
      <c r="R651" t="s">
        <v>126</v>
      </c>
      <c r="S651" t="s">
        <v>1089</v>
      </c>
      <c r="T651" s="5">
        <v>12</v>
      </c>
      <c r="U651" s="6">
        <v>27.65</v>
      </c>
      <c r="V651" s="6">
        <v>19.63</v>
      </c>
      <c r="W651" s="8">
        <v>0</v>
      </c>
      <c r="X651" s="6">
        <f t="shared" si="50"/>
        <v>331.79999999999995</v>
      </c>
      <c r="Y651" s="6">
        <f t="shared" si="51"/>
        <v>235.56</v>
      </c>
      <c r="Z651" s="6">
        <f t="shared" si="52"/>
        <v>96.239999999999952</v>
      </c>
      <c r="AA651" t="s">
        <v>679</v>
      </c>
      <c r="AC651" s="5">
        <v>2</v>
      </c>
      <c r="AD651" t="s">
        <v>1140</v>
      </c>
      <c r="AE651" t="str">
        <f t="shared" si="53"/>
        <v>2025-08</v>
      </c>
      <c r="AF651" t="str">
        <f t="shared" si="54"/>
        <v>Q3-2025</v>
      </c>
    </row>
    <row r="652" spans="1:32" x14ac:dyDescent="0.3">
      <c r="A652" t="s">
        <v>1930</v>
      </c>
      <c r="B652" s="5">
        <v>3</v>
      </c>
      <c r="C652" s="4">
        <v>45641</v>
      </c>
      <c r="D652" s="4">
        <v>45648</v>
      </c>
      <c r="E652" t="s">
        <v>217</v>
      </c>
      <c r="F652" t="s">
        <v>218</v>
      </c>
      <c r="G652" t="s">
        <v>74</v>
      </c>
      <c r="H652" t="s">
        <v>20</v>
      </c>
      <c r="I652" t="s">
        <v>90</v>
      </c>
      <c r="J652" t="s">
        <v>1171</v>
      </c>
      <c r="K652" t="s">
        <v>1172</v>
      </c>
      <c r="L652" t="s">
        <v>682</v>
      </c>
      <c r="M652" t="s">
        <v>659</v>
      </c>
      <c r="N652" t="s">
        <v>660</v>
      </c>
      <c r="O652" t="s">
        <v>683</v>
      </c>
      <c r="P652" t="s">
        <v>29</v>
      </c>
      <c r="Q652" t="s">
        <v>30</v>
      </c>
      <c r="R652" t="s">
        <v>1088</v>
      </c>
      <c r="S652" t="s">
        <v>1095</v>
      </c>
      <c r="T652" s="5">
        <v>8</v>
      </c>
      <c r="U652" s="6">
        <v>6.94</v>
      </c>
      <c r="V652" s="6">
        <v>5</v>
      </c>
      <c r="W652" s="8">
        <v>0</v>
      </c>
      <c r="X652" s="6">
        <f t="shared" si="50"/>
        <v>55.52</v>
      </c>
      <c r="Y652" s="6">
        <f t="shared" si="51"/>
        <v>40</v>
      </c>
      <c r="Z652" s="6">
        <f t="shared" si="52"/>
        <v>15.520000000000003</v>
      </c>
      <c r="AA652" t="s">
        <v>679</v>
      </c>
      <c r="AC652" s="5"/>
      <c r="AD652" t="s">
        <v>1136</v>
      </c>
      <c r="AE652" t="str">
        <f t="shared" si="53"/>
        <v>2024-12</v>
      </c>
      <c r="AF652" t="str">
        <f t="shared" si="54"/>
        <v>Q4-2024</v>
      </c>
    </row>
    <row r="653" spans="1:32" x14ac:dyDescent="0.3">
      <c r="A653" t="s">
        <v>1931</v>
      </c>
      <c r="B653" s="5">
        <v>4</v>
      </c>
      <c r="C653" s="4">
        <v>45638</v>
      </c>
      <c r="D653" s="4">
        <v>45651</v>
      </c>
      <c r="E653" t="s">
        <v>441</v>
      </c>
      <c r="F653" t="s">
        <v>442</v>
      </c>
      <c r="G653" t="s">
        <v>84</v>
      </c>
      <c r="H653" t="s">
        <v>41</v>
      </c>
      <c r="I653" t="s">
        <v>86</v>
      </c>
      <c r="J653" t="s">
        <v>1107</v>
      </c>
      <c r="K653" t="s">
        <v>1108</v>
      </c>
      <c r="L653" t="s">
        <v>839</v>
      </c>
      <c r="M653" t="s">
        <v>795</v>
      </c>
      <c r="N653" t="s">
        <v>837</v>
      </c>
      <c r="O653" t="s">
        <v>840</v>
      </c>
      <c r="P653" t="s">
        <v>44</v>
      </c>
      <c r="Q653" t="s">
        <v>45</v>
      </c>
      <c r="R653" t="s">
        <v>1114</v>
      </c>
      <c r="S653" t="s">
        <v>1095</v>
      </c>
      <c r="T653" s="5">
        <v>1</v>
      </c>
      <c r="U653" s="6">
        <v>303.95999999999998</v>
      </c>
      <c r="V653" s="6">
        <v>161.93</v>
      </c>
      <c r="W653" s="8">
        <v>0</v>
      </c>
      <c r="X653" s="6">
        <f t="shared" si="50"/>
        <v>303.95999999999998</v>
      </c>
      <c r="Y653" s="6">
        <f t="shared" si="51"/>
        <v>161.93</v>
      </c>
      <c r="Z653" s="6">
        <f t="shared" si="52"/>
        <v>142.02999999999997</v>
      </c>
      <c r="AA653" t="s">
        <v>679</v>
      </c>
      <c r="AC653" s="5">
        <v>3</v>
      </c>
      <c r="AD653" t="s">
        <v>1148</v>
      </c>
      <c r="AE653" t="str">
        <f t="shared" si="53"/>
        <v>2024-12</v>
      </c>
      <c r="AF653" t="str">
        <f t="shared" si="54"/>
        <v>Q4-2024</v>
      </c>
    </row>
    <row r="654" spans="1:32" x14ac:dyDescent="0.3">
      <c r="A654" t="s">
        <v>1932</v>
      </c>
      <c r="B654" s="5">
        <v>4</v>
      </c>
      <c r="C654" s="4">
        <v>45523</v>
      </c>
      <c r="D654" s="4">
        <v>45524</v>
      </c>
      <c r="E654" t="s">
        <v>612</v>
      </c>
      <c r="F654" t="s">
        <v>613</v>
      </c>
      <c r="G654" t="s">
        <v>65</v>
      </c>
      <c r="H654" t="s">
        <v>31</v>
      </c>
      <c r="I654" t="s">
        <v>67</v>
      </c>
      <c r="J654" t="s">
        <v>1128</v>
      </c>
      <c r="K654" t="s">
        <v>1129</v>
      </c>
      <c r="L654" t="s">
        <v>756</v>
      </c>
      <c r="M654" t="s">
        <v>659</v>
      </c>
      <c r="N654" t="s">
        <v>754</v>
      </c>
      <c r="O654" t="s">
        <v>757</v>
      </c>
      <c r="P654" t="s">
        <v>27</v>
      </c>
      <c r="Q654" t="s">
        <v>28</v>
      </c>
      <c r="R654" t="s">
        <v>1114</v>
      </c>
      <c r="S654" t="s">
        <v>1109</v>
      </c>
      <c r="T654" s="5">
        <v>21</v>
      </c>
      <c r="U654" s="6">
        <v>9.32</v>
      </c>
      <c r="V654" s="6">
        <v>5</v>
      </c>
      <c r="W654" s="8">
        <v>8.43E-2</v>
      </c>
      <c r="X654" s="6">
        <f t="shared" si="50"/>
        <v>179.22080399999999</v>
      </c>
      <c r="Y654" s="6">
        <f t="shared" si="51"/>
        <v>105</v>
      </c>
      <c r="Z654" s="6">
        <f t="shared" si="52"/>
        <v>74.220803999999987</v>
      </c>
      <c r="AA654" t="s">
        <v>679</v>
      </c>
      <c r="AC654" s="5">
        <v>2</v>
      </c>
      <c r="AD654" t="s">
        <v>1231</v>
      </c>
      <c r="AE654" t="str">
        <f t="shared" si="53"/>
        <v>2024-08</v>
      </c>
      <c r="AF654" t="str">
        <f t="shared" si="54"/>
        <v>Q3-2024</v>
      </c>
    </row>
    <row r="655" spans="1:32" x14ac:dyDescent="0.3">
      <c r="A655" t="s">
        <v>1933</v>
      </c>
      <c r="B655" s="5">
        <v>5</v>
      </c>
      <c r="C655" s="4">
        <v>45722</v>
      </c>
      <c r="D655" s="4">
        <v>45730</v>
      </c>
      <c r="E655" t="s">
        <v>479</v>
      </c>
      <c r="F655" t="s">
        <v>480</v>
      </c>
      <c r="G655" t="s">
        <v>84</v>
      </c>
      <c r="H655" t="s">
        <v>23</v>
      </c>
      <c r="I655" t="s">
        <v>93</v>
      </c>
      <c r="J655" t="s">
        <v>1294</v>
      </c>
      <c r="K655" t="s">
        <v>1295</v>
      </c>
      <c r="L655" t="s">
        <v>826</v>
      </c>
      <c r="M655" t="s">
        <v>795</v>
      </c>
      <c r="N655" t="s">
        <v>796</v>
      </c>
      <c r="O655" t="s">
        <v>827</v>
      </c>
      <c r="P655" t="s">
        <v>46</v>
      </c>
      <c r="Q655" t="s">
        <v>47</v>
      </c>
      <c r="R655" t="s">
        <v>1114</v>
      </c>
      <c r="S655" t="s">
        <v>1109</v>
      </c>
      <c r="T655" s="5">
        <v>16</v>
      </c>
      <c r="U655" s="6">
        <v>168.38</v>
      </c>
      <c r="V655" s="6">
        <v>127.08</v>
      </c>
      <c r="W655" s="8">
        <v>0.34089999999999998</v>
      </c>
      <c r="X655" s="6">
        <f t="shared" si="50"/>
        <v>1775.668128</v>
      </c>
      <c r="Y655" s="6">
        <f t="shared" si="51"/>
        <v>2033.28</v>
      </c>
      <c r="Z655" s="6">
        <f t="shared" si="52"/>
        <v>-257.61187199999995</v>
      </c>
      <c r="AA655" t="s">
        <v>679</v>
      </c>
      <c r="AC655" s="5">
        <v>3</v>
      </c>
      <c r="AD655" t="s">
        <v>1148</v>
      </c>
      <c r="AE655" t="str">
        <f t="shared" si="53"/>
        <v>2025-03</v>
      </c>
      <c r="AF655" t="str">
        <f t="shared" si="54"/>
        <v>Q1-2025</v>
      </c>
    </row>
    <row r="656" spans="1:32" x14ac:dyDescent="0.3">
      <c r="A656" t="s">
        <v>1934</v>
      </c>
      <c r="B656" s="5">
        <v>3</v>
      </c>
      <c r="C656" s="4">
        <v>45356</v>
      </c>
      <c r="D656" s="4">
        <v>45358</v>
      </c>
      <c r="E656" t="s">
        <v>450</v>
      </c>
      <c r="F656" t="s">
        <v>292</v>
      </c>
      <c r="G656" t="s">
        <v>65</v>
      </c>
      <c r="H656" t="s">
        <v>23</v>
      </c>
      <c r="I656" t="s">
        <v>93</v>
      </c>
      <c r="J656" t="s">
        <v>1278</v>
      </c>
      <c r="K656" t="s">
        <v>1279</v>
      </c>
      <c r="L656" t="s">
        <v>983</v>
      </c>
      <c r="M656" t="s">
        <v>929</v>
      </c>
      <c r="N656" t="s">
        <v>971</v>
      </c>
      <c r="O656" t="s">
        <v>984</v>
      </c>
      <c r="P656" t="s">
        <v>29</v>
      </c>
      <c r="Q656" t="s">
        <v>30</v>
      </c>
      <c r="R656" t="s">
        <v>1094</v>
      </c>
      <c r="S656" t="s">
        <v>1095</v>
      </c>
      <c r="T656" s="5">
        <v>12</v>
      </c>
      <c r="U656" s="6">
        <v>173.16</v>
      </c>
      <c r="V656" s="6">
        <v>106.87</v>
      </c>
      <c r="W656" s="8">
        <v>0</v>
      </c>
      <c r="X656" s="6">
        <f t="shared" si="50"/>
        <v>2077.92</v>
      </c>
      <c r="Y656" s="6">
        <f t="shared" si="51"/>
        <v>1282.44</v>
      </c>
      <c r="Z656" s="6">
        <f t="shared" si="52"/>
        <v>795.48</v>
      </c>
      <c r="AA656" t="s">
        <v>679</v>
      </c>
      <c r="AC656" s="5">
        <v>2</v>
      </c>
      <c r="AD656" t="s">
        <v>1096</v>
      </c>
      <c r="AE656" t="str">
        <f t="shared" si="53"/>
        <v>2024-03</v>
      </c>
      <c r="AF656" t="str">
        <f t="shared" si="54"/>
        <v>Q1-2024</v>
      </c>
    </row>
    <row r="657" spans="1:32" x14ac:dyDescent="0.3">
      <c r="A657" t="s">
        <v>1935</v>
      </c>
      <c r="B657" s="5">
        <v>2</v>
      </c>
      <c r="C657" s="4">
        <v>45635</v>
      </c>
      <c r="D657" s="4">
        <v>45641</v>
      </c>
      <c r="E657" t="s">
        <v>194</v>
      </c>
      <c r="F657" t="s">
        <v>195</v>
      </c>
      <c r="G657" t="s">
        <v>84</v>
      </c>
      <c r="H657" t="s">
        <v>20</v>
      </c>
      <c r="I657" t="s">
        <v>90</v>
      </c>
      <c r="J657" t="s">
        <v>1171</v>
      </c>
      <c r="K657" t="s">
        <v>1172</v>
      </c>
      <c r="L657" t="s">
        <v>671</v>
      </c>
      <c r="M657" t="s">
        <v>659</v>
      </c>
      <c r="N657" t="s">
        <v>660</v>
      </c>
      <c r="O657" t="s">
        <v>672</v>
      </c>
      <c r="P657" t="s">
        <v>27</v>
      </c>
      <c r="Q657" t="s">
        <v>28</v>
      </c>
      <c r="R657" t="s">
        <v>1088</v>
      </c>
      <c r="S657" t="s">
        <v>1095</v>
      </c>
      <c r="T657" s="5">
        <v>12</v>
      </c>
      <c r="U657" s="6">
        <v>15.72</v>
      </c>
      <c r="V657" s="6">
        <v>10.62</v>
      </c>
      <c r="W657" s="8">
        <v>0</v>
      </c>
      <c r="X657" s="6">
        <f t="shared" si="50"/>
        <v>188.64000000000001</v>
      </c>
      <c r="Y657" s="6">
        <f t="shared" si="51"/>
        <v>127.44</v>
      </c>
      <c r="Z657" s="6">
        <f t="shared" si="52"/>
        <v>61.200000000000017</v>
      </c>
      <c r="AA657" t="s">
        <v>679</v>
      </c>
      <c r="AC657" s="5"/>
      <c r="AD657" t="s">
        <v>1090</v>
      </c>
      <c r="AE657" t="str">
        <f t="shared" si="53"/>
        <v>2024-12</v>
      </c>
      <c r="AF657" t="str">
        <f t="shared" si="54"/>
        <v>Q4-2024</v>
      </c>
    </row>
    <row r="658" spans="1:32" x14ac:dyDescent="0.3">
      <c r="A658" t="s">
        <v>1936</v>
      </c>
      <c r="B658" s="5">
        <v>3</v>
      </c>
      <c r="C658" s="4">
        <v>45552</v>
      </c>
      <c r="D658" s="4">
        <v>45566</v>
      </c>
      <c r="E658" t="s">
        <v>257</v>
      </c>
      <c r="F658" t="s">
        <v>258</v>
      </c>
      <c r="G658" t="s">
        <v>65</v>
      </c>
      <c r="H658" t="s">
        <v>31</v>
      </c>
      <c r="I658" t="s">
        <v>160</v>
      </c>
      <c r="J658" t="s">
        <v>1092</v>
      </c>
      <c r="K658" t="s">
        <v>1135</v>
      </c>
      <c r="L658" t="s">
        <v>690</v>
      </c>
      <c r="M658" t="s">
        <v>659</v>
      </c>
      <c r="N658" t="s">
        <v>660</v>
      </c>
      <c r="O658" t="s">
        <v>691</v>
      </c>
      <c r="P658" t="s">
        <v>21</v>
      </c>
      <c r="Q658" t="s">
        <v>22</v>
      </c>
      <c r="R658" t="s">
        <v>126</v>
      </c>
      <c r="S658" t="s">
        <v>1109</v>
      </c>
      <c r="T658" s="5">
        <v>6</v>
      </c>
      <c r="U658" s="6">
        <v>77.87</v>
      </c>
      <c r="V658" s="6">
        <v>57.12</v>
      </c>
      <c r="W658" s="8">
        <v>0</v>
      </c>
      <c r="X658" s="6">
        <f t="shared" si="50"/>
        <v>467.22</v>
      </c>
      <c r="Y658" s="6">
        <f t="shared" si="51"/>
        <v>342.71999999999997</v>
      </c>
      <c r="Z658" s="6">
        <f t="shared" si="52"/>
        <v>124.50000000000006</v>
      </c>
      <c r="AA658" t="s">
        <v>679</v>
      </c>
      <c r="AC658" s="5"/>
      <c r="AD658" t="s">
        <v>1130</v>
      </c>
      <c r="AE658" t="str">
        <f t="shared" si="53"/>
        <v>2024-09</v>
      </c>
      <c r="AF658" t="str">
        <f t="shared" si="54"/>
        <v>Q3-2024</v>
      </c>
    </row>
    <row r="659" spans="1:32" x14ac:dyDescent="0.3">
      <c r="A659" t="s">
        <v>1937</v>
      </c>
      <c r="B659" s="5">
        <v>1</v>
      </c>
      <c r="C659" s="4">
        <v>45892</v>
      </c>
      <c r="D659" s="4">
        <v>45904</v>
      </c>
      <c r="E659" t="s">
        <v>94</v>
      </c>
      <c r="F659" t="s">
        <v>95</v>
      </c>
      <c r="G659" t="s">
        <v>74</v>
      </c>
      <c r="H659" t="s">
        <v>23</v>
      </c>
      <c r="I659" t="s">
        <v>109</v>
      </c>
      <c r="J659" t="s">
        <v>1145</v>
      </c>
      <c r="K659" t="s">
        <v>1146</v>
      </c>
      <c r="L659" t="s">
        <v>745</v>
      </c>
      <c r="M659" t="s">
        <v>659</v>
      </c>
      <c r="N659" t="s">
        <v>713</v>
      </c>
      <c r="O659" t="s">
        <v>746</v>
      </c>
      <c r="P659" t="s">
        <v>44</v>
      </c>
      <c r="Q659" t="s">
        <v>45</v>
      </c>
      <c r="R659" t="s">
        <v>1114</v>
      </c>
      <c r="S659" t="s">
        <v>1109</v>
      </c>
      <c r="T659" s="5">
        <v>32</v>
      </c>
      <c r="U659" s="6">
        <v>143.37</v>
      </c>
      <c r="V659" s="6">
        <v>91.12</v>
      </c>
      <c r="W659" s="8">
        <v>0</v>
      </c>
      <c r="X659" s="6">
        <f t="shared" si="50"/>
        <v>4587.84</v>
      </c>
      <c r="Y659" s="6">
        <f t="shared" si="51"/>
        <v>2915.84</v>
      </c>
      <c r="Z659" s="6">
        <f t="shared" si="52"/>
        <v>1672</v>
      </c>
      <c r="AA659" t="s">
        <v>679</v>
      </c>
      <c r="AC659" s="5"/>
      <c r="AD659" t="s">
        <v>1090</v>
      </c>
      <c r="AE659" t="str">
        <f t="shared" si="53"/>
        <v>2025-08</v>
      </c>
      <c r="AF659" t="str">
        <f t="shared" si="54"/>
        <v>Q3-2025</v>
      </c>
    </row>
    <row r="660" spans="1:32" x14ac:dyDescent="0.3">
      <c r="A660" t="s">
        <v>1938</v>
      </c>
      <c r="B660" s="5">
        <v>1</v>
      </c>
      <c r="C660" s="4">
        <v>45934</v>
      </c>
      <c r="D660" s="4">
        <v>45946</v>
      </c>
      <c r="E660" t="s">
        <v>267</v>
      </c>
      <c r="F660" t="s">
        <v>268</v>
      </c>
      <c r="G660" t="s">
        <v>80</v>
      </c>
      <c r="H660" t="s">
        <v>31</v>
      </c>
      <c r="I660" t="s">
        <v>67</v>
      </c>
      <c r="J660" t="s">
        <v>1304</v>
      </c>
      <c r="K660" t="s">
        <v>1363</v>
      </c>
      <c r="L660" t="s">
        <v>997</v>
      </c>
      <c r="M660" t="s">
        <v>929</v>
      </c>
      <c r="N660" t="s">
        <v>971</v>
      </c>
      <c r="O660" t="s">
        <v>998</v>
      </c>
      <c r="P660" t="s">
        <v>39</v>
      </c>
      <c r="Q660" t="s">
        <v>40</v>
      </c>
      <c r="R660" t="s">
        <v>1088</v>
      </c>
      <c r="S660" t="s">
        <v>1089</v>
      </c>
      <c r="T660" s="5">
        <v>12</v>
      </c>
      <c r="U660" s="6">
        <v>130.30000000000001</v>
      </c>
      <c r="V660" s="6">
        <v>86.65</v>
      </c>
      <c r="W660" s="8">
        <v>0</v>
      </c>
      <c r="X660" s="6">
        <f t="shared" si="50"/>
        <v>1563.6000000000001</v>
      </c>
      <c r="Y660" s="6">
        <f t="shared" si="51"/>
        <v>1039.8000000000002</v>
      </c>
      <c r="Z660" s="6">
        <f t="shared" si="52"/>
        <v>523.79999999999995</v>
      </c>
      <c r="AA660" t="s">
        <v>679</v>
      </c>
      <c r="AC660" s="5">
        <v>1</v>
      </c>
      <c r="AD660" t="s">
        <v>1096</v>
      </c>
      <c r="AE660" t="str">
        <f t="shared" si="53"/>
        <v>2025-10</v>
      </c>
      <c r="AF660" t="str">
        <f t="shared" si="54"/>
        <v>Q4-2025</v>
      </c>
    </row>
    <row r="661" spans="1:32" x14ac:dyDescent="0.3">
      <c r="A661" t="s">
        <v>1939</v>
      </c>
      <c r="B661" s="5">
        <v>4</v>
      </c>
      <c r="C661" s="4">
        <v>45843</v>
      </c>
      <c r="D661" s="4">
        <v>45847</v>
      </c>
      <c r="E661" t="s">
        <v>581</v>
      </c>
      <c r="F661" t="s">
        <v>582</v>
      </c>
      <c r="G661" t="s">
        <v>80</v>
      </c>
      <c r="H661" t="s">
        <v>20</v>
      </c>
      <c r="I661" t="s">
        <v>90</v>
      </c>
      <c r="J661" t="s">
        <v>1262</v>
      </c>
      <c r="K661" t="s">
        <v>1274</v>
      </c>
      <c r="L661" t="s">
        <v>991</v>
      </c>
      <c r="M661" t="s">
        <v>929</v>
      </c>
      <c r="N661" t="s">
        <v>971</v>
      </c>
      <c r="O661" t="s">
        <v>992</v>
      </c>
      <c r="P661" t="s">
        <v>27</v>
      </c>
      <c r="Q661" t="s">
        <v>28</v>
      </c>
      <c r="R661" t="s">
        <v>1094</v>
      </c>
      <c r="S661" t="s">
        <v>1089</v>
      </c>
      <c r="T661" s="5">
        <v>3</v>
      </c>
      <c r="U661" s="6">
        <v>295.17</v>
      </c>
      <c r="V661" s="6">
        <v>156.82</v>
      </c>
      <c r="W661" s="8">
        <v>0</v>
      </c>
      <c r="X661" s="6">
        <f t="shared" si="50"/>
        <v>885.51</v>
      </c>
      <c r="Y661" s="6">
        <f t="shared" si="51"/>
        <v>470.46</v>
      </c>
      <c r="Z661" s="6">
        <f t="shared" si="52"/>
        <v>415.05</v>
      </c>
      <c r="AA661" t="s">
        <v>679</v>
      </c>
      <c r="AC661" s="5"/>
      <c r="AD661" t="s">
        <v>1101</v>
      </c>
      <c r="AE661" t="str">
        <f t="shared" si="53"/>
        <v>2025-07</v>
      </c>
      <c r="AF661" t="str">
        <f t="shared" si="54"/>
        <v>Q3-2025</v>
      </c>
    </row>
    <row r="662" spans="1:32" x14ac:dyDescent="0.3">
      <c r="A662" t="s">
        <v>1940</v>
      </c>
      <c r="B662" s="5">
        <v>5</v>
      </c>
      <c r="C662" s="4">
        <v>45348</v>
      </c>
      <c r="D662" s="4">
        <v>45358</v>
      </c>
      <c r="E662" t="s">
        <v>158</v>
      </c>
      <c r="F662" t="s">
        <v>159</v>
      </c>
      <c r="G662" t="s">
        <v>84</v>
      </c>
      <c r="H662" t="s">
        <v>41</v>
      </c>
      <c r="I662" t="s">
        <v>86</v>
      </c>
      <c r="J662" t="s">
        <v>1107</v>
      </c>
      <c r="K662" t="s">
        <v>1230</v>
      </c>
      <c r="L662" t="s">
        <v>1027</v>
      </c>
      <c r="M662" t="s">
        <v>1002</v>
      </c>
      <c r="N662" t="s">
        <v>1003</v>
      </c>
      <c r="O662" t="s">
        <v>1028</v>
      </c>
      <c r="P662" t="s">
        <v>17</v>
      </c>
      <c r="Q662" t="s">
        <v>18</v>
      </c>
      <c r="R662" t="s">
        <v>1114</v>
      </c>
      <c r="S662" t="s">
        <v>1100</v>
      </c>
      <c r="T662" s="5">
        <v>17</v>
      </c>
      <c r="U662" s="6">
        <v>206.06</v>
      </c>
      <c r="V662" s="6">
        <v>131.69</v>
      </c>
      <c r="W662" s="8">
        <v>0</v>
      </c>
      <c r="X662" s="6">
        <f t="shared" si="50"/>
        <v>3503.02</v>
      </c>
      <c r="Y662" s="6">
        <f t="shared" si="51"/>
        <v>2238.73</v>
      </c>
      <c r="Z662" s="6">
        <f t="shared" si="52"/>
        <v>1264.29</v>
      </c>
      <c r="AA662" t="s">
        <v>679</v>
      </c>
      <c r="AC662" s="5">
        <v>3</v>
      </c>
      <c r="AD662" t="s">
        <v>1123</v>
      </c>
      <c r="AE662" t="str">
        <f t="shared" si="53"/>
        <v>2024-02</v>
      </c>
      <c r="AF662" t="str">
        <f t="shared" si="54"/>
        <v>Q1-2024</v>
      </c>
    </row>
    <row r="663" spans="1:32" x14ac:dyDescent="0.3">
      <c r="A663" t="s">
        <v>1941</v>
      </c>
      <c r="B663" s="5">
        <v>2</v>
      </c>
      <c r="C663" s="4">
        <v>45801</v>
      </c>
      <c r="D663" s="4">
        <v>45807</v>
      </c>
      <c r="E663" t="s">
        <v>334</v>
      </c>
      <c r="F663" t="s">
        <v>335</v>
      </c>
      <c r="G663" t="s">
        <v>84</v>
      </c>
      <c r="H663" t="s">
        <v>20</v>
      </c>
      <c r="I663" t="s">
        <v>71</v>
      </c>
      <c r="J663" t="s">
        <v>1112</v>
      </c>
      <c r="K663" t="s">
        <v>1113</v>
      </c>
      <c r="L663" t="s">
        <v>745</v>
      </c>
      <c r="M663" t="s">
        <v>659</v>
      </c>
      <c r="N663" t="s">
        <v>713</v>
      </c>
      <c r="O663" t="s">
        <v>746</v>
      </c>
      <c r="P663" t="s">
        <v>17</v>
      </c>
      <c r="Q663" t="s">
        <v>18</v>
      </c>
      <c r="R663" t="s">
        <v>1088</v>
      </c>
      <c r="S663" t="s">
        <v>1109</v>
      </c>
      <c r="T663" s="5">
        <v>5</v>
      </c>
      <c r="U663" s="6">
        <v>135.66</v>
      </c>
      <c r="V663" s="6">
        <v>91.12</v>
      </c>
      <c r="W663" s="8">
        <v>0.21510000000000001</v>
      </c>
      <c r="X663" s="6">
        <f t="shared" si="50"/>
        <v>532.39766999999995</v>
      </c>
      <c r="Y663" s="6">
        <f t="shared" si="51"/>
        <v>455.6</v>
      </c>
      <c r="Z663" s="6">
        <f t="shared" si="52"/>
        <v>76.797669999999925</v>
      </c>
      <c r="AA663" t="s">
        <v>679</v>
      </c>
      <c r="AC663" s="5">
        <v>2</v>
      </c>
      <c r="AE663" t="str">
        <f t="shared" si="53"/>
        <v>2025-05</v>
      </c>
      <c r="AF663" t="str">
        <f t="shared" si="54"/>
        <v>Q2-2025</v>
      </c>
    </row>
    <row r="664" spans="1:32" x14ac:dyDescent="0.3">
      <c r="A664" t="s">
        <v>1942</v>
      </c>
      <c r="B664" s="5">
        <v>2</v>
      </c>
      <c r="C664" s="4">
        <v>45504</v>
      </c>
      <c r="D664" s="4">
        <v>45508</v>
      </c>
      <c r="E664" t="s">
        <v>521</v>
      </c>
      <c r="F664" t="s">
        <v>522</v>
      </c>
      <c r="G664" t="s">
        <v>65</v>
      </c>
      <c r="H664" t="s">
        <v>23</v>
      </c>
      <c r="I664" t="s">
        <v>109</v>
      </c>
      <c r="J664" t="s">
        <v>1145</v>
      </c>
      <c r="K664" t="s">
        <v>1246</v>
      </c>
      <c r="L664" t="s">
        <v>922</v>
      </c>
      <c r="M664" t="s">
        <v>795</v>
      </c>
      <c r="N664" t="s">
        <v>898</v>
      </c>
      <c r="O664" t="s">
        <v>923</v>
      </c>
      <c r="P664" t="s">
        <v>39</v>
      </c>
      <c r="Q664" t="s">
        <v>40</v>
      </c>
      <c r="R664" t="s">
        <v>1094</v>
      </c>
      <c r="S664" t="s">
        <v>1100</v>
      </c>
      <c r="T664" s="5">
        <v>1</v>
      </c>
      <c r="U664" s="6">
        <v>303.31</v>
      </c>
      <c r="V664" s="6">
        <v>173.34</v>
      </c>
      <c r="W664" s="8">
        <v>0</v>
      </c>
      <c r="X664" s="6">
        <f t="shared" si="50"/>
        <v>303.31</v>
      </c>
      <c r="Y664" s="6">
        <f t="shared" si="51"/>
        <v>173.34</v>
      </c>
      <c r="Z664" s="6">
        <f t="shared" si="52"/>
        <v>129.97</v>
      </c>
      <c r="AA664" t="s">
        <v>679</v>
      </c>
      <c r="AC664" s="5">
        <v>5</v>
      </c>
      <c r="AD664" t="s">
        <v>1398</v>
      </c>
      <c r="AE664" t="str">
        <f t="shared" si="53"/>
        <v>2024-07</v>
      </c>
      <c r="AF664" t="str">
        <f t="shared" si="54"/>
        <v>Q3-2024</v>
      </c>
    </row>
    <row r="665" spans="1:32" x14ac:dyDescent="0.3">
      <c r="A665" t="s">
        <v>1943</v>
      </c>
      <c r="B665" s="5">
        <v>4</v>
      </c>
      <c r="C665" s="4">
        <v>45805</v>
      </c>
      <c r="D665" s="4">
        <v>45809</v>
      </c>
      <c r="E665" t="s">
        <v>267</v>
      </c>
      <c r="F665" t="s">
        <v>268</v>
      </c>
      <c r="G665" t="s">
        <v>80</v>
      </c>
      <c r="H665" t="s">
        <v>41</v>
      </c>
      <c r="I665" t="s">
        <v>75</v>
      </c>
      <c r="J665" t="s">
        <v>1142</v>
      </c>
      <c r="K665" t="s">
        <v>1205</v>
      </c>
      <c r="L665" t="s">
        <v>977</v>
      </c>
      <c r="M665" t="s">
        <v>929</v>
      </c>
      <c r="N665" t="s">
        <v>971</v>
      </c>
      <c r="O665" t="s">
        <v>978</v>
      </c>
      <c r="P665" t="s">
        <v>46</v>
      </c>
      <c r="Q665" t="s">
        <v>47</v>
      </c>
      <c r="R665" t="s">
        <v>1088</v>
      </c>
      <c r="S665" t="s">
        <v>1109</v>
      </c>
      <c r="T665" s="5">
        <v>5</v>
      </c>
      <c r="U665" s="6">
        <v>130.91</v>
      </c>
      <c r="V665" s="6">
        <v>86.07</v>
      </c>
      <c r="W665" s="8"/>
      <c r="X665" s="6">
        <f t="shared" si="50"/>
        <v>654.54999999999995</v>
      </c>
      <c r="Y665" s="6">
        <f t="shared" si="51"/>
        <v>430.34999999999997</v>
      </c>
      <c r="Z665" s="6">
        <f t="shared" si="52"/>
        <v>224.2</v>
      </c>
      <c r="AA665" t="s">
        <v>679</v>
      </c>
      <c r="AC665" s="5">
        <v>4</v>
      </c>
      <c r="AD665" t="s">
        <v>1136</v>
      </c>
      <c r="AE665" t="str">
        <f t="shared" si="53"/>
        <v>2025-05</v>
      </c>
      <c r="AF665" t="str">
        <f t="shared" si="54"/>
        <v>Q2-2025</v>
      </c>
    </row>
    <row r="666" spans="1:32" x14ac:dyDescent="0.3">
      <c r="A666" t="s">
        <v>1944</v>
      </c>
      <c r="B666" s="5">
        <v>5</v>
      </c>
      <c r="C666" s="4">
        <v>45434</v>
      </c>
      <c r="D666" s="4">
        <v>45434</v>
      </c>
      <c r="E666" t="s">
        <v>637</v>
      </c>
      <c r="F666" t="s">
        <v>638</v>
      </c>
      <c r="G666" t="s">
        <v>65</v>
      </c>
      <c r="H666" t="s">
        <v>20</v>
      </c>
      <c r="I666" t="s">
        <v>90</v>
      </c>
      <c r="J666" t="s">
        <v>1262</v>
      </c>
      <c r="K666" t="s">
        <v>1274</v>
      </c>
      <c r="L666" t="s">
        <v>698</v>
      </c>
      <c r="M666" t="s">
        <v>659</v>
      </c>
      <c r="N666" t="s">
        <v>660</v>
      </c>
      <c r="O666" t="s">
        <v>699</v>
      </c>
      <c r="P666" t="s">
        <v>32</v>
      </c>
      <c r="Q666" t="s">
        <v>33</v>
      </c>
      <c r="R666" t="s">
        <v>126</v>
      </c>
      <c r="S666" t="s">
        <v>1100</v>
      </c>
      <c r="T666" s="5">
        <v>5</v>
      </c>
      <c r="U666" s="6">
        <v>7.71</v>
      </c>
      <c r="V666" s="6">
        <v>5</v>
      </c>
      <c r="W666" s="8">
        <v>0.25140000000000001</v>
      </c>
      <c r="X666" s="6">
        <f t="shared" si="50"/>
        <v>28.858529999999995</v>
      </c>
      <c r="Y666" s="6">
        <f t="shared" si="51"/>
        <v>25</v>
      </c>
      <c r="Z666" s="6">
        <f t="shared" si="52"/>
        <v>3.8585299999999947</v>
      </c>
      <c r="AA666" t="s">
        <v>679</v>
      </c>
      <c r="AC666" s="5"/>
      <c r="AD666" t="s">
        <v>1110</v>
      </c>
      <c r="AE666" t="str">
        <f t="shared" si="53"/>
        <v>2024-05</v>
      </c>
      <c r="AF666" t="str">
        <f t="shared" si="54"/>
        <v>Q2-2024</v>
      </c>
    </row>
    <row r="667" spans="1:32" x14ac:dyDescent="0.3">
      <c r="A667" t="s">
        <v>1945</v>
      </c>
      <c r="B667" s="5">
        <v>5</v>
      </c>
      <c r="C667" s="4">
        <v>45600</v>
      </c>
      <c r="D667" s="4">
        <v>45610</v>
      </c>
      <c r="E667" t="s">
        <v>265</v>
      </c>
      <c r="F667" t="s">
        <v>266</v>
      </c>
      <c r="G667" t="s">
        <v>104</v>
      </c>
      <c r="H667" t="s">
        <v>23</v>
      </c>
      <c r="I667" t="s">
        <v>109</v>
      </c>
      <c r="J667" t="s">
        <v>1138</v>
      </c>
      <c r="K667" t="s">
        <v>1255</v>
      </c>
      <c r="L667" t="s">
        <v>836</v>
      </c>
      <c r="M667" t="s">
        <v>795</v>
      </c>
      <c r="N667" t="s">
        <v>837</v>
      </c>
      <c r="O667" t="s">
        <v>838</v>
      </c>
      <c r="P667" t="s">
        <v>44</v>
      </c>
      <c r="Q667" t="s">
        <v>45</v>
      </c>
      <c r="R667" t="s">
        <v>1088</v>
      </c>
      <c r="S667" t="s">
        <v>1156</v>
      </c>
      <c r="T667" s="5">
        <v>19</v>
      </c>
      <c r="U667" s="6">
        <v>239.18</v>
      </c>
      <c r="V667" s="6">
        <v>145.32</v>
      </c>
      <c r="W667" s="8">
        <v>0</v>
      </c>
      <c r="X667" s="6">
        <f t="shared" si="50"/>
        <v>4544.42</v>
      </c>
      <c r="Y667" s="6">
        <f t="shared" si="51"/>
        <v>2761.08</v>
      </c>
      <c r="Z667" s="6">
        <f t="shared" si="52"/>
        <v>1783.3400000000001</v>
      </c>
      <c r="AA667" t="s">
        <v>679</v>
      </c>
      <c r="AC667" s="5"/>
      <c r="AD667" t="s">
        <v>1148</v>
      </c>
      <c r="AE667" t="str">
        <f t="shared" si="53"/>
        <v>2024-11</v>
      </c>
      <c r="AF667" t="str">
        <f t="shared" si="54"/>
        <v>Q4-2024</v>
      </c>
    </row>
    <row r="668" spans="1:32" x14ac:dyDescent="0.3">
      <c r="A668" t="s">
        <v>1946</v>
      </c>
      <c r="B668" s="5">
        <v>1</v>
      </c>
      <c r="C668" s="4">
        <v>45478</v>
      </c>
      <c r="D668" s="4">
        <v>45491</v>
      </c>
      <c r="E668" t="s">
        <v>257</v>
      </c>
      <c r="F668" t="s">
        <v>258</v>
      </c>
      <c r="G668" t="s">
        <v>65</v>
      </c>
      <c r="H668" t="s">
        <v>23</v>
      </c>
      <c r="I668" t="s">
        <v>109</v>
      </c>
      <c r="J668" t="s">
        <v>1145</v>
      </c>
      <c r="K668" t="s">
        <v>1211</v>
      </c>
      <c r="L668" t="s">
        <v>928</v>
      </c>
      <c r="M668" t="s">
        <v>929</v>
      </c>
      <c r="N668" t="s">
        <v>930</v>
      </c>
      <c r="O668" t="s">
        <v>931</v>
      </c>
      <c r="P668" t="s">
        <v>44</v>
      </c>
      <c r="Q668" t="s">
        <v>45</v>
      </c>
      <c r="R668" t="s">
        <v>126</v>
      </c>
      <c r="S668" t="s">
        <v>1109</v>
      </c>
      <c r="T668" s="5">
        <v>10</v>
      </c>
      <c r="U668" s="6">
        <v>237.2</v>
      </c>
      <c r="V668" s="6">
        <v>130.21</v>
      </c>
      <c r="W668" s="8">
        <v>0.15770000000000001</v>
      </c>
      <c r="X668" s="6">
        <f t="shared" si="50"/>
        <v>1997.9356</v>
      </c>
      <c r="Y668" s="6">
        <f t="shared" si="51"/>
        <v>1302.1000000000001</v>
      </c>
      <c r="Z668" s="6">
        <f t="shared" si="52"/>
        <v>695.83559999999989</v>
      </c>
      <c r="AA668" t="s">
        <v>679</v>
      </c>
      <c r="AC668" s="5">
        <v>1</v>
      </c>
      <c r="AD668" t="s">
        <v>1123</v>
      </c>
      <c r="AE668" t="str">
        <f t="shared" si="53"/>
        <v>2024-07</v>
      </c>
      <c r="AF668" t="str">
        <f t="shared" si="54"/>
        <v>Q3-2024</v>
      </c>
    </row>
    <row r="669" spans="1:32" x14ac:dyDescent="0.3">
      <c r="A669" t="s">
        <v>1947</v>
      </c>
      <c r="B669" s="5">
        <v>3</v>
      </c>
      <c r="C669" s="4">
        <v>45866</v>
      </c>
      <c r="D669" s="4">
        <v>45874</v>
      </c>
      <c r="E669" t="s">
        <v>395</v>
      </c>
      <c r="F669" t="s">
        <v>396</v>
      </c>
      <c r="G669" t="s">
        <v>74</v>
      </c>
      <c r="H669" t="s">
        <v>31</v>
      </c>
      <c r="I669" t="s">
        <v>67</v>
      </c>
      <c r="J669" t="s">
        <v>1207</v>
      </c>
      <c r="K669" t="s">
        <v>1698</v>
      </c>
      <c r="L669" t="s">
        <v>682</v>
      </c>
      <c r="M669" t="s">
        <v>659</v>
      </c>
      <c r="N669" t="s">
        <v>660</v>
      </c>
      <c r="O669" t="s">
        <v>683</v>
      </c>
      <c r="P669" t="s">
        <v>48</v>
      </c>
      <c r="Q669" t="s">
        <v>49</v>
      </c>
      <c r="R669" t="s">
        <v>1088</v>
      </c>
      <c r="S669" t="s">
        <v>1156</v>
      </c>
      <c r="T669" s="5">
        <v>14</v>
      </c>
      <c r="U669" s="6">
        <v>7.29</v>
      </c>
      <c r="V669" s="6">
        <v>5</v>
      </c>
      <c r="W669" s="8">
        <v>0</v>
      </c>
      <c r="X669" s="6">
        <f t="shared" si="50"/>
        <v>102.06</v>
      </c>
      <c r="Y669" s="6">
        <f t="shared" si="51"/>
        <v>70</v>
      </c>
      <c r="Z669" s="6">
        <f t="shared" si="52"/>
        <v>32.06</v>
      </c>
      <c r="AA669" t="s">
        <v>679</v>
      </c>
      <c r="AC669" s="5"/>
      <c r="AD669" t="s">
        <v>1105</v>
      </c>
      <c r="AE669" t="str">
        <f t="shared" si="53"/>
        <v>2025-07</v>
      </c>
      <c r="AF669" t="str">
        <f t="shared" si="54"/>
        <v>Q3-2025</v>
      </c>
    </row>
    <row r="670" spans="1:32" x14ac:dyDescent="0.3">
      <c r="A670" t="s">
        <v>1948</v>
      </c>
      <c r="B670" s="5">
        <v>3</v>
      </c>
      <c r="C670" s="4">
        <v>45418</v>
      </c>
      <c r="D670" s="4">
        <v>45427</v>
      </c>
      <c r="E670" t="s">
        <v>215</v>
      </c>
      <c r="F670" t="s">
        <v>216</v>
      </c>
      <c r="G670" t="s">
        <v>84</v>
      </c>
      <c r="H670" t="s">
        <v>20</v>
      </c>
      <c r="I670" t="s">
        <v>112</v>
      </c>
      <c r="J670" t="s">
        <v>1201</v>
      </c>
      <c r="K670" t="s">
        <v>1202</v>
      </c>
      <c r="L670" t="s">
        <v>983</v>
      </c>
      <c r="M670" t="s">
        <v>929</v>
      </c>
      <c r="N670" t="s">
        <v>971</v>
      </c>
      <c r="O670" t="s">
        <v>984</v>
      </c>
      <c r="P670" t="s">
        <v>24</v>
      </c>
      <c r="Q670" t="s">
        <v>25</v>
      </c>
      <c r="R670" t="s">
        <v>1114</v>
      </c>
      <c r="S670" t="s">
        <v>1095</v>
      </c>
      <c r="T670" s="5">
        <v>5</v>
      </c>
      <c r="U670" s="6">
        <v>189.58</v>
      </c>
      <c r="V670" s="6">
        <v>106.87</v>
      </c>
      <c r="W670" s="8">
        <v>0</v>
      </c>
      <c r="X670" s="6">
        <f t="shared" si="50"/>
        <v>947.90000000000009</v>
      </c>
      <c r="Y670" s="6">
        <f t="shared" si="51"/>
        <v>534.35</v>
      </c>
      <c r="Z670" s="6">
        <f t="shared" si="52"/>
        <v>413.55000000000007</v>
      </c>
      <c r="AA670" t="s">
        <v>679</v>
      </c>
      <c r="AC670" s="5">
        <v>3</v>
      </c>
      <c r="AD670" t="s">
        <v>1101</v>
      </c>
      <c r="AE670" t="str">
        <f t="shared" si="53"/>
        <v>2024-05</v>
      </c>
      <c r="AF670" t="str">
        <f t="shared" si="54"/>
        <v>Q2-2024</v>
      </c>
    </row>
    <row r="671" spans="1:32" x14ac:dyDescent="0.3">
      <c r="A671" t="s">
        <v>1949</v>
      </c>
      <c r="B671" s="5">
        <v>4</v>
      </c>
      <c r="C671" s="4">
        <v>45820</v>
      </c>
      <c r="D671" s="4">
        <v>45834</v>
      </c>
      <c r="E671" t="s">
        <v>198</v>
      </c>
      <c r="F671" t="s">
        <v>101</v>
      </c>
      <c r="G671" t="s">
        <v>104</v>
      </c>
      <c r="H671" t="s">
        <v>23</v>
      </c>
      <c r="I671" t="s">
        <v>109</v>
      </c>
      <c r="J671" t="s">
        <v>1145</v>
      </c>
      <c r="K671" t="s">
        <v>1211</v>
      </c>
      <c r="L671" t="s">
        <v>741</v>
      </c>
      <c r="M671" t="s">
        <v>659</v>
      </c>
      <c r="N671" t="s">
        <v>713</v>
      </c>
      <c r="O671" t="s">
        <v>742</v>
      </c>
      <c r="P671" t="s">
        <v>50</v>
      </c>
      <c r="Q671" t="s">
        <v>51</v>
      </c>
      <c r="R671" t="s">
        <v>1114</v>
      </c>
      <c r="S671" t="s">
        <v>1156</v>
      </c>
      <c r="T671" s="5">
        <v>17</v>
      </c>
      <c r="U671" s="6">
        <v>25.81</v>
      </c>
      <c r="V671" s="6">
        <v>20.54</v>
      </c>
      <c r="W671" s="8">
        <v>0</v>
      </c>
      <c r="X671" s="6">
        <f t="shared" si="50"/>
        <v>438.77</v>
      </c>
      <c r="Y671" s="6">
        <f t="shared" si="51"/>
        <v>349.18</v>
      </c>
      <c r="Z671" s="6">
        <f t="shared" si="52"/>
        <v>89.589999999999975</v>
      </c>
      <c r="AA671" t="s">
        <v>679</v>
      </c>
      <c r="AC671" s="5">
        <v>1</v>
      </c>
      <c r="AD671" t="s">
        <v>1148</v>
      </c>
      <c r="AE671" t="str">
        <f t="shared" si="53"/>
        <v>2025-06</v>
      </c>
      <c r="AF671" t="str">
        <f t="shared" si="54"/>
        <v>Q2-2025</v>
      </c>
    </row>
    <row r="672" spans="1:32" x14ac:dyDescent="0.3">
      <c r="A672" t="s">
        <v>1950</v>
      </c>
      <c r="B672" s="5">
        <v>1</v>
      </c>
      <c r="C672" s="4">
        <v>46001</v>
      </c>
      <c r="D672" s="4">
        <v>46012</v>
      </c>
      <c r="E672" t="s">
        <v>68</v>
      </c>
      <c r="F672" t="s">
        <v>69</v>
      </c>
      <c r="G672" t="s">
        <v>65</v>
      </c>
      <c r="H672" t="s">
        <v>23</v>
      </c>
      <c r="I672" t="s">
        <v>93</v>
      </c>
      <c r="J672" t="s">
        <v>1103</v>
      </c>
      <c r="K672" t="s">
        <v>1104</v>
      </c>
      <c r="L672" t="s">
        <v>1056</v>
      </c>
      <c r="M672" t="s">
        <v>1002</v>
      </c>
      <c r="N672" t="s">
        <v>1034</v>
      </c>
      <c r="O672" t="s">
        <v>1057</v>
      </c>
      <c r="P672" t="s">
        <v>24</v>
      </c>
      <c r="Q672" t="s">
        <v>25</v>
      </c>
      <c r="R672" t="s">
        <v>1094</v>
      </c>
      <c r="S672" t="s">
        <v>1109</v>
      </c>
      <c r="T672" s="5">
        <v>281</v>
      </c>
      <c r="U672" s="6">
        <v>224.53</v>
      </c>
      <c r="V672" s="6">
        <v>129.21</v>
      </c>
      <c r="W672" s="8">
        <v>0</v>
      </c>
      <c r="X672" s="6">
        <f t="shared" si="50"/>
        <v>63092.93</v>
      </c>
      <c r="Y672" s="6">
        <f t="shared" si="51"/>
        <v>36308.01</v>
      </c>
      <c r="Z672" s="6">
        <f t="shared" si="52"/>
        <v>26784.92</v>
      </c>
      <c r="AA672" t="s">
        <v>679</v>
      </c>
      <c r="AC672" s="5">
        <v>2</v>
      </c>
      <c r="AD672" t="s">
        <v>1101</v>
      </c>
      <c r="AE672" t="str">
        <f t="shared" si="53"/>
        <v>2025-12</v>
      </c>
      <c r="AF672" t="str">
        <f t="shared" si="54"/>
        <v>Q4-2025</v>
      </c>
    </row>
    <row r="673" spans="1:32" x14ac:dyDescent="0.3">
      <c r="A673" t="s">
        <v>1951</v>
      </c>
      <c r="B673" s="5">
        <v>5</v>
      </c>
      <c r="C673" s="4">
        <v>46002</v>
      </c>
      <c r="D673" s="4">
        <v>46004</v>
      </c>
      <c r="E673" t="s">
        <v>255</v>
      </c>
      <c r="F673" t="s">
        <v>256</v>
      </c>
      <c r="G673" t="s">
        <v>74</v>
      </c>
      <c r="H673" t="s">
        <v>23</v>
      </c>
      <c r="I673" t="s">
        <v>93</v>
      </c>
      <c r="J673" t="s">
        <v>1192</v>
      </c>
      <c r="K673" t="s">
        <v>1680</v>
      </c>
      <c r="L673" t="s">
        <v>942</v>
      </c>
      <c r="M673" t="s">
        <v>929</v>
      </c>
      <c r="N673" t="s">
        <v>930</v>
      </c>
      <c r="O673" t="s">
        <v>943</v>
      </c>
      <c r="P673" t="s">
        <v>46</v>
      </c>
      <c r="Q673" t="s">
        <v>47</v>
      </c>
      <c r="R673" t="s">
        <v>1094</v>
      </c>
      <c r="S673" t="s">
        <v>1089</v>
      </c>
      <c r="T673" s="5">
        <v>26</v>
      </c>
      <c r="U673" s="6">
        <v>243.64</v>
      </c>
      <c r="V673" s="6">
        <v>173.45</v>
      </c>
      <c r="W673" s="8">
        <v>0.3135</v>
      </c>
      <c r="X673" s="6">
        <f t="shared" si="50"/>
        <v>4348.7303599999996</v>
      </c>
      <c r="Y673" s="6">
        <f t="shared" si="51"/>
        <v>4509.7</v>
      </c>
      <c r="Z673" s="6">
        <f t="shared" si="52"/>
        <v>-160.96964000000025</v>
      </c>
      <c r="AA673" t="s">
        <v>679</v>
      </c>
      <c r="AC673" s="5">
        <v>2</v>
      </c>
      <c r="AD673" t="s">
        <v>1148</v>
      </c>
      <c r="AE673" t="str">
        <f t="shared" si="53"/>
        <v>2025-12</v>
      </c>
      <c r="AF673" t="str">
        <f t="shared" si="54"/>
        <v>Q4-2025</v>
      </c>
    </row>
    <row r="674" spans="1:32" x14ac:dyDescent="0.3">
      <c r="A674" t="s">
        <v>1952</v>
      </c>
      <c r="B674" s="5">
        <v>1</v>
      </c>
      <c r="C674" s="4">
        <v>45814</v>
      </c>
      <c r="D674" s="4">
        <v>45819</v>
      </c>
      <c r="E674" t="s">
        <v>612</v>
      </c>
      <c r="F674" t="s">
        <v>613</v>
      </c>
      <c r="G674" t="s">
        <v>65</v>
      </c>
      <c r="H674" t="s">
        <v>41</v>
      </c>
      <c r="I674" t="s">
        <v>86</v>
      </c>
      <c r="J674" t="s">
        <v>1107</v>
      </c>
      <c r="K674" t="s">
        <v>1230</v>
      </c>
      <c r="L674" t="s">
        <v>715</v>
      </c>
      <c r="M674" t="s">
        <v>659</v>
      </c>
      <c r="N674" t="s">
        <v>713</v>
      </c>
      <c r="O674" t="s">
        <v>716</v>
      </c>
      <c r="P674" t="s">
        <v>27</v>
      </c>
      <c r="Q674" t="s">
        <v>28</v>
      </c>
      <c r="R674" t="s">
        <v>1094</v>
      </c>
      <c r="S674" t="s">
        <v>1109</v>
      </c>
      <c r="T674" s="5">
        <v>3</v>
      </c>
      <c r="U674" s="6">
        <v>27.78</v>
      </c>
      <c r="V674" s="6">
        <v>19.63</v>
      </c>
      <c r="W674" s="8">
        <v>0</v>
      </c>
      <c r="X674" s="6">
        <f t="shared" si="50"/>
        <v>83.34</v>
      </c>
      <c r="Y674" s="6">
        <f t="shared" si="51"/>
        <v>58.89</v>
      </c>
      <c r="Z674" s="6">
        <f t="shared" si="52"/>
        <v>24.450000000000003</v>
      </c>
      <c r="AA674" t="s">
        <v>679</v>
      </c>
      <c r="AC674" s="5"/>
      <c r="AD674" t="s">
        <v>1101</v>
      </c>
      <c r="AE674" t="str">
        <f t="shared" si="53"/>
        <v>2025-06</v>
      </c>
      <c r="AF674" t="str">
        <f t="shared" si="54"/>
        <v>Q2-2025</v>
      </c>
    </row>
    <row r="675" spans="1:32" x14ac:dyDescent="0.3">
      <c r="A675" t="s">
        <v>1953</v>
      </c>
      <c r="B675" s="5">
        <v>2</v>
      </c>
      <c r="C675" s="4">
        <v>45654</v>
      </c>
      <c r="D675" s="4">
        <v>45668</v>
      </c>
      <c r="E675" t="s">
        <v>148</v>
      </c>
      <c r="F675" t="s">
        <v>149</v>
      </c>
      <c r="G675" t="s">
        <v>65</v>
      </c>
      <c r="H675" t="s">
        <v>41</v>
      </c>
      <c r="I675" t="s">
        <v>75</v>
      </c>
      <c r="J675" t="s">
        <v>1142</v>
      </c>
      <c r="K675" t="s">
        <v>1198</v>
      </c>
      <c r="L675" t="s">
        <v>914</v>
      </c>
      <c r="M675" t="s">
        <v>795</v>
      </c>
      <c r="N675" t="s">
        <v>898</v>
      </c>
      <c r="O675" t="s">
        <v>915</v>
      </c>
      <c r="P675" t="s">
        <v>37</v>
      </c>
      <c r="Q675" t="s">
        <v>38</v>
      </c>
      <c r="R675" t="s">
        <v>1088</v>
      </c>
      <c r="S675" t="s">
        <v>1156</v>
      </c>
      <c r="T675" s="5">
        <v>11</v>
      </c>
      <c r="U675" s="6">
        <v>187.03</v>
      </c>
      <c r="V675" s="6">
        <v>105.78</v>
      </c>
      <c r="W675" s="8">
        <v>0</v>
      </c>
      <c r="X675" s="6">
        <f t="shared" si="50"/>
        <v>2057.33</v>
      </c>
      <c r="Y675" s="6">
        <f t="shared" si="51"/>
        <v>1163.58</v>
      </c>
      <c r="Z675" s="6">
        <f t="shared" si="52"/>
        <v>893.75</v>
      </c>
      <c r="AA675" t="s">
        <v>679</v>
      </c>
      <c r="AC675" s="5">
        <v>2</v>
      </c>
      <c r="AD675" t="s">
        <v>1123</v>
      </c>
      <c r="AE675" t="str">
        <f t="shared" si="53"/>
        <v>2024-12</v>
      </c>
      <c r="AF675" t="str">
        <f t="shared" si="54"/>
        <v>Q4-2024</v>
      </c>
    </row>
    <row r="676" spans="1:32" x14ac:dyDescent="0.3">
      <c r="A676" t="s">
        <v>1954</v>
      </c>
      <c r="B676" s="5">
        <v>4</v>
      </c>
      <c r="C676" s="4">
        <v>45716</v>
      </c>
      <c r="D676" s="4">
        <v>45717</v>
      </c>
      <c r="E676" t="s">
        <v>577</v>
      </c>
      <c r="F676" t="s">
        <v>578</v>
      </c>
      <c r="G676" t="s">
        <v>74</v>
      </c>
      <c r="H676" t="s">
        <v>23</v>
      </c>
      <c r="I676" t="s">
        <v>109</v>
      </c>
      <c r="J676" t="s">
        <v>1145</v>
      </c>
      <c r="K676" t="s">
        <v>1211</v>
      </c>
      <c r="L676" t="s">
        <v>966</v>
      </c>
      <c r="M676" t="s">
        <v>929</v>
      </c>
      <c r="N676" t="s">
        <v>930</v>
      </c>
      <c r="O676" t="s">
        <v>967</v>
      </c>
      <c r="P676" t="s">
        <v>50</v>
      </c>
      <c r="Q676" t="s">
        <v>51</v>
      </c>
      <c r="R676" t="s">
        <v>1094</v>
      </c>
      <c r="S676" t="s">
        <v>1109</v>
      </c>
      <c r="T676" s="5">
        <v>22</v>
      </c>
      <c r="U676" s="6">
        <v>126.59</v>
      </c>
      <c r="V676" s="6">
        <v>83.16</v>
      </c>
      <c r="W676" s="8">
        <v>0</v>
      </c>
      <c r="X676" s="6">
        <f t="shared" si="50"/>
        <v>2784.98</v>
      </c>
      <c r="Y676" s="6">
        <f t="shared" si="51"/>
        <v>1829.52</v>
      </c>
      <c r="Z676" s="6">
        <f t="shared" si="52"/>
        <v>955.46</v>
      </c>
      <c r="AA676" t="s">
        <v>679</v>
      </c>
      <c r="AC676" s="5">
        <v>2</v>
      </c>
      <c r="AD676" t="s">
        <v>1105</v>
      </c>
      <c r="AE676" t="str">
        <f t="shared" si="53"/>
        <v>2025-02</v>
      </c>
      <c r="AF676" t="str">
        <f t="shared" si="54"/>
        <v>Q1-2025</v>
      </c>
    </row>
    <row r="677" spans="1:32" x14ac:dyDescent="0.3">
      <c r="A677" t="s">
        <v>1955</v>
      </c>
      <c r="B677" s="5">
        <v>4</v>
      </c>
      <c r="C677" s="4">
        <v>45843</v>
      </c>
      <c r="D677" s="4">
        <v>45849</v>
      </c>
      <c r="E677" t="s">
        <v>440</v>
      </c>
      <c r="F677" t="s">
        <v>220</v>
      </c>
      <c r="G677" t="s">
        <v>65</v>
      </c>
      <c r="H677" t="s">
        <v>23</v>
      </c>
      <c r="I677" t="s">
        <v>93</v>
      </c>
      <c r="J677" t="s">
        <v>1103</v>
      </c>
      <c r="K677" t="s">
        <v>1239</v>
      </c>
      <c r="L677" t="s">
        <v>768</v>
      </c>
      <c r="M677" t="s">
        <v>659</v>
      </c>
      <c r="N677" t="s">
        <v>754</v>
      </c>
      <c r="O677" t="s">
        <v>769</v>
      </c>
      <c r="P677" t="s">
        <v>29</v>
      </c>
      <c r="Q677" t="s">
        <v>30</v>
      </c>
      <c r="R677" t="s">
        <v>1114</v>
      </c>
      <c r="S677" t="s">
        <v>1156</v>
      </c>
      <c r="T677" s="5">
        <v>9</v>
      </c>
      <c r="U677" s="6">
        <v>7.32</v>
      </c>
      <c r="V677" s="6">
        <v>5</v>
      </c>
      <c r="W677" s="8">
        <v>0</v>
      </c>
      <c r="X677" s="6">
        <f t="shared" si="50"/>
        <v>65.88</v>
      </c>
      <c r="Y677" s="6">
        <f t="shared" si="51"/>
        <v>45</v>
      </c>
      <c r="Z677" s="6">
        <f t="shared" si="52"/>
        <v>20.879999999999995</v>
      </c>
      <c r="AA677" t="s">
        <v>679</v>
      </c>
      <c r="AC677" s="5">
        <v>5</v>
      </c>
      <c r="AE677" t="str">
        <f t="shared" si="53"/>
        <v>2025-07</v>
      </c>
      <c r="AF677" t="str">
        <f t="shared" si="54"/>
        <v>Q3-2025</v>
      </c>
    </row>
    <row r="678" spans="1:32" x14ac:dyDescent="0.3">
      <c r="A678" t="s">
        <v>1956</v>
      </c>
      <c r="B678" s="5">
        <v>4</v>
      </c>
      <c r="C678" s="4">
        <v>45443</v>
      </c>
      <c r="D678" s="4">
        <v>45455</v>
      </c>
      <c r="E678" t="s">
        <v>505</v>
      </c>
      <c r="F678" t="s">
        <v>506</v>
      </c>
      <c r="G678" t="s">
        <v>74</v>
      </c>
      <c r="H678" t="s">
        <v>31</v>
      </c>
      <c r="I678" t="s">
        <v>67</v>
      </c>
      <c r="J678" t="s">
        <v>1304</v>
      </c>
      <c r="K678" t="s">
        <v>1342</v>
      </c>
      <c r="L678" t="s">
        <v>987</v>
      </c>
      <c r="M678" t="s">
        <v>929</v>
      </c>
      <c r="N678" t="s">
        <v>971</v>
      </c>
      <c r="O678" t="s">
        <v>988</v>
      </c>
      <c r="P678" t="s">
        <v>34</v>
      </c>
      <c r="Q678" t="s">
        <v>35</v>
      </c>
      <c r="R678" t="s">
        <v>1094</v>
      </c>
      <c r="S678" t="s">
        <v>1156</v>
      </c>
      <c r="T678" s="5">
        <v>15</v>
      </c>
      <c r="U678" s="6">
        <v>243.41</v>
      </c>
      <c r="V678" s="6">
        <v>181.22</v>
      </c>
      <c r="W678" s="8">
        <v>0</v>
      </c>
      <c r="X678" s="6">
        <f t="shared" si="50"/>
        <v>3651.15</v>
      </c>
      <c r="Y678" s="6">
        <f t="shared" si="51"/>
        <v>2718.3</v>
      </c>
      <c r="Z678" s="6">
        <f t="shared" si="52"/>
        <v>932.84999999999991</v>
      </c>
      <c r="AA678" t="s">
        <v>679</v>
      </c>
      <c r="AC678" s="5"/>
      <c r="AD678" t="s">
        <v>1096</v>
      </c>
      <c r="AE678" t="str">
        <f t="shared" si="53"/>
        <v>2024-05</v>
      </c>
      <c r="AF678" t="str">
        <f t="shared" si="54"/>
        <v>Q2-2024</v>
      </c>
    </row>
    <row r="679" spans="1:32" x14ac:dyDescent="0.3">
      <c r="A679" t="s">
        <v>1957</v>
      </c>
      <c r="B679" s="5">
        <v>5</v>
      </c>
      <c r="C679" s="4">
        <v>45495</v>
      </c>
      <c r="D679" s="4">
        <v>45507</v>
      </c>
      <c r="E679" t="s">
        <v>579</v>
      </c>
      <c r="F679" t="s">
        <v>580</v>
      </c>
      <c r="G679" t="s">
        <v>84</v>
      </c>
      <c r="H679" t="s">
        <v>31</v>
      </c>
      <c r="I679" t="s">
        <v>67</v>
      </c>
      <c r="J679" t="s">
        <v>1304</v>
      </c>
      <c r="K679" t="s">
        <v>1363</v>
      </c>
      <c r="L679" t="s">
        <v>788</v>
      </c>
      <c r="M679" t="s">
        <v>659</v>
      </c>
      <c r="N679" t="s">
        <v>754</v>
      </c>
      <c r="O679" t="s">
        <v>789</v>
      </c>
      <c r="P679" t="s">
        <v>29</v>
      </c>
      <c r="Q679" t="s">
        <v>30</v>
      </c>
      <c r="R679" t="s">
        <v>1114</v>
      </c>
      <c r="S679" t="s">
        <v>1156</v>
      </c>
      <c r="T679" s="5">
        <v>19</v>
      </c>
      <c r="U679" s="6">
        <v>58.95</v>
      </c>
      <c r="V679" s="6">
        <v>46.29</v>
      </c>
      <c r="W679" s="8">
        <v>0</v>
      </c>
      <c r="X679" s="6">
        <f t="shared" si="50"/>
        <v>1120.05</v>
      </c>
      <c r="Y679" s="6">
        <f t="shared" si="51"/>
        <v>879.51</v>
      </c>
      <c r="Z679" s="6">
        <f t="shared" si="52"/>
        <v>240.53999999999996</v>
      </c>
      <c r="AA679" t="s">
        <v>679</v>
      </c>
      <c r="AC679" s="5">
        <v>3</v>
      </c>
      <c r="AD679" t="s">
        <v>1140</v>
      </c>
      <c r="AE679" t="str">
        <f t="shared" si="53"/>
        <v>2024-07</v>
      </c>
      <c r="AF679" t="str">
        <f t="shared" si="54"/>
        <v>Q3-2024</v>
      </c>
    </row>
    <row r="680" spans="1:32" x14ac:dyDescent="0.3">
      <c r="A680" t="s">
        <v>1958</v>
      </c>
      <c r="B680" s="5">
        <v>2</v>
      </c>
      <c r="C680" s="4">
        <v>45975</v>
      </c>
      <c r="D680" s="4">
        <v>45985</v>
      </c>
      <c r="E680" t="s">
        <v>477</v>
      </c>
      <c r="F680" t="s">
        <v>1675</v>
      </c>
      <c r="G680" t="s">
        <v>74</v>
      </c>
      <c r="H680" t="s">
        <v>23</v>
      </c>
      <c r="I680" t="s">
        <v>109</v>
      </c>
      <c r="J680" t="s">
        <v>1300</v>
      </c>
      <c r="K680" t="s">
        <v>1301</v>
      </c>
      <c r="L680" t="s">
        <v>677</v>
      </c>
      <c r="M680" t="s">
        <v>659</v>
      </c>
      <c r="N680" t="s">
        <v>660</v>
      </c>
      <c r="O680" t="s">
        <v>678</v>
      </c>
      <c r="P680" t="s">
        <v>24</v>
      </c>
      <c r="Q680" t="s">
        <v>25</v>
      </c>
      <c r="R680" t="s">
        <v>1088</v>
      </c>
      <c r="S680" t="s">
        <v>1100</v>
      </c>
      <c r="T680" s="5">
        <v>2</v>
      </c>
      <c r="U680" s="6">
        <v>73.739999999999995</v>
      </c>
      <c r="V680" s="6">
        <v>53.6</v>
      </c>
      <c r="W680" s="8">
        <v>0</v>
      </c>
      <c r="X680" s="6">
        <f t="shared" si="50"/>
        <v>147.47999999999999</v>
      </c>
      <c r="Y680" s="6">
        <f t="shared" si="51"/>
        <v>107.2</v>
      </c>
      <c r="Z680" s="6">
        <f t="shared" si="52"/>
        <v>40.279999999999987</v>
      </c>
      <c r="AA680" t="s">
        <v>679</v>
      </c>
      <c r="AC680" s="5">
        <v>5</v>
      </c>
      <c r="AD680" t="s">
        <v>1140</v>
      </c>
      <c r="AE680" t="str">
        <f t="shared" si="53"/>
        <v>2025-11</v>
      </c>
      <c r="AF680" t="str">
        <f t="shared" si="54"/>
        <v>Q4-2025</v>
      </c>
    </row>
    <row r="681" spans="1:32" x14ac:dyDescent="0.3">
      <c r="A681" t="s">
        <v>1959</v>
      </c>
      <c r="B681" s="5">
        <v>1</v>
      </c>
      <c r="C681" s="4">
        <v>45866</v>
      </c>
      <c r="D681" s="4">
        <v>45880</v>
      </c>
      <c r="E681" t="s">
        <v>622</v>
      </c>
      <c r="F681" t="s">
        <v>623</v>
      </c>
      <c r="G681" t="s">
        <v>84</v>
      </c>
      <c r="H681" t="s">
        <v>20</v>
      </c>
      <c r="I681" t="s">
        <v>71</v>
      </c>
      <c r="J681" t="s">
        <v>1166</v>
      </c>
      <c r="K681" t="s">
        <v>1196</v>
      </c>
      <c r="L681" t="s">
        <v>914</v>
      </c>
      <c r="M681" t="s">
        <v>795</v>
      </c>
      <c r="N681" t="s">
        <v>898</v>
      </c>
      <c r="O681" t="s">
        <v>915</v>
      </c>
      <c r="P681" t="s">
        <v>29</v>
      </c>
      <c r="Q681" t="s">
        <v>30</v>
      </c>
      <c r="R681" t="s">
        <v>1114</v>
      </c>
      <c r="S681" t="s">
        <v>1156</v>
      </c>
      <c r="T681" s="5">
        <v>7</v>
      </c>
      <c r="U681" s="6">
        <v>200.95</v>
      </c>
      <c r="V681" s="6">
        <v>105.78</v>
      </c>
      <c r="W681" s="8">
        <v>0</v>
      </c>
      <c r="X681" s="6">
        <f t="shared" si="50"/>
        <v>1406.6499999999999</v>
      </c>
      <c r="Y681" s="6">
        <f t="shared" si="51"/>
        <v>740.46</v>
      </c>
      <c r="Z681" s="6">
        <f t="shared" si="52"/>
        <v>666.18999999999983</v>
      </c>
      <c r="AA681" t="s">
        <v>679</v>
      </c>
      <c r="AC681" s="5">
        <v>1</v>
      </c>
      <c r="AD681" t="s">
        <v>1110</v>
      </c>
      <c r="AE681" t="str">
        <f t="shared" si="53"/>
        <v>2025-07</v>
      </c>
      <c r="AF681" t="str">
        <f t="shared" si="54"/>
        <v>Q3-2025</v>
      </c>
    </row>
    <row r="682" spans="1:32" x14ac:dyDescent="0.3">
      <c r="A682" t="s">
        <v>1960</v>
      </c>
      <c r="B682" s="5">
        <v>3</v>
      </c>
      <c r="C682" s="4">
        <v>45310</v>
      </c>
      <c r="D682" s="4">
        <v>45309</v>
      </c>
      <c r="E682" t="s">
        <v>430</v>
      </c>
      <c r="F682" t="s">
        <v>1961</v>
      </c>
      <c r="G682" t="s">
        <v>74</v>
      </c>
      <c r="H682" t="s">
        <v>41</v>
      </c>
      <c r="I682" t="s">
        <v>75</v>
      </c>
      <c r="J682" t="s">
        <v>1142</v>
      </c>
      <c r="K682" t="s">
        <v>1143</v>
      </c>
      <c r="L682" t="s">
        <v>975</v>
      </c>
      <c r="M682" t="s">
        <v>929</v>
      </c>
      <c r="N682" t="s">
        <v>971</v>
      </c>
      <c r="O682" t="s">
        <v>976</v>
      </c>
      <c r="P682" t="s">
        <v>32</v>
      </c>
      <c r="Q682" t="s">
        <v>33</v>
      </c>
      <c r="R682" t="s">
        <v>1114</v>
      </c>
      <c r="S682" t="s">
        <v>1109</v>
      </c>
      <c r="T682" s="5">
        <v>8</v>
      </c>
      <c r="U682" s="6">
        <v>103.06</v>
      </c>
      <c r="V682" s="6">
        <v>66.319999999999993</v>
      </c>
      <c r="W682" s="8">
        <v>8.3199999999999996E-2</v>
      </c>
      <c r="X682" s="6">
        <f t="shared" si="50"/>
        <v>755.88326400000005</v>
      </c>
      <c r="Y682" s="6">
        <f t="shared" si="51"/>
        <v>530.55999999999995</v>
      </c>
      <c r="Z682" s="6">
        <f t="shared" si="52"/>
        <v>225.32326400000011</v>
      </c>
      <c r="AA682" t="s">
        <v>679</v>
      </c>
      <c r="AC682" s="5">
        <v>3</v>
      </c>
      <c r="AD682" t="s">
        <v>1105</v>
      </c>
      <c r="AE682" t="str">
        <f t="shared" si="53"/>
        <v>2024-01</v>
      </c>
      <c r="AF682" t="str">
        <f t="shared" si="54"/>
        <v>Q1-2024</v>
      </c>
    </row>
    <row r="683" spans="1:32" x14ac:dyDescent="0.3">
      <c r="A683" t="s">
        <v>1962</v>
      </c>
      <c r="B683" s="5">
        <v>1</v>
      </c>
      <c r="C683" s="4">
        <v>45966</v>
      </c>
      <c r="D683" s="4">
        <v>45967</v>
      </c>
      <c r="E683" t="s">
        <v>246</v>
      </c>
      <c r="F683" t="s">
        <v>247</v>
      </c>
      <c r="G683" t="s">
        <v>74</v>
      </c>
      <c r="H683" t="s">
        <v>41</v>
      </c>
      <c r="I683" t="s">
        <v>86</v>
      </c>
      <c r="J683" t="s">
        <v>1086</v>
      </c>
      <c r="K683" t="s">
        <v>1234</v>
      </c>
      <c r="L683" t="s">
        <v>993</v>
      </c>
      <c r="M683" t="s">
        <v>929</v>
      </c>
      <c r="N683" t="s">
        <v>971</v>
      </c>
      <c r="O683" t="s">
        <v>994</v>
      </c>
      <c r="P683" t="s">
        <v>48</v>
      </c>
      <c r="Q683" t="s">
        <v>49</v>
      </c>
      <c r="R683" t="s">
        <v>1088</v>
      </c>
      <c r="S683" t="s">
        <v>1095</v>
      </c>
      <c r="T683" s="5">
        <v>7</v>
      </c>
      <c r="U683" s="6">
        <v>290.49</v>
      </c>
      <c r="V683" s="6">
        <v>157.38</v>
      </c>
      <c r="W683" s="8">
        <v>0.3296</v>
      </c>
      <c r="X683" s="6">
        <f t="shared" si="50"/>
        <v>1363.211472</v>
      </c>
      <c r="Y683" s="6">
        <f t="shared" si="51"/>
        <v>1101.6599999999999</v>
      </c>
      <c r="Z683" s="6">
        <f t="shared" si="52"/>
        <v>261.5514720000001</v>
      </c>
      <c r="AA683" t="s">
        <v>679</v>
      </c>
      <c r="AC683" s="5">
        <v>4</v>
      </c>
      <c r="AD683" t="s">
        <v>1101</v>
      </c>
      <c r="AE683" t="str">
        <f t="shared" si="53"/>
        <v>2025-11</v>
      </c>
      <c r="AF683" t="str">
        <f t="shared" si="54"/>
        <v>Q4-2025</v>
      </c>
    </row>
    <row r="684" spans="1:32" x14ac:dyDescent="0.3">
      <c r="A684" t="s">
        <v>1963</v>
      </c>
      <c r="B684" s="5">
        <v>3</v>
      </c>
      <c r="C684" s="4">
        <v>45465</v>
      </c>
      <c r="D684" s="4">
        <v>45469</v>
      </c>
      <c r="E684" t="s">
        <v>461</v>
      </c>
      <c r="F684" t="s">
        <v>1964</v>
      </c>
      <c r="G684" t="s">
        <v>65</v>
      </c>
      <c r="H684" t="s">
        <v>20</v>
      </c>
      <c r="I684" t="s">
        <v>90</v>
      </c>
      <c r="J684" t="s">
        <v>1171</v>
      </c>
      <c r="K684" t="s">
        <v>1183</v>
      </c>
      <c r="L684" t="s">
        <v>843</v>
      </c>
      <c r="M684" t="s">
        <v>795</v>
      </c>
      <c r="N684" t="s">
        <v>837</v>
      </c>
      <c r="O684" t="s">
        <v>844</v>
      </c>
      <c r="P684" t="s">
        <v>42</v>
      </c>
      <c r="Q684" t="s">
        <v>43</v>
      </c>
      <c r="R684" t="s">
        <v>1094</v>
      </c>
      <c r="S684" t="s">
        <v>1089</v>
      </c>
      <c r="T684" s="5">
        <v>4</v>
      </c>
      <c r="U684" s="6">
        <v>280.13</v>
      </c>
      <c r="V684" s="6">
        <v>170.4</v>
      </c>
      <c r="W684" s="8">
        <v>0</v>
      </c>
      <c r="X684" s="6">
        <f t="shared" si="50"/>
        <v>1120.52</v>
      </c>
      <c r="Y684" s="6">
        <f t="shared" si="51"/>
        <v>681.6</v>
      </c>
      <c r="Z684" s="6">
        <f t="shared" si="52"/>
        <v>438.91999999999996</v>
      </c>
      <c r="AA684" t="s">
        <v>662</v>
      </c>
      <c r="AB684" t="s">
        <v>1414</v>
      </c>
      <c r="AC684" s="5">
        <v>2</v>
      </c>
      <c r="AD684" t="s">
        <v>1140</v>
      </c>
      <c r="AE684" t="str">
        <f t="shared" si="53"/>
        <v>2024-06</v>
      </c>
      <c r="AF684" t="str">
        <f t="shared" si="54"/>
        <v>Q2-2024</v>
      </c>
    </row>
    <row r="685" spans="1:32" x14ac:dyDescent="0.3">
      <c r="A685" t="s">
        <v>1965</v>
      </c>
      <c r="B685" s="5">
        <v>3</v>
      </c>
      <c r="C685" s="4">
        <v>45788</v>
      </c>
      <c r="D685" s="4">
        <v>45802</v>
      </c>
      <c r="E685" t="s">
        <v>612</v>
      </c>
      <c r="F685" t="s">
        <v>613</v>
      </c>
      <c r="G685" t="s">
        <v>65</v>
      </c>
      <c r="H685" t="s">
        <v>31</v>
      </c>
      <c r="I685" t="s">
        <v>160</v>
      </c>
      <c r="J685" t="s">
        <v>1092</v>
      </c>
      <c r="K685" t="s">
        <v>1093</v>
      </c>
      <c r="L685" t="s">
        <v>975</v>
      </c>
      <c r="M685" t="s">
        <v>929</v>
      </c>
      <c r="N685" t="s">
        <v>971</v>
      </c>
      <c r="O685" t="s">
        <v>976</v>
      </c>
      <c r="P685" t="s">
        <v>27</v>
      </c>
      <c r="Q685" t="s">
        <v>28</v>
      </c>
      <c r="R685" t="s">
        <v>1114</v>
      </c>
      <c r="S685" t="s">
        <v>1109</v>
      </c>
      <c r="T685" s="5">
        <v>3</v>
      </c>
      <c r="U685" s="6">
        <v>116.52</v>
      </c>
      <c r="V685" s="6">
        <v>66.319999999999993</v>
      </c>
      <c r="W685" s="8">
        <v>0</v>
      </c>
      <c r="X685" s="6">
        <f t="shared" si="50"/>
        <v>349.56</v>
      </c>
      <c r="Y685" s="6">
        <f t="shared" si="51"/>
        <v>198.95999999999998</v>
      </c>
      <c r="Z685" s="6">
        <f t="shared" si="52"/>
        <v>150.60000000000002</v>
      </c>
      <c r="AA685" t="s">
        <v>679</v>
      </c>
      <c r="AC685" s="5">
        <v>2</v>
      </c>
      <c r="AD685" t="s">
        <v>1214</v>
      </c>
      <c r="AE685" t="str">
        <f t="shared" si="53"/>
        <v>2025-05</v>
      </c>
      <c r="AF685" t="str">
        <f t="shared" si="54"/>
        <v>Q2-2025</v>
      </c>
    </row>
    <row r="686" spans="1:32" x14ac:dyDescent="0.3">
      <c r="A686" t="s">
        <v>1966</v>
      </c>
      <c r="B686" s="5">
        <v>2</v>
      </c>
      <c r="C686" s="4">
        <v>45700</v>
      </c>
      <c r="D686" s="4">
        <v>45702</v>
      </c>
      <c r="E686" t="s">
        <v>176</v>
      </c>
      <c r="F686" t="s">
        <v>177</v>
      </c>
      <c r="G686" t="s">
        <v>84</v>
      </c>
      <c r="H686" t="s">
        <v>23</v>
      </c>
      <c r="I686" t="s">
        <v>81</v>
      </c>
      <c r="J686" t="s">
        <v>1163</v>
      </c>
      <c r="K686" t="s">
        <v>1219</v>
      </c>
      <c r="L686" t="s">
        <v>997</v>
      </c>
      <c r="M686" t="s">
        <v>929</v>
      </c>
      <c r="N686" t="s">
        <v>971</v>
      </c>
      <c r="O686" t="s">
        <v>998</v>
      </c>
      <c r="P686" t="s">
        <v>24</v>
      </c>
      <c r="Q686" t="s">
        <v>25</v>
      </c>
      <c r="R686" t="s">
        <v>1114</v>
      </c>
      <c r="S686" t="s">
        <v>1095</v>
      </c>
      <c r="T686" s="5">
        <v>5</v>
      </c>
      <c r="U686" s="6">
        <v>112.78</v>
      </c>
      <c r="V686" s="6">
        <v>86.65</v>
      </c>
      <c r="W686" s="8">
        <v>0</v>
      </c>
      <c r="X686" s="6">
        <f t="shared" si="50"/>
        <v>563.9</v>
      </c>
      <c r="Y686" s="6">
        <f t="shared" si="51"/>
        <v>433.25</v>
      </c>
      <c r="Z686" s="6">
        <f t="shared" si="52"/>
        <v>130.64999999999998</v>
      </c>
      <c r="AA686" t="s">
        <v>679</v>
      </c>
      <c r="AC686" s="5"/>
      <c r="AD686" t="s">
        <v>1136</v>
      </c>
      <c r="AE686" t="str">
        <f t="shared" si="53"/>
        <v>2025-02</v>
      </c>
      <c r="AF686" t="str">
        <f t="shared" si="54"/>
        <v>Q1-2025</v>
      </c>
    </row>
    <row r="687" spans="1:32" x14ac:dyDescent="0.3">
      <c r="A687" t="s">
        <v>1967</v>
      </c>
      <c r="B687" s="5">
        <v>5</v>
      </c>
      <c r="C687" s="4">
        <v>45981</v>
      </c>
      <c r="D687" s="4">
        <v>45985</v>
      </c>
      <c r="E687" t="s">
        <v>432</v>
      </c>
      <c r="F687" t="s">
        <v>433</v>
      </c>
      <c r="G687" t="s">
        <v>65</v>
      </c>
      <c r="H687" t="s">
        <v>20</v>
      </c>
      <c r="I687" t="s">
        <v>71</v>
      </c>
      <c r="J687" t="s">
        <v>1112</v>
      </c>
      <c r="K687" t="s">
        <v>1113</v>
      </c>
      <c r="L687" t="s">
        <v>873</v>
      </c>
      <c r="M687" t="s">
        <v>795</v>
      </c>
      <c r="N687" t="s">
        <v>837</v>
      </c>
      <c r="O687" t="s">
        <v>874</v>
      </c>
      <c r="P687" t="s">
        <v>21</v>
      </c>
      <c r="Q687" t="s">
        <v>22</v>
      </c>
      <c r="R687" t="s">
        <v>126</v>
      </c>
      <c r="S687" t="s">
        <v>1109</v>
      </c>
      <c r="T687" s="5">
        <v>10</v>
      </c>
      <c r="U687" s="6">
        <v>187.4</v>
      </c>
      <c r="V687" s="6">
        <v>121.31</v>
      </c>
      <c r="W687" s="8">
        <v>0</v>
      </c>
      <c r="X687" s="6">
        <f t="shared" si="50"/>
        <v>1874</v>
      </c>
      <c r="Y687" s="6">
        <f t="shared" si="51"/>
        <v>1213.0999999999999</v>
      </c>
      <c r="Z687" s="6">
        <f t="shared" si="52"/>
        <v>660.90000000000009</v>
      </c>
      <c r="AA687" t="s">
        <v>679</v>
      </c>
      <c r="AC687" s="5">
        <v>3</v>
      </c>
      <c r="AD687" t="s">
        <v>1090</v>
      </c>
      <c r="AE687" t="str">
        <f t="shared" si="53"/>
        <v>2025-11</v>
      </c>
      <c r="AF687" t="str">
        <f t="shared" si="54"/>
        <v>Q4-2025</v>
      </c>
    </row>
    <row r="688" spans="1:32" x14ac:dyDescent="0.3">
      <c r="A688" t="s">
        <v>1968</v>
      </c>
      <c r="B688" s="5">
        <v>2</v>
      </c>
      <c r="C688" s="4">
        <v>45671</v>
      </c>
      <c r="D688" s="4">
        <v>45681</v>
      </c>
      <c r="E688" t="s">
        <v>227</v>
      </c>
      <c r="F688" t="s">
        <v>228</v>
      </c>
      <c r="G688" t="s">
        <v>80</v>
      </c>
      <c r="H688" t="s">
        <v>31</v>
      </c>
      <c r="I688" t="s">
        <v>127</v>
      </c>
      <c r="J688" t="s">
        <v>1098</v>
      </c>
      <c r="K688" t="s">
        <v>1161</v>
      </c>
      <c r="L688" t="s">
        <v>904</v>
      </c>
      <c r="M688" t="s">
        <v>795</v>
      </c>
      <c r="N688" t="s">
        <v>898</v>
      </c>
      <c r="O688" t="s">
        <v>905</v>
      </c>
      <c r="P688" t="s">
        <v>21</v>
      </c>
      <c r="Q688" t="s">
        <v>22</v>
      </c>
      <c r="R688" t="s">
        <v>1088</v>
      </c>
      <c r="S688" t="s">
        <v>1109</v>
      </c>
      <c r="T688" s="5">
        <v>31</v>
      </c>
      <c r="U688" s="6">
        <v>343.76</v>
      </c>
      <c r="V688" s="6">
        <v>186.51</v>
      </c>
      <c r="W688" s="8">
        <v>0</v>
      </c>
      <c r="X688" s="6">
        <f t="shared" si="50"/>
        <v>10656.56</v>
      </c>
      <c r="Y688" s="6">
        <f t="shared" si="51"/>
        <v>5781.8099999999995</v>
      </c>
      <c r="Z688" s="6">
        <f t="shared" si="52"/>
        <v>4874.75</v>
      </c>
      <c r="AA688" t="s">
        <v>679</v>
      </c>
      <c r="AC688" s="5">
        <v>5</v>
      </c>
      <c r="AD688" t="s">
        <v>1905</v>
      </c>
      <c r="AE688" t="str">
        <f t="shared" si="53"/>
        <v>2025-01</v>
      </c>
      <c r="AF688" t="str">
        <f t="shared" si="54"/>
        <v>Q1-2025</v>
      </c>
    </row>
    <row r="689" spans="1:32" x14ac:dyDescent="0.3">
      <c r="A689" t="s">
        <v>1969</v>
      </c>
      <c r="B689" s="5">
        <v>2</v>
      </c>
      <c r="C689" s="4">
        <v>45728</v>
      </c>
      <c r="D689" s="4">
        <v>45729</v>
      </c>
      <c r="E689" t="s">
        <v>154</v>
      </c>
      <c r="F689" t="s">
        <v>155</v>
      </c>
      <c r="G689" t="s">
        <v>65</v>
      </c>
      <c r="H689" t="s">
        <v>20</v>
      </c>
      <c r="I689" t="s">
        <v>90</v>
      </c>
      <c r="J689" t="s">
        <v>1171</v>
      </c>
      <c r="K689" t="s">
        <v>1183</v>
      </c>
      <c r="L689" t="s">
        <v>680</v>
      </c>
      <c r="M689" t="s">
        <v>659</v>
      </c>
      <c r="N689" t="s">
        <v>660</v>
      </c>
      <c r="O689" t="s">
        <v>681</v>
      </c>
      <c r="P689" t="s">
        <v>39</v>
      </c>
      <c r="Q689" t="s">
        <v>40</v>
      </c>
      <c r="R689" t="s">
        <v>1094</v>
      </c>
      <c r="S689" t="s">
        <v>1156</v>
      </c>
      <c r="T689" s="5">
        <v>5</v>
      </c>
      <c r="U689" s="6">
        <v>48.74</v>
      </c>
      <c r="V689" s="6">
        <v>36.96</v>
      </c>
      <c r="W689" s="8">
        <v>0</v>
      </c>
      <c r="X689" s="6">
        <f t="shared" si="50"/>
        <v>243.70000000000002</v>
      </c>
      <c r="Y689" s="6">
        <f t="shared" si="51"/>
        <v>184.8</v>
      </c>
      <c r="Z689" s="6">
        <f t="shared" si="52"/>
        <v>58.900000000000006</v>
      </c>
      <c r="AA689" t="s">
        <v>679</v>
      </c>
      <c r="AC689" s="5">
        <v>2</v>
      </c>
      <c r="AD689" t="s">
        <v>1136</v>
      </c>
      <c r="AE689" t="str">
        <f t="shared" si="53"/>
        <v>2025-03</v>
      </c>
      <c r="AF689" t="str">
        <f t="shared" si="54"/>
        <v>Q1-2025</v>
      </c>
    </row>
    <row r="690" spans="1:32" x14ac:dyDescent="0.3">
      <c r="A690" t="s">
        <v>1970</v>
      </c>
      <c r="B690" s="5">
        <v>1</v>
      </c>
      <c r="C690" s="4">
        <v>45752</v>
      </c>
      <c r="D690" s="4">
        <v>45763</v>
      </c>
      <c r="E690" t="s">
        <v>412</v>
      </c>
      <c r="F690" t="s">
        <v>413</v>
      </c>
      <c r="G690" t="s">
        <v>74</v>
      </c>
      <c r="H690" t="s">
        <v>20</v>
      </c>
      <c r="I690" t="s">
        <v>112</v>
      </c>
      <c r="J690" t="s">
        <v>1201</v>
      </c>
      <c r="K690" t="s">
        <v>1250</v>
      </c>
      <c r="L690" t="s">
        <v>932</v>
      </c>
      <c r="M690" t="s">
        <v>929</v>
      </c>
      <c r="N690" t="s">
        <v>930</v>
      </c>
      <c r="O690" t="s">
        <v>933</v>
      </c>
      <c r="P690" t="s">
        <v>17</v>
      </c>
      <c r="Q690" t="s">
        <v>18</v>
      </c>
      <c r="R690" t="s">
        <v>1088</v>
      </c>
      <c r="S690" t="s">
        <v>1156</v>
      </c>
      <c r="T690" s="5">
        <v>4</v>
      </c>
      <c r="U690" s="6">
        <v>179.68</v>
      </c>
      <c r="V690" s="6">
        <v>136.69</v>
      </c>
      <c r="W690" s="8">
        <v>0.11650000000000001</v>
      </c>
      <c r="X690" s="6">
        <f t="shared" si="50"/>
        <v>634.98911999999996</v>
      </c>
      <c r="Y690" s="6">
        <f t="shared" si="51"/>
        <v>546.76</v>
      </c>
      <c r="Z690" s="6">
        <f t="shared" si="52"/>
        <v>88.229119999999966</v>
      </c>
      <c r="AA690" t="s">
        <v>679</v>
      </c>
      <c r="AC690" s="5">
        <v>4</v>
      </c>
      <c r="AD690" t="s">
        <v>1105</v>
      </c>
      <c r="AE690" t="str">
        <f t="shared" si="53"/>
        <v>2025-04</v>
      </c>
      <c r="AF690" t="str">
        <f t="shared" si="54"/>
        <v>Q2-2025</v>
      </c>
    </row>
    <row r="691" spans="1:32" x14ac:dyDescent="0.3">
      <c r="A691" t="s">
        <v>1971</v>
      </c>
      <c r="B691" s="5">
        <v>4</v>
      </c>
      <c r="C691" s="4">
        <v>45899</v>
      </c>
      <c r="D691" s="4">
        <v>45913</v>
      </c>
      <c r="E691" t="s">
        <v>395</v>
      </c>
      <c r="F691" t="s">
        <v>396</v>
      </c>
      <c r="G691" t="s">
        <v>74</v>
      </c>
      <c r="H691" t="s">
        <v>20</v>
      </c>
      <c r="I691" t="s">
        <v>90</v>
      </c>
      <c r="J691" t="s">
        <v>1262</v>
      </c>
      <c r="K691" t="s">
        <v>1274</v>
      </c>
      <c r="L691" t="s">
        <v>970</v>
      </c>
      <c r="M691" t="s">
        <v>929</v>
      </c>
      <c r="N691" t="s">
        <v>971</v>
      </c>
      <c r="O691" t="s">
        <v>972</v>
      </c>
      <c r="P691" t="s">
        <v>42</v>
      </c>
      <c r="Q691" t="s">
        <v>43</v>
      </c>
      <c r="R691" t="s">
        <v>1094</v>
      </c>
      <c r="S691" t="s">
        <v>1089</v>
      </c>
      <c r="T691" s="5">
        <v>18</v>
      </c>
      <c r="U691" s="6">
        <v>148.13</v>
      </c>
      <c r="V691" s="6">
        <v>121.04</v>
      </c>
      <c r="W691" s="8">
        <v>0</v>
      </c>
      <c r="X691" s="6">
        <f t="shared" si="50"/>
        <v>2666.34</v>
      </c>
      <c r="Y691" s="6">
        <f t="shared" si="51"/>
        <v>2178.7200000000003</v>
      </c>
      <c r="Z691" s="6">
        <f t="shared" si="52"/>
        <v>487.61999999999989</v>
      </c>
      <c r="AA691" t="s">
        <v>679</v>
      </c>
      <c r="AC691" s="5">
        <v>5</v>
      </c>
      <c r="AD691" t="s">
        <v>1096</v>
      </c>
      <c r="AE691" t="str">
        <f t="shared" si="53"/>
        <v>2025-08</v>
      </c>
      <c r="AF691" t="str">
        <f t="shared" si="54"/>
        <v>Q3-2025</v>
      </c>
    </row>
    <row r="692" spans="1:32" x14ac:dyDescent="0.3">
      <c r="A692" t="s">
        <v>1972</v>
      </c>
      <c r="B692" s="5">
        <v>5</v>
      </c>
      <c r="C692" s="4">
        <v>45314</v>
      </c>
      <c r="D692" s="4">
        <v>45322</v>
      </c>
      <c r="E692" t="s">
        <v>426</v>
      </c>
      <c r="F692" t="s">
        <v>427</v>
      </c>
      <c r="G692" t="s">
        <v>104</v>
      </c>
      <c r="H692" t="s">
        <v>20</v>
      </c>
      <c r="I692" t="s">
        <v>90</v>
      </c>
      <c r="J692" t="s">
        <v>1171</v>
      </c>
      <c r="K692" t="s">
        <v>1379</v>
      </c>
      <c r="L692" t="s">
        <v>975</v>
      </c>
      <c r="M692" t="s">
        <v>929</v>
      </c>
      <c r="N692" t="s">
        <v>971</v>
      </c>
      <c r="O692" t="s">
        <v>976</v>
      </c>
      <c r="P692" t="s">
        <v>34</v>
      </c>
      <c r="Q692" t="s">
        <v>35</v>
      </c>
      <c r="R692" t="s">
        <v>1114</v>
      </c>
      <c r="S692" t="s">
        <v>1109</v>
      </c>
      <c r="T692" s="5">
        <v>8</v>
      </c>
      <c r="U692" s="6">
        <v>127.08</v>
      </c>
      <c r="V692" s="6">
        <v>66.319999999999993</v>
      </c>
      <c r="W692" s="8">
        <v>0</v>
      </c>
      <c r="X692" s="6">
        <f t="shared" si="50"/>
        <v>1016.64</v>
      </c>
      <c r="Y692" s="6">
        <f t="shared" si="51"/>
        <v>530.55999999999995</v>
      </c>
      <c r="Z692" s="6">
        <f t="shared" si="52"/>
        <v>486.08000000000004</v>
      </c>
      <c r="AA692" t="s">
        <v>679</v>
      </c>
      <c r="AC692" s="5"/>
      <c r="AD692" t="s">
        <v>1096</v>
      </c>
      <c r="AE692" t="str">
        <f t="shared" si="53"/>
        <v>2024-01</v>
      </c>
      <c r="AF692" t="str">
        <f t="shared" si="54"/>
        <v>Q1-2024</v>
      </c>
    </row>
    <row r="693" spans="1:32" x14ac:dyDescent="0.3">
      <c r="A693" t="s">
        <v>1973</v>
      </c>
      <c r="B693" s="5">
        <v>4</v>
      </c>
      <c r="C693" s="4">
        <v>45471</v>
      </c>
      <c r="D693" s="4">
        <v>45479</v>
      </c>
      <c r="E693" t="s">
        <v>453</v>
      </c>
      <c r="F693" t="s">
        <v>454</v>
      </c>
      <c r="G693" t="s">
        <v>65</v>
      </c>
      <c r="H693" t="s">
        <v>41</v>
      </c>
      <c r="I693" t="s">
        <v>75</v>
      </c>
      <c r="J693" t="s">
        <v>1142</v>
      </c>
      <c r="K693" t="s">
        <v>1143</v>
      </c>
      <c r="L693" t="s">
        <v>727</v>
      </c>
      <c r="M693" t="s">
        <v>659</v>
      </c>
      <c r="N693" t="s">
        <v>713</v>
      </c>
      <c r="O693" t="s">
        <v>728</v>
      </c>
      <c r="P693" t="s">
        <v>39</v>
      </c>
      <c r="Q693" t="s">
        <v>40</v>
      </c>
      <c r="R693" t="s">
        <v>1114</v>
      </c>
      <c r="S693" t="s">
        <v>1089</v>
      </c>
      <c r="T693" s="5">
        <v>2</v>
      </c>
      <c r="U693" s="6">
        <v>22.24</v>
      </c>
      <c r="V693" s="6">
        <v>13.85</v>
      </c>
      <c r="W693" s="8">
        <v>0</v>
      </c>
      <c r="X693" s="6">
        <f t="shared" si="50"/>
        <v>44.48</v>
      </c>
      <c r="Y693" s="6">
        <f t="shared" si="51"/>
        <v>27.7</v>
      </c>
      <c r="Z693" s="6">
        <f t="shared" si="52"/>
        <v>16.779999999999998</v>
      </c>
      <c r="AA693" t="s">
        <v>679</v>
      </c>
      <c r="AC693" s="5">
        <v>5</v>
      </c>
      <c r="AD693" t="s">
        <v>1148</v>
      </c>
      <c r="AE693" t="str">
        <f t="shared" si="53"/>
        <v>2024-06</v>
      </c>
      <c r="AF693" t="str">
        <f t="shared" si="54"/>
        <v>Q2-2024</v>
      </c>
    </row>
    <row r="694" spans="1:32" x14ac:dyDescent="0.3">
      <c r="A694" t="s">
        <v>1974</v>
      </c>
      <c r="B694" s="5">
        <v>4</v>
      </c>
      <c r="C694" s="4">
        <v>45380</v>
      </c>
      <c r="D694" s="4">
        <v>45387</v>
      </c>
      <c r="E694" t="s">
        <v>414</v>
      </c>
      <c r="F694" t="s">
        <v>415</v>
      </c>
      <c r="G694" t="s">
        <v>84</v>
      </c>
      <c r="H694" t="s">
        <v>31</v>
      </c>
      <c r="I694" t="s">
        <v>127</v>
      </c>
      <c r="J694" t="s">
        <v>1098</v>
      </c>
      <c r="K694" t="s">
        <v>1161</v>
      </c>
      <c r="L694" t="s">
        <v>802</v>
      </c>
      <c r="M694" t="s">
        <v>795</v>
      </c>
      <c r="N694" t="s">
        <v>796</v>
      </c>
      <c r="O694" t="s">
        <v>803</v>
      </c>
      <c r="P694" t="s">
        <v>48</v>
      </c>
      <c r="Q694" t="s">
        <v>49</v>
      </c>
      <c r="R694" t="s">
        <v>126</v>
      </c>
      <c r="S694" t="s">
        <v>1095</v>
      </c>
      <c r="T694" s="5">
        <v>4</v>
      </c>
      <c r="U694" s="6">
        <v>241.67</v>
      </c>
      <c r="V694" s="6">
        <v>169.93</v>
      </c>
      <c r="W694" s="8">
        <v>0</v>
      </c>
      <c r="X694" s="6">
        <f t="shared" si="50"/>
        <v>966.68</v>
      </c>
      <c r="Y694" s="6">
        <f t="shared" si="51"/>
        <v>679.72</v>
      </c>
      <c r="Z694" s="6">
        <f t="shared" si="52"/>
        <v>286.95999999999992</v>
      </c>
      <c r="AA694" t="s">
        <v>679</v>
      </c>
      <c r="AC694" s="5">
        <v>1</v>
      </c>
      <c r="AD694" t="s">
        <v>1123</v>
      </c>
      <c r="AE694" t="str">
        <f t="shared" si="53"/>
        <v>2024-03</v>
      </c>
      <c r="AF694" t="str">
        <f t="shared" si="54"/>
        <v>Q1-2024</v>
      </c>
    </row>
    <row r="695" spans="1:32" x14ac:dyDescent="0.3">
      <c r="A695" t="s">
        <v>1975</v>
      </c>
      <c r="B695" s="5">
        <v>4</v>
      </c>
      <c r="C695" s="4">
        <v>45848</v>
      </c>
      <c r="D695" s="4">
        <v>45849</v>
      </c>
      <c r="E695" t="s">
        <v>422</v>
      </c>
      <c r="F695" t="s">
        <v>423</v>
      </c>
      <c r="G695" t="s">
        <v>74</v>
      </c>
      <c r="H695" t="s">
        <v>23</v>
      </c>
      <c r="I695" t="s">
        <v>93</v>
      </c>
      <c r="J695" t="s">
        <v>1294</v>
      </c>
      <c r="K695" t="s">
        <v>1295</v>
      </c>
      <c r="L695" t="s">
        <v>1042</v>
      </c>
      <c r="M695" t="s">
        <v>1002</v>
      </c>
      <c r="N695" t="s">
        <v>1034</v>
      </c>
      <c r="O695" t="s">
        <v>1043</v>
      </c>
      <c r="P695" t="s">
        <v>42</v>
      </c>
      <c r="Q695" t="s">
        <v>43</v>
      </c>
      <c r="R695" t="s">
        <v>1114</v>
      </c>
      <c r="S695" t="s">
        <v>1109</v>
      </c>
      <c r="T695" s="5">
        <v>4</v>
      </c>
      <c r="U695" s="6">
        <v>124.77</v>
      </c>
      <c r="V695" s="6">
        <v>97.73</v>
      </c>
      <c r="W695" s="8">
        <v>0.1603</v>
      </c>
      <c r="X695" s="6">
        <f t="shared" si="50"/>
        <v>419.07747599999999</v>
      </c>
      <c r="Y695" s="6">
        <f t="shared" si="51"/>
        <v>390.92</v>
      </c>
      <c r="Z695" s="6">
        <f t="shared" si="52"/>
        <v>28.157475999999974</v>
      </c>
      <c r="AA695" t="s">
        <v>679</v>
      </c>
      <c r="AC695" s="5"/>
      <c r="AD695" t="s">
        <v>1136</v>
      </c>
      <c r="AE695" t="str">
        <f t="shared" si="53"/>
        <v>2025-07</v>
      </c>
      <c r="AF695" t="str">
        <f t="shared" si="54"/>
        <v>Q3-2025</v>
      </c>
    </row>
    <row r="696" spans="1:32" x14ac:dyDescent="0.3">
      <c r="A696" t="s">
        <v>1976</v>
      </c>
      <c r="B696" s="5">
        <v>5</v>
      </c>
      <c r="C696" s="4">
        <v>45848</v>
      </c>
      <c r="D696" s="4">
        <v>45860</v>
      </c>
      <c r="E696" t="s">
        <v>542</v>
      </c>
      <c r="F696" t="s">
        <v>543</v>
      </c>
      <c r="G696" t="s">
        <v>65</v>
      </c>
      <c r="H696" t="s">
        <v>23</v>
      </c>
      <c r="I696" t="s">
        <v>81</v>
      </c>
      <c r="J696" t="s">
        <v>1163</v>
      </c>
      <c r="K696" t="s">
        <v>1219</v>
      </c>
      <c r="L696" t="s">
        <v>727</v>
      </c>
      <c r="M696" t="s">
        <v>659</v>
      </c>
      <c r="N696" t="s">
        <v>713</v>
      </c>
      <c r="O696" t="s">
        <v>728</v>
      </c>
      <c r="P696" t="s">
        <v>44</v>
      </c>
      <c r="Q696" t="s">
        <v>45</v>
      </c>
      <c r="R696" t="s">
        <v>1088</v>
      </c>
      <c r="S696" t="s">
        <v>1156</v>
      </c>
      <c r="T696" s="5">
        <v>4</v>
      </c>
      <c r="U696" s="6">
        <v>27.4</v>
      </c>
      <c r="V696" s="6">
        <v>13.85</v>
      </c>
      <c r="W696" s="8">
        <v>0</v>
      </c>
      <c r="X696" s="6">
        <f t="shared" si="50"/>
        <v>109.6</v>
      </c>
      <c r="Y696" s="6">
        <f t="shared" si="51"/>
        <v>55.4</v>
      </c>
      <c r="Z696" s="6">
        <f t="shared" si="52"/>
        <v>54.199999999999996</v>
      </c>
      <c r="AA696" t="s">
        <v>679</v>
      </c>
      <c r="AC696" s="5"/>
      <c r="AD696" t="s">
        <v>1096</v>
      </c>
      <c r="AE696" t="str">
        <f t="shared" si="53"/>
        <v>2025-07</v>
      </c>
      <c r="AF696" t="str">
        <f t="shared" si="54"/>
        <v>Q3-2025</v>
      </c>
    </row>
    <row r="697" spans="1:32" x14ac:dyDescent="0.3">
      <c r="A697" t="s">
        <v>1977</v>
      </c>
      <c r="B697" s="5">
        <v>3</v>
      </c>
      <c r="C697" s="4">
        <v>45654</v>
      </c>
      <c r="D697" s="4">
        <v>45655</v>
      </c>
      <c r="E697" t="s">
        <v>508</v>
      </c>
      <c r="F697" t="s">
        <v>131</v>
      </c>
      <c r="G697" t="s">
        <v>104</v>
      </c>
      <c r="H697" t="s">
        <v>23</v>
      </c>
      <c r="I697" t="s">
        <v>81</v>
      </c>
      <c r="J697" t="s">
        <v>1119</v>
      </c>
      <c r="K697" t="s">
        <v>1291</v>
      </c>
      <c r="L697" t="s">
        <v>940</v>
      </c>
      <c r="M697" t="s">
        <v>929</v>
      </c>
      <c r="N697" t="s">
        <v>930</v>
      </c>
      <c r="O697" t="s">
        <v>941</v>
      </c>
      <c r="P697" t="s">
        <v>32</v>
      </c>
      <c r="Q697" t="s">
        <v>33</v>
      </c>
      <c r="R697" t="s">
        <v>1114</v>
      </c>
      <c r="S697" t="s">
        <v>1089</v>
      </c>
      <c r="T697" s="5">
        <v>39</v>
      </c>
      <c r="U697" s="6">
        <v>183.88</v>
      </c>
      <c r="V697" s="6">
        <v>157.07</v>
      </c>
      <c r="W697" s="8">
        <v>0.1188</v>
      </c>
      <c r="X697" s="6">
        <f t="shared" si="50"/>
        <v>6319.3671839999997</v>
      </c>
      <c r="Y697" s="6">
        <f t="shared" si="51"/>
        <v>6125.73</v>
      </c>
      <c r="Z697" s="6">
        <f t="shared" si="52"/>
        <v>193.63718400000016</v>
      </c>
      <c r="AA697" t="s">
        <v>679</v>
      </c>
      <c r="AC697" s="5">
        <v>3</v>
      </c>
      <c r="AD697" t="s">
        <v>1101</v>
      </c>
      <c r="AE697" t="str">
        <f t="shared" si="53"/>
        <v>2024-12</v>
      </c>
      <c r="AF697" t="str">
        <f t="shared" si="54"/>
        <v>Q4-2024</v>
      </c>
    </row>
    <row r="698" spans="1:32" x14ac:dyDescent="0.3">
      <c r="A698" t="s">
        <v>1978</v>
      </c>
      <c r="B698" s="5">
        <v>4</v>
      </c>
      <c r="C698" s="4">
        <v>45440</v>
      </c>
      <c r="D698" s="4">
        <v>45454</v>
      </c>
      <c r="E698" t="s">
        <v>303</v>
      </c>
      <c r="F698" t="s">
        <v>304</v>
      </c>
      <c r="G698" t="s">
        <v>74</v>
      </c>
      <c r="H698" t="s">
        <v>31</v>
      </c>
      <c r="I698" t="s">
        <v>160</v>
      </c>
      <c r="J698" t="s">
        <v>1092</v>
      </c>
      <c r="K698" t="s">
        <v>1150</v>
      </c>
      <c r="L698" t="s">
        <v>788</v>
      </c>
      <c r="M698" t="s">
        <v>659</v>
      </c>
      <c r="N698" t="s">
        <v>754</v>
      </c>
      <c r="O698" t="s">
        <v>789</v>
      </c>
      <c r="P698" t="s">
        <v>27</v>
      </c>
      <c r="Q698" t="s">
        <v>28</v>
      </c>
      <c r="R698" t="s">
        <v>1088</v>
      </c>
      <c r="S698" t="s">
        <v>1089</v>
      </c>
      <c r="T698" s="5">
        <v>9</v>
      </c>
      <c r="U698" s="6">
        <v>74.7</v>
      </c>
      <c r="V698" s="6">
        <v>46.29</v>
      </c>
      <c r="W698" s="8">
        <v>0.26790000000000003</v>
      </c>
      <c r="X698" s="6">
        <f t="shared" si="50"/>
        <v>492.19083000000001</v>
      </c>
      <c r="Y698" s="6">
        <f t="shared" si="51"/>
        <v>416.61</v>
      </c>
      <c r="Z698" s="6">
        <f t="shared" si="52"/>
        <v>75.580829999999992</v>
      </c>
      <c r="AA698" t="s">
        <v>679</v>
      </c>
      <c r="AC698" s="5">
        <v>3</v>
      </c>
      <c r="AD698" t="s">
        <v>1090</v>
      </c>
      <c r="AE698" t="str">
        <f t="shared" si="53"/>
        <v>2024-05</v>
      </c>
      <c r="AF698" t="str">
        <f t="shared" si="54"/>
        <v>Q2-2024</v>
      </c>
    </row>
    <row r="699" spans="1:32" x14ac:dyDescent="0.3">
      <c r="A699" t="s">
        <v>1979</v>
      </c>
      <c r="B699" s="5">
        <v>4</v>
      </c>
      <c r="C699" s="4">
        <v>45681</v>
      </c>
      <c r="D699" s="4">
        <v>45684</v>
      </c>
      <c r="E699" t="s">
        <v>633</v>
      </c>
      <c r="F699" t="s">
        <v>506</v>
      </c>
      <c r="G699" t="s">
        <v>65</v>
      </c>
      <c r="H699" t="s">
        <v>20</v>
      </c>
      <c r="I699" t="s">
        <v>112</v>
      </c>
      <c r="J699" t="s">
        <v>1158</v>
      </c>
      <c r="K699" t="s">
        <v>1159</v>
      </c>
      <c r="L699" t="s">
        <v>712</v>
      </c>
      <c r="M699" t="s">
        <v>659</v>
      </c>
      <c r="N699" t="s">
        <v>713</v>
      </c>
      <c r="O699" t="s">
        <v>714</v>
      </c>
      <c r="P699" t="s">
        <v>34</v>
      </c>
      <c r="Q699" t="s">
        <v>35</v>
      </c>
      <c r="R699" t="s">
        <v>1088</v>
      </c>
      <c r="S699" t="s">
        <v>1095</v>
      </c>
      <c r="T699" s="5">
        <v>4</v>
      </c>
      <c r="U699" s="6">
        <v>6.45</v>
      </c>
      <c r="V699" s="6">
        <v>5</v>
      </c>
      <c r="W699" s="8">
        <v>0.30220000000000002</v>
      </c>
      <c r="X699" s="6">
        <f t="shared" si="50"/>
        <v>18.003239999999998</v>
      </c>
      <c r="Y699" s="6">
        <f t="shared" si="51"/>
        <v>20</v>
      </c>
      <c r="Z699" s="6">
        <f t="shared" si="52"/>
        <v>-1.9967600000000019</v>
      </c>
      <c r="AA699" t="s">
        <v>679</v>
      </c>
      <c r="AC699" s="5">
        <v>4</v>
      </c>
      <c r="AE699" t="str">
        <f t="shared" si="53"/>
        <v>2025-01</v>
      </c>
      <c r="AF699" t="str">
        <f t="shared" si="54"/>
        <v>Q1-2025</v>
      </c>
    </row>
    <row r="700" spans="1:32" x14ac:dyDescent="0.3">
      <c r="A700" t="s">
        <v>1980</v>
      </c>
      <c r="B700" s="5">
        <v>2</v>
      </c>
      <c r="C700" s="4">
        <v>45599</v>
      </c>
      <c r="D700" s="4">
        <v>45601</v>
      </c>
      <c r="E700" t="s">
        <v>461</v>
      </c>
      <c r="F700" t="s">
        <v>462</v>
      </c>
      <c r="G700" t="s">
        <v>65</v>
      </c>
      <c r="H700" t="s">
        <v>31</v>
      </c>
      <c r="I700" t="s">
        <v>127</v>
      </c>
      <c r="J700" t="s">
        <v>1116</v>
      </c>
      <c r="K700" t="s">
        <v>1153</v>
      </c>
      <c r="L700" t="s">
        <v>1021</v>
      </c>
      <c r="M700" t="s">
        <v>1002</v>
      </c>
      <c r="N700" t="s">
        <v>1003</v>
      </c>
      <c r="O700" t="s">
        <v>1022</v>
      </c>
      <c r="P700" t="s">
        <v>34</v>
      </c>
      <c r="Q700" t="s">
        <v>35</v>
      </c>
      <c r="R700" t="s">
        <v>1088</v>
      </c>
      <c r="S700" t="s">
        <v>1089</v>
      </c>
      <c r="T700" s="5">
        <v>18</v>
      </c>
      <c r="U700" s="6">
        <v>216.8</v>
      </c>
      <c r="V700" s="6">
        <v>154.5</v>
      </c>
      <c r="W700" s="8">
        <v>0</v>
      </c>
      <c r="X700" s="6">
        <f t="shared" si="50"/>
        <v>3902.4</v>
      </c>
      <c r="Y700" s="6">
        <f t="shared" si="51"/>
        <v>2781</v>
      </c>
      <c r="Z700" s="6">
        <f t="shared" si="52"/>
        <v>1121.4000000000001</v>
      </c>
      <c r="AA700" t="s">
        <v>679</v>
      </c>
      <c r="AC700" s="5"/>
      <c r="AD700" t="s">
        <v>1140</v>
      </c>
      <c r="AE700" t="str">
        <f t="shared" si="53"/>
        <v>2024-11</v>
      </c>
      <c r="AF700" t="str">
        <f t="shared" si="54"/>
        <v>Q4-2024</v>
      </c>
    </row>
    <row r="701" spans="1:32" x14ac:dyDescent="0.3">
      <c r="A701" t="s">
        <v>1981</v>
      </c>
      <c r="B701" s="5">
        <v>3</v>
      </c>
      <c r="C701" s="4">
        <v>45424</v>
      </c>
      <c r="D701" s="4">
        <v>45424</v>
      </c>
      <c r="E701" t="s">
        <v>626</v>
      </c>
      <c r="F701" t="s">
        <v>627</v>
      </c>
      <c r="G701" t="s">
        <v>84</v>
      </c>
      <c r="H701" t="s">
        <v>23</v>
      </c>
      <c r="I701" t="s">
        <v>93</v>
      </c>
      <c r="J701" t="s">
        <v>1192</v>
      </c>
      <c r="K701" t="s">
        <v>1227</v>
      </c>
      <c r="L701" t="s">
        <v>665</v>
      </c>
      <c r="M701" t="s">
        <v>659</v>
      </c>
      <c r="N701" t="s">
        <v>660</v>
      </c>
      <c r="O701" t="s">
        <v>666</v>
      </c>
      <c r="P701" t="s">
        <v>29</v>
      </c>
      <c r="Q701" t="s">
        <v>30</v>
      </c>
      <c r="R701" t="s">
        <v>1088</v>
      </c>
      <c r="S701" t="s">
        <v>1095</v>
      </c>
      <c r="T701" s="5">
        <v>11</v>
      </c>
      <c r="U701" s="6">
        <v>227.18</v>
      </c>
      <c r="V701" s="6">
        <v>134.65</v>
      </c>
      <c r="W701" s="8">
        <v>0.2432</v>
      </c>
      <c r="X701" s="6">
        <f t="shared" si="50"/>
        <v>1891.2280640000001</v>
      </c>
      <c r="Y701" s="6">
        <f t="shared" si="51"/>
        <v>1481.15</v>
      </c>
      <c r="Z701" s="6">
        <f t="shared" si="52"/>
        <v>410.07806400000004</v>
      </c>
      <c r="AA701" t="s">
        <v>679</v>
      </c>
      <c r="AC701" s="5">
        <v>2</v>
      </c>
      <c r="AD701" t="s">
        <v>1096</v>
      </c>
      <c r="AE701" t="str">
        <f t="shared" si="53"/>
        <v>2024-05</v>
      </c>
      <c r="AF701" t="str">
        <f t="shared" si="54"/>
        <v>Q2-2024</v>
      </c>
    </row>
    <row r="702" spans="1:32" x14ac:dyDescent="0.3">
      <c r="A702" t="s">
        <v>1982</v>
      </c>
      <c r="B702" s="5">
        <v>1</v>
      </c>
      <c r="C702" s="4">
        <v>45886</v>
      </c>
      <c r="D702" s="4">
        <v>45892</v>
      </c>
      <c r="E702" t="s">
        <v>128</v>
      </c>
      <c r="F702" t="s">
        <v>129</v>
      </c>
      <c r="G702" t="s">
        <v>65</v>
      </c>
      <c r="H702" t="s">
        <v>41</v>
      </c>
      <c r="I702" t="s">
        <v>75</v>
      </c>
      <c r="J702" t="s">
        <v>1142</v>
      </c>
      <c r="K702" t="s">
        <v>1198</v>
      </c>
      <c r="L702" t="s">
        <v>1027</v>
      </c>
      <c r="M702" t="s">
        <v>1002</v>
      </c>
      <c r="N702" t="s">
        <v>1003</v>
      </c>
      <c r="O702" t="s">
        <v>1028</v>
      </c>
      <c r="P702" t="s">
        <v>48</v>
      </c>
      <c r="Q702" t="s">
        <v>49</v>
      </c>
      <c r="R702" t="s">
        <v>1114</v>
      </c>
      <c r="S702" t="s">
        <v>1156</v>
      </c>
      <c r="T702" s="5">
        <v>17</v>
      </c>
      <c r="U702" s="6">
        <v>217.31</v>
      </c>
      <c r="V702" s="6">
        <v>131.69</v>
      </c>
      <c r="W702" s="8">
        <v>0</v>
      </c>
      <c r="X702" s="6">
        <f t="shared" si="50"/>
        <v>3694.27</v>
      </c>
      <c r="Y702" s="6">
        <f t="shared" si="51"/>
        <v>2238.73</v>
      </c>
      <c r="Z702" s="6">
        <f t="shared" si="52"/>
        <v>1455.54</v>
      </c>
      <c r="AA702" t="s">
        <v>679</v>
      </c>
      <c r="AC702" s="5">
        <v>3</v>
      </c>
      <c r="AD702" t="s">
        <v>1096</v>
      </c>
      <c r="AE702" t="str">
        <f t="shared" si="53"/>
        <v>2025-08</v>
      </c>
      <c r="AF702" t="str">
        <f t="shared" si="54"/>
        <v>Q3-2025</v>
      </c>
    </row>
    <row r="703" spans="1:32" x14ac:dyDescent="0.3">
      <c r="A703" t="s">
        <v>1983</v>
      </c>
      <c r="B703" s="5">
        <v>3</v>
      </c>
      <c r="C703" s="4">
        <v>45656</v>
      </c>
      <c r="D703" s="4">
        <v>45657</v>
      </c>
      <c r="E703" t="s">
        <v>322</v>
      </c>
      <c r="F703" t="s">
        <v>323</v>
      </c>
      <c r="G703" t="s">
        <v>104</v>
      </c>
      <c r="H703" t="s">
        <v>31</v>
      </c>
      <c r="I703" t="s">
        <v>160</v>
      </c>
      <c r="J703" t="s">
        <v>1092</v>
      </c>
      <c r="K703" t="s">
        <v>1135</v>
      </c>
      <c r="L703" t="s">
        <v>918</v>
      </c>
      <c r="M703" t="s">
        <v>795</v>
      </c>
      <c r="N703" t="s">
        <v>898</v>
      </c>
      <c r="O703" t="s">
        <v>919</v>
      </c>
      <c r="P703" t="s">
        <v>21</v>
      </c>
      <c r="Q703" t="s">
        <v>22</v>
      </c>
      <c r="R703" t="s">
        <v>1094</v>
      </c>
      <c r="S703" t="s">
        <v>1089</v>
      </c>
      <c r="T703" s="5">
        <v>1</v>
      </c>
      <c r="U703" s="6">
        <v>253.96</v>
      </c>
      <c r="V703" s="6">
        <v>157.71</v>
      </c>
      <c r="W703" s="8">
        <v>0.28029999999999999</v>
      </c>
      <c r="X703" s="6">
        <f t="shared" si="50"/>
        <v>182.775012</v>
      </c>
      <c r="Y703" s="6">
        <f t="shared" si="51"/>
        <v>157.71</v>
      </c>
      <c r="Z703" s="6">
        <f t="shared" si="52"/>
        <v>25.065011999999996</v>
      </c>
      <c r="AA703" t="s">
        <v>679</v>
      </c>
      <c r="AC703" s="5"/>
      <c r="AE703" t="str">
        <f t="shared" si="53"/>
        <v>2024-12</v>
      </c>
      <c r="AF703" t="str">
        <f t="shared" si="54"/>
        <v>Q4-2024</v>
      </c>
    </row>
    <row r="704" spans="1:32" x14ac:dyDescent="0.3">
      <c r="A704" t="s">
        <v>1984</v>
      </c>
      <c r="B704" s="5">
        <v>2</v>
      </c>
      <c r="C704" s="4">
        <v>45901</v>
      </c>
      <c r="D704" s="4">
        <v>45909</v>
      </c>
      <c r="E704" t="s">
        <v>150</v>
      </c>
      <c r="F704" t="s">
        <v>151</v>
      </c>
      <c r="G704" t="s">
        <v>84</v>
      </c>
      <c r="H704" t="s">
        <v>41</v>
      </c>
      <c r="I704" t="s">
        <v>86</v>
      </c>
      <c r="J704" t="s">
        <v>1107</v>
      </c>
      <c r="K704" t="s">
        <v>1230</v>
      </c>
      <c r="L704" t="s">
        <v>1005</v>
      </c>
      <c r="M704" t="s">
        <v>1002</v>
      </c>
      <c r="N704" t="s">
        <v>1003</v>
      </c>
      <c r="O704" t="s">
        <v>1006</v>
      </c>
      <c r="P704" t="s">
        <v>46</v>
      </c>
      <c r="Q704" t="s">
        <v>47</v>
      </c>
      <c r="R704" t="s">
        <v>1088</v>
      </c>
      <c r="S704" t="s">
        <v>1156</v>
      </c>
      <c r="T704" s="5">
        <v>25</v>
      </c>
      <c r="U704" s="6">
        <v>108.22</v>
      </c>
      <c r="V704" s="6">
        <v>76.489999999999995</v>
      </c>
      <c r="W704" s="8">
        <v>0</v>
      </c>
      <c r="X704" s="6">
        <f t="shared" si="50"/>
        <v>2705.5</v>
      </c>
      <c r="Y704" s="6">
        <f t="shared" si="51"/>
        <v>1912.2499999999998</v>
      </c>
      <c r="Z704" s="6">
        <f t="shared" si="52"/>
        <v>793.25000000000023</v>
      </c>
      <c r="AA704" t="s">
        <v>679</v>
      </c>
      <c r="AC704" s="5"/>
      <c r="AE704" t="str">
        <f t="shared" si="53"/>
        <v>2025-09</v>
      </c>
      <c r="AF704" t="str">
        <f t="shared" si="54"/>
        <v>Q3-2025</v>
      </c>
    </row>
    <row r="705" spans="1:32" x14ac:dyDescent="0.3">
      <c r="A705" t="s">
        <v>1985</v>
      </c>
      <c r="B705" s="5">
        <v>5</v>
      </c>
      <c r="C705" s="4">
        <v>45412</v>
      </c>
      <c r="D705" s="4">
        <v>45417</v>
      </c>
      <c r="E705" t="s">
        <v>501</v>
      </c>
      <c r="F705" t="s">
        <v>502</v>
      </c>
      <c r="G705" t="s">
        <v>65</v>
      </c>
      <c r="H705" t="s">
        <v>23</v>
      </c>
      <c r="I705" t="s">
        <v>93</v>
      </c>
      <c r="J705" t="s">
        <v>1294</v>
      </c>
      <c r="K705" t="s">
        <v>1334</v>
      </c>
      <c r="L705" t="s">
        <v>869</v>
      </c>
      <c r="M705" t="s">
        <v>795</v>
      </c>
      <c r="N705" t="s">
        <v>837</v>
      </c>
      <c r="O705" t="s">
        <v>870</v>
      </c>
      <c r="P705" t="s">
        <v>24</v>
      </c>
      <c r="Q705" t="s">
        <v>25</v>
      </c>
      <c r="R705" t="s">
        <v>1088</v>
      </c>
      <c r="S705" t="s">
        <v>1089</v>
      </c>
      <c r="T705" s="5">
        <v>3</v>
      </c>
      <c r="U705" s="6">
        <v>166.78</v>
      </c>
      <c r="V705" s="6">
        <v>107.53</v>
      </c>
      <c r="W705" s="8">
        <v>0</v>
      </c>
      <c r="X705" s="6">
        <f t="shared" si="50"/>
        <v>500.34000000000003</v>
      </c>
      <c r="Y705" s="6">
        <f t="shared" si="51"/>
        <v>322.59000000000003</v>
      </c>
      <c r="Z705" s="6">
        <f t="shared" si="52"/>
        <v>177.75</v>
      </c>
      <c r="AA705" t="s">
        <v>679</v>
      </c>
      <c r="AC705" s="5">
        <v>3</v>
      </c>
      <c r="AD705" t="s">
        <v>1140</v>
      </c>
      <c r="AE705" t="str">
        <f t="shared" si="53"/>
        <v>2024-04</v>
      </c>
      <c r="AF705" t="str">
        <f t="shared" si="54"/>
        <v>Q2-2024</v>
      </c>
    </row>
    <row r="706" spans="1:32" x14ac:dyDescent="0.3">
      <c r="A706" t="s">
        <v>1986</v>
      </c>
      <c r="B706" s="5">
        <v>4</v>
      </c>
      <c r="C706" s="4">
        <v>46003</v>
      </c>
      <c r="D706" s="4">
        <v>46012</v>
      </c>
      <c r="E706" t="s">
        <v>358</v>
      </c>
      <c r="F706" t="s">
        <v>359</v>
      </c>
      <c r="G706" t="s">
        <v>104</v>
      </c>
      <c r="H706" t="s">
        <v>23</v>
      </c>
      <c r="I706" t="s">
        <v>81</v>
      </c>
      <c r="J706" t="s">
        <v>1119</v>
      </c>
      <c r="K706" t="s">
        <v>1120</v>
      </c>
      <c r="L706" t="s">
        <v>804</v>
      </c>
      <c r="M706" t="s">
        <v>795</v>
      </c>
      <c r="N706" t="s">
        <v>796</v>
      </c>
      <c r="O706" t="s">
        <v>805</v>
      </c>
      <c r="P706" t="s">
        <v>32</v>
      </c>
      <c r="Q706" t="s">
        <v>33</v>
      </c>
      <c r="R706" t="s">
        <v>126</v>
      </c>
      <c r="S706" t="s">
        <v>1109</v>
      </c>
      <c r="T706" s="5">
        <v>15</v>
      </c>
      <c r="U706" s="6">
        <v>187.91</v>
      </c>
      <c r="V706" s="6">
        <v>129.88</v>
      </c>
      <c r="W706" s="8">
        <v>0</v>
      </c>
      <c r="X706" s="6">
        <f t="shared" ref="X706:X769" si="55">T706*U706*(1-IF(ISBLANK(W706),0,W706))</f>
        <v>2818.65</v>
      </c>
      <c r="Y706" s="6">
        <f t="shared" ref="Y706:Y769" si="56">T706*V706</f>
        <v>1948.1999999999998</v>
      </c>
      <c r="Z706" s="6">
        <f t="shared" ref="Z706:Z769" si="57">X706-Y706</f>
        <v>870.45000000000027</v>
      </c>
      <c r="AA706" t="s">
        <v>679</v>
      </c>
      <c r="AC706" s="5">
        <v>2</v>
      </c>
      <c r="AD706" t="s">
        <v>1110</v>
      </c>
      <c r="AE706" t="str">
        <f t="shared" ref="AE706:AE769" si="58">TEXT(C706,"yyyy-mm")</f>
        <v>2025-12</v>
      </c>
      <c r="AF706" t="str">
        <f t="shared" ref="AF706:AF769" si="59">"Q"&amp;ROUNDUP(MONTH(C706)/3,0)&amp;"-"&amp;YEAR(C706)</f>
        <v>Q4-2025</v>
      </c>
    </row>
    <row r="707" spans="1:32" x14ac:dyDescent="0.3">
      <c r="A707" t="s">
        <v>1987</v>
      </c>
      <c r="B707" s="5">
        <v>4</v>
      </c>
      <c r="C707" s="4">
        <v>45325</v>
      </c>
      <c r="D707" s="4">
        <v>45334</v>
      </c>
      <c r="E707" t="s">
        <v>624</v>
      </c>
      <c r="F707" t="s">
        <v>625</v>
      </c>
      <c r="G707" t="s">
        <v>80</v>
      </c>
      <c r="H707" t="s">
        <v>41</v>
      </c>
      <c r="I707" t="s">
        <v>86</v>
      </c>
      <c r="J707" t="s">
        <v>1107</v>
      </c>
      <c r="K707" t="s">
        <v>1230</v>
      </c>
      <c r="L707" t="s">
        <v>964</v>
      </c>
      <c r="M707" t="s">
        <v>929</v>
      </c>
      <c r="N707" t="s">
        <v>930</v>
      </c>
      <c r="O707" t="s">
        <v>965</v>
      </c>
      <c r="P707" t="s">
        <v>34</v>
      </c>
      <c r="Q707" t="s">
        <v>35</v>
      </c>
      <c r="R707" t="s">
        <v>1088</v>
      </c>
      <c r="S707" t="s">
        <v>1109</v>
      </c>
      <c r="T707" s="5">
        <v>3</v>
      </c>
      <c r="U707" s="6">
        <v>188.13</v>
      </c>
      <c r="V707" s="6">
        <v>101.47</v>
      </c>
      <c r="W707" s="8">
        <v>0</v>
      </c>
      <c r="X707" s="6">
        <f t="shared" si="55"/>
        <v>564.39</v>
      </c>
      <c r="Y707" s="6">
        <f t="shared" si="56"/>
        <v>304.40999999999997</v>
      </c>
      <c r="Z707" s="6">
        <f t="shared" si="57"/>
        <v>259.98</v>
      </c>
      <c r="AA707" t="s">
        <v>679</v>
      </c>
      <c r="AC707" s="5">
        <v>5</v>
      </c>
      <c r="AD707" t="s">
        <v>1535</v>
      </c>
      <c r="AE707" t="str">
        <f t="shared" si="58"/>
        <v>2024-02</v>
      </c>
      <c r="AF707" t="str">
        <f t="shared" si="59"/>
        <v>Q1-2024</v>
      </c>
    </row>
    <row r="708" spans="1:32" x14ac:dyDescent="0.3">
      <c r="A708" t="s">
        <v>1988</v>
      </c>
      <c r="B708" s="5">
        <v>5</v>
      </c>
      <c r="C708" s="4">
        <v>45738</v>
      </c>
      <c r="D708" s="4">
        <v>45739</v>
      </c>
      <c r="E708" t="s">
        <v>301</v>
      </c>
      <c r="F708" t="s">
        <v>302</v>
      </c>
      <c r="G708" t="s">
        <v>84</v>
      </c>
      <c r="H708" t="s">
        <v>23</v>
      </c>
      <c r="I708" t="s">
        <v>109</v>
      </c>
      <c r="J708" t="s">
        <v>1300</v>
      </c>
      <c r="K708" t="s">
        <v>1301</v>
      </c>
      <c r="L708" t="s">
        <v>948</v>
      </c>
      <c r="M708" t="s">
        <v>929</v>
      </c>
      <c r="N708" t="s">
        <v>930</v>
      </c>
      <c r="O708" t="s">
        <v>949</v>
      </c>
      <c r="P708" t="s">
        <v>34</v>
      </c>
      <c r="Q708" t="s">
        <v>35</v>
      </c>
      <c r="R708" t="s">
        <v>1094</v>
      </c>
      <c r="S708" t="s">
        <v>1156</v>
      </c>
      <c r="T708" s="5">
        <v>2</v>
      </c>
      <c r="U708" s="6">
        <v>66.209999999999994</v>
      </c>
      <c r="V708" s="6">
        <v>44.35</v>
      </c>
      <c r="W708" s="8">
        <v>0</v>
      </c>
      <c r="X708" s="6">
        <f t="shared" si="55"/>
        <v>132.41999999999999</v>
      </c>
      <c r="Y708" s="6">
        <f t="shared" si="56"/>
        <v>88.7</v>
      </c>
      <c r="Z708" s="6">
        <f t="shared" si="57"/>
        <v>43.719999999999985</v>
      </c>
      <c r="AA708" t="s">
        <v>679</v>
      </c>
      <c r="AC708" s="5"/>
      <c r="AD708" t="s">
        <v>1105</v>
      </c>
      <c r="AE708" t="str">
        <f t="shared" si="58"/>
        <v>2025-03</v>
      </c>
      <c r="AF708" t="str">
        <f t="shared" si="59"/>
        <v>Q1-2025</v>
      </c>
    </row>
    <row r="709" spans="1:32" x14ac:dyDescent="0.3">
      <c r="A709" t="s">
        <v>1989</v>
      </c>
      <c r="B709" s="5">
        <v>2</v>
      </c>
      <c r="C709" s="4">
        <v>45716</v>
      </c>
      <c r="D709" s="4">
        <v>45724</v>
      </c>
      <c r="E709" t="s">
        <v>82</v>
      </c>
      <c r="F709" t="s">
        <v>1990</v>
      </c>
      <c r="G709" t="s">
        <v>84</v>
      </c>
      <c r="H709" t="s">
        <v>31</v>
      </c>
      <c r="I709" t="s">
        <v>127</v>
      </c>
      <c r="J709" t="s">
        <v>1098</v>
      </c>
      <c r="K709" t="s">
        <v>1217</v>
      </c>
      <c r="L709" t="s">
        <v>826</v>
      </c>
      <c r="M709" t="s">
        <v>795</v>
      </c>
      <c r="N709" t="s">
        <v>796</v>
      </c>
      <c r="O709" t="s">
        <v>827</v>
      </c>
      <c r="P709" t="s">
        <v>17</v>
      </c>
      <c r="Q709" t="s">
        <v>18</v>
      </c>
      <c r="R709" t="s">
        <v>1088</v>
      </c>
      <c r="S709" t="s">
        <v>1095</v>
      </c>
      <c r="T709" s="5">
        <v>4</v>
      </c>
      <c r="U709" s="6">
        <v>205.92</v>
      </c>
      <c r="V709" s="6">
        <v>127.08</v>
      </c>
      <c r="W709" s="8">
        <v>9.1300000000000006E-2</v>
      </c>
      <c r="X709" s="6">
        <f t="shared" si="55"/>
        <v>748.47801599999991</v>
      </c>
      <c r="Y709" s="6">
        <f t="shared" si="56"/>
        <v>508.32</v>
      </c>
      <c r="Z709" s="6">
        <f t="shared" si="57"/>
        <v>240.15801599999992</v>
      </c>
      <c r="AA709" t="s">
        <v>679</v>
      </c>
      <c r="AC709" s="5">
        <v>1</v>
      </c>
      <c r="AD709" t="s">
        <v>1090</v>
      </c>
      <c r="AE709" t="str">
        <f t="shared" si="58"/>
        <v>2025-02</v>
      </c>
      <c r="AF709" t="str">
        <f t="shared" si="59"/>
        <v>Q1-2025</v>
      </c>
    </row>
    <row r="710" spans="1:32" x14ac:dyDescent="0.3">
      <c r="A710" t="s">
        <v>1991</v>
      </c>
      <c r="B710" s="5">
        <v>4</v>
      </c>
      <c r="C710" s="4">
        <v>45876</v>
      </c>
      <c r="D710" s="4">
        <v>45876</v>
      </c>
      <c r="E710" t="s">
        <v>549</v>
      </c>
      <c r="F710" t="s">
        <v>550</v>
      </c>
      <c r="G710" t="s">
        <v>84</v>
      </c>
      <c r="H710" t="s">
        <v>23</v>
      </c>
      <c r="I710" t="s">
        <v>81</v>
      </c>
      <c r="J710" t="s">
        <v>1163</v>
      </c>
      <c r="K710" t="s">
        <v>1164</v>
      </c>
      <c r="L710" t="s">
        <v>735</v>
      </c>
      <c r="M710" t="s">
        <v>659</v>
      </c>
      <c r="N710" t="s">
        <v>713</v>
      </c>
      <c r="O710" t="s">
        <v>736</v>
      </c>
      <c r="P710" t="s">
        <v>24</v>
      </c>
      <c r="Q710" t="s">
        <v>25</v>
      </c>
      <c r="R710" t="s">
        <v>1088</v>
      </c>
      <c r="S710" t="s">
        <v>1089</v>
      </c>
      <c r="T710" s="5">
        <v>7</v>
      </c>
      <c r="U710" s="6">
        <v>121.75</v>
      </c>
      <c r="V710" s="6">
        <v>77.63</v>
      </c>
      <c r="W710" s="8">
        <v>0.11219999999999999</v>
      </c>
      <c r="X710" s="6">
        <f t="shared" si="55"/>
        <v>756.62755000000004</v>
      </c>
      <c r="Y710" s="6">
        <f t="shared" si="56"/>
        <v>543.41</v>
      </c>
      <c r="Z710" s="6">
        <f t="shared" si="57"/>
        <v>213.21755000000007</v>
      </c>
      <c r="AA710" t="s">
        <v>679</v>
      </c>
      <c r="AC710" s="5">
        <v>1</v>
      </c>
      <c r="AD710" t="s">
        <v>1096</v>
      </c>
      <c r="AE710" t="str">
        <f t="shared" si="58"/>
        <v>2025-08</v>
      </c>
      <c r="AF710" t="str">
        <f t="shared" si="59"/>
        <v>Q3-2025</v>
      </c>
    </row>
    <row r="711" spans="1:32" x14ac:dyDescent="0.3">
      <c r="A711" t="s">
        <v>1992</v>
      </c>
      <c r="B711" s="5">
        <v>1</v>
      </c>
      <c r="C711" s="4">
        <v>45762</v>
      </c>
      <c r="D711" s="4">
        <v>45766</v>
      </c>
      <c r="E711" t="s">
        <v>490</v>
      </c>
      <c r="F711" t="s">
        <v>491</v>
      </c>
      <c r="G711" t="s">
        <v>65</v>
      </c>
      <c r="H711" t="s">
        <v>23</v>
      </c>
      <c r="I711" t="s">
        <v>93</v>
      </c>
      <c r="J711" t="s">
        <v>1278</v>
      </c>
      <c r="K711" t="s">
        <v>1351</v>
      </c>
      <c r="L711" t="s">
        <v>816</v>
      </c>
      <c r="M711" t="s">
        <v>795</v>
      </c>
      <c r="N711" t="s">
        <v>796</v>
      </c>
      <c r="O711" t="s">
        <v>817</v>
      </c>
      <c r="P711" t="s">
        <v>50</v>
      </c>
      <c r="Q711" t="s">
        <v>51</v>
      </c>
      <c r="R711" t="s">
        <v>1114</v>
      </c>
      <c r="S711" t="s">
        <v>1089</v>
      </c>
      <c r="T711" s="5">
        <v>5</v>
      </c>
      <c r="U711" s="6">
        <v>179.43</v>
      </c>
      <c r="V711" s="6">
        <v>110.31</v>
      </c>
      <c r="W711" s="8">
        <v>0</v>
      </c>
      <c r="X711" s="6">
        <f t="shared" si="55"/>
        <v>897.15000000000009</v>
      </c>
      <c r="Y711" s="6">
        <f t="shared" si="56"/>
        <v>551.54999999999995</v>
      </c>
      <c r="Z711" s="6">
        <f t="shared" si="57"/>
        <v>345.60000000000014</v>
      </c>
      <c r="AA711" t="s">
        <v>679</v>
      </c>
      <c r="AC711" s="5"/>
      <c r="AE711" t="str">
        <f t="shared" si="58"/>
        <v>2025-04</v>
      </c>
      <c r="AF711" t="str">
        <f t="shared" si="59"/>
        <v>Q2-2025</v>
      </c>
    </row>
    <row r="712" spans="1:32" x14ac:dyDescent="0.3">
      <c r="A712" t="s">
        <v>1993</v>
      </c>
      <c r="B712" s="5">
        <v>3</v>
      </c>
      <c r="C712" s="4">
        <v>45753</v>
      </c>
      <c r="D712" s="4">
        <v>45765</v>
      </c>
      <c r="E712" t="s">
        <v>265</v>
      </c>
      <c r="F712" t="s">
        <v>266</v>
      </c>
      <c r="G712" t="s">
        <v>104</v>
      </c>
      <c r="H712" t="s">
        <v>41</v>
      </c>
      <c r="I712" t="s">
        <v>86</v>
      </c>
      <c r="J712" t="s">
        <v>1086</v>
      </c>
      <c r="K712" t="s">
        <v>1175</v>
      </c>
      <c r="L712" t="s">
        <v>756</v>
      </c>
      <c r="M712" t="s">
        <v>659</v>
      </c>
      <c r="N712" t="s">
        <v>754</v>
      </c>
      <c r="O712" t="s">
        <v>757</v>
      </c>
      <c r="P712" t="s">
        <v>34</v>
      </c>
      <c r="Q712" t="s">
        <v>35</v>
      </c>
      <c r="R712" t="s">
        <v>1114</v>
      </c>
      <c r="S712" t="s">
        <v>1095</v>
      </c>
      <c r="T712" s="5">
        <v>3</v>
      </c>
      <c r="U712" s="6">
        <v>8.94</v>
      </c>
      <c r="V712" s="6">
        <v>5</v>
      </c>
      <c r="W712" s="8">
        <v>4.5999999999999999E-2</v>
      </c>
      <c r="X712" s="6">
        <f t="shared" si="55"/>
        <v>25.586279999999999</v>
      </c>
      <c r="Y712" s="6">
        <f t="shared" si="56"/>
        <v>15</v>
      </c>
      <c r="Z712" s="6">
        <f t="shared" si="57"/>
        <v>10.586279999999999</v>
      </c>
      <c r="AA712" t="s">
        <v>679</v>
      </c>
      <c r="AC712" s="5">
        <v>5</v>
      </c>
      <c r="AE712" t="str">
        <f t="shared" si="58"/>
        <v>2025-04</v>
      </c>
      <c r="AF712" t="str">
        <f t="shared" si="59"/>
        <v>Q2-2025</v>
      </c>
    </row>
    <row r="713" spans="1:32" x14ac:dyDescent="0.3">
      <c r="A713" t="s">
        <v>1994</v>
      </c>
      <c r="B713" s="5">
        <v>2</v>
      </c>
      <c r="C713" s="4">
        <v>45573</v>
      </c>
      <c r="D713" s="4">
        <v>45578</v>
      </c>
      <c r="E713" t="s">
        <v>443</v>
      </c>
      <c r="F713" t="s">
        <v>444</v>
      </c>
      <c r="G713" t="s">
        <v>84</v>
      </c>
      <c r="H713" t="s">
        <v>31</v>
      </c>
      <c r="I713" t="s">
        <v>67</v>
      </c>
      <c r="J713" t="s">
        <v>1304</v>
      </c>
      <c r="K713" t="s">
        <v>1305</v>
      </c>
      <c r="L713" t="s">
        <v>729</v>
      </c>
      <c r="M713" t="s">
        <v>659</v>
      </c>
      <c r="N713" t="s">
        <v>713</v>
      </c>
      <c r="O713" t="s">
        <v>730</v>
      </c>
      <c r="P713" t="s">
        <v>21</v>
      </c>
      <c r="Q713" t="s">
        <v>22</v>
      </c>
      <c r="R713" t="s">
        <v>1088</v>
      </c>
      <c r="S713" t="s">
        <v>1156</v>
      </c>
      <c r="T713" s="5">
        <v>9</v>
      </c>
      <c r="U713" s="6">
        <v>87.9</v>
      </c>
      <c r="V713" s="6">
        <v>54.13</v>
      </c>
      <c r="W713" s="8">
        <v>0.16189999999999999</v>
      </c>
      <c r="X713" s="6">
        <f t="shared" si="55"/>
        <v>663.02091000000007</v>
      </c>
      <c r="Y713" s="6">
        <f t="shared" si="56"/>
        <v>487.17</v>
      </c>
      <c r="Z713" s="6">
        <f t="shared" si="57"/>
        <v>175.85091000000006</v>
      </c>
      <c r="AA713" t="s">
        <v>679</v>
      </c>
      <c r="AC713" s="5"/>
      <c r="AD713" t="s">
        <v>1096</v>
      </c>
      <c r="AE713" t="str">
        <f t="shared" si="58"/>
        <v>2024-10</v>
      </c>
      <c r="AF713" t="str">
        <f t="shared" si="59"/>
        <v>Q4-2024</v>
      </c>
    </row>
    <row r="714" spans="1:32" x14ac:dyDescent="0.3">
      <c r="A714" t="s">
        <v>1995</v>
      </c>
      <c r="B714" s="5">
        <v>3</v>
      </c>
      <c r="C714" s="4">
        <v>45787</v>
      </c>
      <c r="D714" s="4">
        <v>45795</v>
      </c>
      <c r="E714" t="s">
        <v>588</v>
      </c>
      <c r="F714" t="s">
        <v>589</v>
      </c>
      <c r="G714" t="s">
        <v>104</v>
      </c>
      <c r="H714" t="s">
        <v>41</v>
      </c>
      <c r="I714" t="s">
        <v>86</v>
      </c>
      <c r="J714" t="s">
        <v>1086</v>
      </c>
      <c r="K714" t="s">
        <v>1087</v>
      </c>
      <c r="L714" t="s">
        <v>861</v>
      </c>
      <c r="M714" t="s">
        <v>795</v>
      </c>
      <c r="N714" t="s">
        <v>837</v>
      </c>
      <c r="O714" t="s">
        <v>862</v>
      </c>
      <c r="P714" t="s">
        <v>17</v>
      </c>
      <c r="Q714" t="s">
        <v>18</v>
      </c>
      <c r="R714" t="s">
        <v>126</v>
      </c>
      <c r="S714" t="s">
        <v>1156</v>
      </c>
      <c r="T714" s="5">
        <v>7</v>
      </c>
      <c r="U714" s="6">
        <v>301.14999999999998</v>
      </c>
      <c r="V714" s="6">
        <v>195.61</v>
      </c>
      <c r="W714" s="8">
        <v>0.26719999999999999</v>
      </c>
      <c r="X714" s="6">
        <f t="shared" si="55"/>
        <v>1544.7790399999999</v>
      </c>
      <c r="Y714" s="6">
        <f t="shared" si="56"/>
        <v>1369.27</v>
      </c>
      <c r="Z714" s="6">
        <f t="shared" si="57"/>
        <v>175.50903999999991</v>
      </c>
      <c r="AA714" t="s">
        <v>679</v>
      </c>
      <c r="AC714" s="5">
        <v>1</v>
      </c>
      <c r="AD714" t="s">
        <v>1096</v>
      </c>
      <c r="AE714" t="str">
        <f t="shared" si="58"/>
        <v>2025-05</v>
      </c>
      <c r="AF714" t="str">
        <f t="shared" si="59"/>
        <v>Q2-2025</v>
      </c>
    </row>
    <row r="715" spans="1:32" x14ac:dyDescent="0.3">
      <c r="A715" t="s">
        <v>1996</v>
      </c>
      <c r="B715" s="5">
        <v>5</v>
      </c>
      <c r="C715" s="4">
        <v>45877</v>
      </c>
      <c r="D715" s="4">
        <v>45879</v>
      </c>
      <c r="E715" t="s">
        <v>385</v>
      </c>
      <c r="F715" t="s">
        <v>386</v>
      </c>
      <c r="G715" t="s">
        <v>74</v>
      </c>
      <c r="H715" t="s">
        <v>23</v>
      </c>
      <c r="I715" t="s">
        <v>93</v>
      </c>
      <c r="J715" t="s">
        <v>1192</v>
      </c>
      <c r="K715" t="s">
        <v>1193</v>
      </c>
      <c r="L715" t="s">
        <v>1050</v>
      </c>
      <c r="M715" t="s">
        <v>1002</v>
      </c>
      <c r="N715" t="s">
        <v>1034</v>
      </c>
      <c r="O715" t="s">
        <v>1051</v>
      </c>
      <c r="P715" t="s">
        <v>46</v>
      </c>
      <c r="Q715" t="s">
        <v>47</v>
      </c>
      <c r="R715" t="s">
        <v>1114</v>
      </c>
      <c r="S715" t="s">
        <v>1100</v>
      </c>
      <c r="T715" s="5">
        <v>27</v>
      </c>
      <c r="U715" s="6">
        <v>170.54</v>
      </c>
      <c r="V715" s="6">
        <v>108.75</v>
      </c>
      <c r="W715" s="8">
        <v>0</v>
      </c>
      <c r="X715" s="6">
        <f t="shared" si="55"/>
        <v>4604.58</v>
      </c>
      <c r="Y715" s="6">
        <f t="shared" si="56"/>
        <v>2936.25</v>
      </c>
      <c r="Z715" s="6">
        <f t="shared" si="57"/>
        <v>1668.33</v>
      </c>
      <c r="AA715" t="s">
        <v>679</v>
      </c>
      <c r="AC715" s="5">
        <v>3</v>
      </c>
      <c r="AD715" t="s">
        <v>1101</v>
      </c>
      <c r="AE715" t="str">
        <f t="shared" si="58"/>
        <v>2025-08</v>
      </c>
      <c r="AF715" t="str">
        <f t="shared" si="59"/>
        <v>Q3-2025</v>
      </c>
    </row>
    <row r="716" spans="1:32" x14ac:dyDescent="0.3">
      <c r="A716" t="s">
        <v>1997</v>
      </c>
      <c r="B716" s="5">
        <v>4</v>
      </c>
      <c r="C716" s="4">
        <v>45337</v>
      </c>
      <c r="D716" s="4">
        <v>45345</v>
      </c>
      <c r="E716" t="s">
        <v>309</v>
      </c>
      <c r="F716" t="s">
        <v>220</v>
      </c>
      <c r="G716" t="s">
        <v>74</v>
      </c>
      <c r="H716" t="s">
        <v>41</v>
      </c>
      <c r="I716" t="s">
        <v>75</v>
      </c>
      <c r="J716" t="s">
        <v>1142</v>
      </c>
      <c r="K716" t="s">
        <v>1198</v>
      </c>
      <c r="L716" t="s">
        <v>758</v>
      </c>
      <c r="M716" t="s">
        <v>659</v>
      </c>
      <c r="N716" t="s">
        <v>754</v>
      </c>
      <c r="O716" t="s">
        <v>759</v>
      </c>
      <c r="P716" t="s">
        <v>24</v>
      </c>
      <c r="Q716" t="s">
        <v>25</v>
      </c>
      <c r="R716" t="s">
        <v>1114</v>
      </c>
      <c r="S716" t="s">
        <v>1109</v>
      </c>
      <c r="T716" s="5">
        <v>3</v>
      </c>
      <c r="U716" s="6">
        <v>130.59</v>
      </c>
      <c r="V716" s="6">
        <v>113.63</v>
      </c>
      <c r="W716" s="8">
        <v>0</v>
      </c>
      <c r="X716" s="6">
        <f t="shared" si="55"/>
        <v>391.77</v>
      </c>
      <c r="Y716" s="6">
        <f t="shared" si="56"/>
        <v>340.89</v>
      </c>
      <c r="Z716" s="6">
        <f t="shared" si="57"/>
        <v>50.879999999999995</v>
      </c>
      <c r="AA716" t="s">
        <v>679</v>
      </c>
      <c r="AC716" s="5">
        <v>3</v>
      </c>
      <c r="AE716" t="str">
        <f t="shared" si="58"/>
        <v>2024-02</v>
      </c>
      <c r="AF716" t="str">
        <f t="shared" si="59"/>
        <v>Q1-2024</v>
      </c>
    </row>
    <row r="717" spans="1:32" x14ac:dyDescent="0.3">
      <c r="A717" t="s">
        <v>1998</v>
      </c>
      <c r="B717" s="5">
        <v>2</v>
      </c>
      <c r="C717" s="4">
        <v>45299</v>
      </c>
      <c r="D717" s="4">
        <v>45299</v>
      </c>
      <c r="E717" t="s">
        <v>617</v>
      </c>
      <c r="F717" t="s">
        <v>351</v>
      </c>
      <c r="G717" t="s">
        <v>74</v>
      </c>
      <c r="H717" t="s">
        <v>41</v>
      </c>
      <c r="I717" t="s">
        <v>86</v>
      </c>
      <c r="J717" t="s">
        <v>1107</v>
      </c>
      <c r="K717" t="s">
        <v>1108</v>
      </c>
      <c r="L717" t="s">
        <v>1038</v>
      </c>
      <c r="M717" t="s">
        <v>1002</v>
      </c>
      <c r="N717" t="s">
        <v>1034</v>
      </c>
      <c r="O717" t="s">
        <v>1039</v>
      </c>
      <c r="P717" t="s">
        <v>34</v>
      </c>
      <c r="Q717" t="s">
        <v>35</v>
      </c>
      <c r="R717" t="s">
        <v>1094</v>
      </c>
      <c r="S717" t="s">
        <v>1156</v>
      </c>
      <c r="T717" s="5">
        <v>14</v>
      </c>
      <c r="U717" s="6">
        <v>214.44</v>
      </c>
      <c r="V717" s="6">
        <v>115.2</v>
      </c>
      <c r="W717" s="8">
        <v>0</v>
      </c>
      <c r="X717" s="6">
        <f t="shared" si="55"/>
        <v>3002.16</v>
      </c>
      <c r="Y717" s="6">
        <f t="shared" si="56"/>
        <v>1612.8</v>
      </c>
      <c r="Z717" s="6">
        <f t="shared" si="57"/>
        <v>1389.36</v>
      </c>
      <c r="AA717" t="s">
        <v>679</v>
      </c>
      <c r="AC717" s="5"/>
      <c r="AD717" t="s">
        <v>1123</v>
      </c>
      <c r="AE717" t="str">
        <f t="shared" si="58"/>
        <v>2024-01</v>
      </c>
      <c r="AF717" t="str">
        <f t="shared" si="59"/>
        <v>Q1-2024</v>
      </c>
    </row>
    <row r="718" spans="1:32" x14ac:dyDescent="0.3">
      <c r="A718" t="s">
        <v>1999</v>
      </c>
      <c r="B718" s="5">
        <v>2</v>
      </c>
      <c r="C718" s="4">
        <v>45537</v>
      </c>
      <c r="D718" s="4">
        <v>45539</v>
      </c>
      <c r="E718" t="s">
        <v>287</v>
      </c>
      <c r="F718" t="s">
        <v>2000</v>
      </c>
      <c r="G718" t="s">
        <v>104</v>
      </c>
      <c r="H718" t="s">
        <v>41</v>
      </c>
      <c r="I718" t="s">
        <v>75</v>
      </c>
      <c r="J718" t="s">
        <v>1142</v>
      </c>
      <c r="K718" t="s">
        <v>1198</v>
      </c>
      <c r="L718" t="s">
        <v>665</v>
      </c>
      <c r="M718" t="s">
        <v>659</v>
      </c>
      <c r="N718" t="s">
        <v>660</v>
      </c>
      <c r="O718" t="s">
        <v>666</v>
      </c>
      <c r="P718" t="s">
        <v>39</v>
      </c>
      <c r="Q718" t="s">
        <v>40</v>
      </c>
      <c r="R718" t="s">
        <v>1114</v>
      </c>
      <c r="S718" t="s">
        <v>1095</v>
      </c>
      <c r="T718" s="5">
        <v>15</v>
      </c>
      <c r="U718" s="6">
        <v>215.09</v>
      </c>
      <c r="V718" s="6">
        <v>134.65</v>
      </c>
      <c r="W718" s="8">
        <v>0.30199999999999999</v>
      </c>
      <c r="X718" s="6">
        <f t="shared" si="55"/>
        <v>2251.9922999999999</v>
      </c>
      <c r="Y718" s="6">
        <f t="shared" si="56"/>
        <v>2019.75</v>
      </c>
      <c r="Z718" s="6">
        <f t="shared" si="57"/>
        <v>232.24229999999989</v>
      </c>
      <c r="AA718" t="s">
        <v>679</v>
      </c>
      <c r="AC718" s="5">
        <v>2</v>
      </c>
      <c r="AE718" t="str">
        <f t="shared" si="58"/>
        <v>2024-09</v>
      </c>
      <c r="AF718" t="str">
        <f t="shared" si="59"/>
        <v>Q3-2024</v>
      </c>
    </row>
    <row r="719" spans="1:32" x14ac:dyDescent="0.3">
      <c r="A719" t="s">
        <v>2001</v>
      </c>
      <c r="B719" s="5">
        <v>5</v>
      </c>
      <c r="C719" s="4">
        <v>45824</v>
      </c>
      <c r="D719" s="4">
        <v>45828</v>
      </c>
      <c r="E719" t="s">
        <v>334</v>
      </c>
      <c r="F719" t="s">
        <v>2002</v>
      </c>
      <c r="G719" t="s">
        <v>84</v>
      </c>
      <c r="H719" t="s">
        <v>41</v>
      </c>
      <c r="I719" t="s">
        <v>86</v>
      </c>
      <c r="J719" t="s">
        <v>1086</v>
      </c>
      <c r="K719" t="s">
        <v>1175</v>
      </c>
      <c r="L719" t="s">
        <v>788</v>
      </c>
      <c r="M719" t="s">
        <v>659</v>
      </c>
      <c r="N719" t="s">
        <v>754</v>
      </c>
      <c r="O719" t="s">
        <v>789</v>
      </c>
      <c r="P719" t="s">
        <v>37</v>
      </c>
      <c r="Q719" t="s">
        <v>38</v>
      </c>
      <c r="R719" t="s">
        <v>1088</v>
      </c>
      <c r="S719" t="s">
        <v>1109</v>
      </c>
      <c r="T719" s="5">
        <v>20</v>
      </c>
      <c r="U719" s="6">
        <v>64.87</v>
      </c>
      <c r="V719" s="6">
        <v>46.29</v>
      </c>
      <c r="W719" s="8">
        <v>0</v>
      </c>
      <c r="X719" s="6">
        <f t="shared" si="55"/>
        <v>1297.4000000000001</v>
      </c>
      <c r="Y719" s="6">
        <f t="shared" si="56"/>
        <v>925.8</v>
      </c>
      <c r="Z719" s="6">
        <f t="shared" si="57"/>
        <v>371.60000000000014</v>
      </c>
      <c r="AA719" t="s">
        <v>662</v>
      </c>
      <c r="AB719" t="s">
        <v>1122</v>
      </c>
      <c r="AC719" s="5">
        <v>3</v>
      </c>
      <c r="AE719" t="str">
        <f t="shared" si="58"/>
        <v>2025-06</v>
      </c>
      <c r="AF719" t="str">
        <f t="shared" si="59"/>
        <v>Q2-2025</v>
      </c>
    </row>
    <row r="720" spans="1:32" x14ac:dyDescent="0.3">
      <c r="A720" t="s">
        <v>2003</v>
      </c>
      <c r="B720" s="5">
        <v>3</v>
      </c>
      <c r="C720" s="4">
        <v>45541</v>
      </c>
      <c r="D720" s="4">
        <v>45545</v>
      </c>
      <c r="E720" t="s">
        <v>110</v>
      </c>
      <c r="F720" t="s">
        <v>111</v>
      </c>
      <c r="G720" t="s">
        <v>74</v>
      </c>
      <c r="H720" t="s">
        <v>41</v>
      </c>
      <c r="I720" t="s">
        <v>75</v>
      </c>
      <c r="J720" t="s">
        <v>1142</v>
      </c>
      <c r="K720" t="s">
        <v>1143</v>
      </c>
      <c r="L720" t="s">
        <v>981</v>
      </c>
      <c r="M720" t="s">
        <v>929</v>
      </c>
      <c r="N720" t="s">
        <v>971</v>
      </c>
      <c r="O720" t="s">
        <v>982</v>
      </c>
      <c r="P720" t="s">
        <v>42</v>
      </c>
      <c r="Q720" t="s">
        <v>43</v>
      </c>
      <c r="R720" t="s">
        <v>1088</v>
      </c>
      <c r="S720" t="s">
        <v>1156</v>
      </c>
      <c r="T720" s="5">
        <v>23</v>
      </c>
      <c r="U720" s="6">
        <v>110.56</v>
      </c>
      <c r="V720" s="6">
        <v>77.88</v>
      </c>
      <c r="W720" s="8">
        <v>0</v>
      </c>
      <c r="X720" s="6">
        <f t="shared" si="55"/>
        <v>2542.88</v>
      </c>
      <c r="Y720" s="6">
        <f t="shared" si="56"/>
        <v>1791.2399999999998</v>
      </c>
      <c r="Z720" s="6">
        <f t="shared" si="57"/>
        <v>751.64000000000033</v>
      </c>
      <c r="AA720" t="s">
        <v>679</v>
      </c>
      <c r="AC720" s="5">
        <v>3</v>
      </c>
      <c r="AE720" t="str">
        <f t="shared" si="58"/>
        <v>2024-09</v>
      </c>
      <c r="AF720" t="str">
        <f t="shared" si="59"/>
        <v>Q3-2024</v>
      </c>
    </row>
    <row r="721" spans="1:32" x14ac:dyDescent="0.3">
      <c r="A721" t="s">
        <v>2004</v>
      </c>
      <c r="B721" s="5">
        <v>5</v>
      </c>
      <c r="C721" s="4">
        <v>45390</v>
      </c>
      <c r="D721" s="4">
        <v>45401</v>
      </c>
      <c r="E721" t="s">
        <v>223</v>
      </c>
      <c r="F721" t="s">
        <v>224</v>
      </c>
      <c r="G721" t="s">
        <v>74</v>
      </c>
      <c r="H721" t="s">
        <v>20</v>
      </c>
      <c r="I721" t="s">
        <v>71</v>
      </c>
      <c r="J721" t="s">
        <v>1112</v>
      </c>
      <c r="K721" t="s">
        <v>1266</v>
      </c>
      <c r="L721" t="s">
        <v>812</v>
      </c>
      <c r="M721" t="s">
        <v>795</v>
      </c>
      <c r="N721" t="s">
        <v>796</v>
      </c>
      <c r="O721" t="s">
        <v>813</v>
      </c>
      <c r="P721" t="s">
        <v>17</v>
      </c>
      <c r="Q721" t="s">
        <v>18</v>
      </c>
      <c r="R721" t="s">
        <v>1088</v>
      </c>
      <c r="S721" t="s">
        <v>1089</v>
      </c>
      <c r="T721" s="5">
        <v>4</v>
      </c>
      <c r="U721" s="6">
        <v>129.81</v>
      </c>
      <c r="V721" s="6">
        <v>76.83</v>
      </c>
      <c r="W721" s="8">
        <v>0</v>
      </c>
      <c r="X721" s="6">
        <f t="shared" si="55"/>
        <v>519.24</v>
      </c>
      <c r="Y721" s="6">
        <f t="shared" si="56"/>
        <v>307.32</v>
      </c>
      <c r="Z721" s="6">
        <f t="shared" si="57"/>
        <v>211.92000000000002</v>
      </c>
      <c r="AA721" t="s">
        <v>679</v>
      </c>
      <c r="AC721" s="5">
        <v>3</v>
      </c>
      <c r="AD721" t="s">
        <v>1148</v>
      </c>
      <c r="AE721" t="str">
        <f t="shared" si="58"/>
        <v>2024-04</v>
      </c>
      <c r="AF721" t="str">
        <f t="shared" si="59"/>
        <v>Q2-2024</v>
      </c>
    </row>
    <row r="722" spans="1:32" x14ac:dyDescent="0.3">
      <c r="A722" t="s">
        <v>2005</v>
      </c>
      <c r="B722" s="5">
        <v>2</v>
      </c>
      <c r="C722" s="4">
        <v>45649</v>
      </c>
      <c r="D722" s="4">
        <v>45656</v>
      </c>
      <c r="E722" t="s">
        <v>379</v>
      </c>
      <c r="F722" t="s">
        <v>2006</v>
      </c>
      <c r="G722" t="s">
        <v>104</v>
      </c>
      <c r="H722" t="s">
        <v>23</v>
      </c>
      <c r="I722" t="s">
        <v>93</v>
      </c>
      <c r="J722" t="s">
        <v>1294</v>
      </c>
      <c r="K722" t="s">
        <v>1334</v>
      </c>
      <c r="L722" t="s">
        <v>956</v>
      </c>
      <c r="M722" t="s">
        <v>929</v>
      </c>
      <c r="N722" t="s">
        <v>930</v>
      </c>
      <c r="O722" t="s">
        <v>957</v>
      </c>
      <c r="P722" t="s">
        <v>24</v>
      </c>
      <c r="Q722" t="s">
        <v>25</v>
      </c>
      <c r="R722" t="s">
        <v>1094</v>
      </c>
      <c r="S722" t="s">
        <v>1109</v>
      </c>
      <c r="T722" s="5">
        <v>15</v>
      </c>
      <c r="U722" s="6">
        <v>247.83</v>
      </c>
      <c r="V722" s="6">
        <v>190.78</v>
      </c>
      <c r="W722" s="8">
        <v>0</v>
      </c>
      <c r="X722" s="6">
        <f t="shared" si="55"/>
        <v>3717.4500000000003</v>
      </c>
      <c r="Y722" s="6">
        <f t="shared" si="56"/>
        <v>2861.7</v>
      </c>
      <c r="Z722" s="6">
        <f t="shared" si="57"/>
        <v>855.75000000000045</v>
      </c>
      <c r="AA722" t="s">
        <v>662</v>
      </c>
      <c r="AB722" t="s">
        <v>1122</v>
      </c>
      <c r="AC722" s="5"/>
      <c r="AD722" t="s">
        <v>1105</v>
      </c>
      <c r="AE722" t="str">
        <f t="shared" si="58"/>
        <v>2024-12</v>
      </c>
      <c r="AF722" t="str">
        <f t="shared" si="59"/>
        <v>Q4-2024</v>
      </c>
    </row>
    <row r="723" spans="1:32" x14ac:dyDescent="0.3">
      <c r="A723" t="s">
        <v>2007</v>
      </c>
      <c r="B723" s="5">
        <v>2</v>
      </c>
      <c r="C723" s="4">
        <v>45521</v>
      </c>
      <c r="D723" s="4">
        <v>45521</v>
      </c>
      <c r="E723" t="s">
        <v>492</v>
      </c>
      <c r="F723" t="s">
        <v>493</v>
      </c>
      <c r="G723" t="s">
        <v>74</v>
      </c>
      <c r="H723" t="s">
        <v>23</v>
      </c>
      <c r="I723" t="s">
        <v>93</v>
      </c>
      <c r="J723" t="s">
        <v>1450</v>
      </c>
      <c r="K723" t="s">
        <v>1528</v>
      </c>
      <c r="L723" t="s">
        <v>956</v>
      </c>
      <c r="M723" t="s">
        <v>929</v>
      </c>
      <c r="N723" t="s">
        <v>930</v>
      </c>
      <c r="O723" t="s">
        <v>957</v>
      </c>
      <c r="P723" t="s">
        <v>27</v>
      </c>
      <c r="Q723" t="s">
        <v>28</v>
      </c>
      <c r="R723" t="s">
        <v>1094</v>
      </c>
      <c r="S723" t="s">
        <v>1095</v>
      </c>
      <c r="T723" s="5">
        <v>1</v>
      </c>
      <c r="U723" s="6">
        <v>266.32</v>
      </c>
      <c r="V723" s="6">
        <v>190.78</v>
      </c>
      <c r="W723" s="8">
        <v>6.2E-2</v>
      </c>
      <c r="X723" s="6">
        <f t="shared" si="55"/>
        <v>249.80815999999999</v>
      </c>
      <c r="Y723" s="6">
        <f t="shared" si="56"/>
        <v>190.78</v>
      </c>
      <c r="Z723" s="6">
        <f t="shared" si="57"/>
        <v>59.028159999999986</v>
      </c>
      <c r="AA723" t="s">
        <v>679</v>
      </c>
      <c r="AC723" s="5">
        <v>1</v>
      </c>
      <c r="AD723" t="s">
        <v>1140</v>
      </c>
      <c r="AE723" t="str">
        <f t="shared" si="58"/>
        <v>2024-08</v>
      </c>
      <c r="AF723" t="str">
        <f t="shared" si="59"/>
        <v>Q3-2024</v>
      </c>
    </row>
    <row r="724" spans="1:32" x14ac:dyDescent="0.3">
      <c r="A724" t="s">
        <v>2008</v>
      </c>
      <c r="B724" s="5">
        <v>1</v>
      </c>
      <c r="C724" s="4">
        <v>45806</v>
      </c>
      <c r="D724" s="4">
        <v>45817</v>
      </c>
      <c r="E724" t="s">
        <v>410</v>
      </c>
      <c r="F724" t="s">
        <v>411</v>
      </c>
      <c r="G724" t="s">
        <v>74</v>
      </c>
      <c r="H724" t="s">
        <v>20</v>
      </c>
      <c r="I724" t="s">
        <v>71</v>
      </c>
      <c r="J724" t="s">
        <v>1112</v>
      </c>
      <c r="K724" t="s">
        <v>1178</v>
      </c>
      <c r="L724" t="s">
        <v>861</v>
      </c>
      <c r="M724" t="s">
        <v>795</v>
      </c>
      <c r="N724" t="s">
        <v>837</v>
      </c>
      <c r="O724" t="s">
        <v>862</v>
      </c>
      <c r="P724" t="s">
        <v>46</v>
      </c>
      <c r="Q724" t="s">
        <v>47</v>
      </c>
      <c r="R724" t="s">
        <v>1088</v>
      </c>
      <c r="S724" t="s">
        <v>1089</v>
      </c>
      <c r="T724" s="5">
        <v>20</v>
      </c>
      <c r="U724" s="6">
        <v>378.4</v>
      </c>
      <c r="V724" s="6">
        <v>195.61</v>
      </c>
      <c r="W724" s="8">
        <v>0</v>
      </c>
      <c r="X724" s="6">
        <f t="shared" si="55"/>
        <v>7568</v>
      </c>
      <c r="Y724" s="6">
        <f t="shared" si="56"/>
        <v>3912.2000000000003</v>
      </c>
      <c r="Z724" s="6">
        <f t="shared" si="57"/>
        <v>3655.7999999999997</v>
      </c>
      <c r="AA724" t="s">
        <v>679</v>
      </c>
      <c r="AC724" s="5"/>
      <c r="AE724" t="str">
        <f t="shared" si="58"/>
        <v>2025-05</v>
      </c>
      <c r="AF724" t="str">
        <f t="shared" si="59"/>
        <v>Q2-2025</v>
      </c>
    </row>
    <row r="725" spans="1:32" x14ac:dyDescent="0.3">
      <c r="A725" t="s">
        <v>2009</v>
      </c>
      <c r="B725" s="5">
        <v>3</v>
      </c>
      <c r="C725" s="4">
        <v>45539</v>
      </c>
      <c r="D725" s="4">
        <v>45539</v>
      </c>
      <c r="E725" t="s">
        <v>289</v>
      </c>
      <c r="F725" t="s">
        <v>2010</v>
      </c>
      <c r="G725" t="s">
        <v>84</v>
      </c>
      <c r="H725" t="s">
        <v>31</v>
      </c>
      <c r="I725" t="s">
        <v>127</v>
      </c>
      <c r="J725" t="s">
        <v>1116</v>
      </c>
      <c r="K725" t="s">
        <v>1117</v>
      </c>
      <c r="L725" t="s">
        <v>784</v>
      </c>
      <c r="M725" t="s">
        <v>659</v>
      </c>
      <c r="N725" t="s">
        <v>754</v>
      </c>
      <c r="O725" t="s">
        <v>785</v>
      </c>
      <c r="P725" t="s">
        <v>32</v>
      </c>
      <c r="Q725" t="s">
        <v>33</v>
      </c>
      <c r="R725" t="s">
        <v>1094</v>
      </c>
      <c r="S725" t="s">
        <v>1095</v>
      </c>
      <c r="T725" s="5">
        <v>13</v>
      </c>
      <c r="U725" s="6">
        <v>89.11</v>
      </c>
      <c r="V725" s="6">
        <v>51.78</v>
      </c>
      <c r="W725" s="8">
        <v>0</v>
      </c>
      <c r="X725" s="6">
        <f t="shared" si="55"/>
        <v>1158.43</v>
      </c>
      <c r="Y725" s="6">
        <f t="shared" si="56"/>
        <v>673.14</v>
      </c>
      <c r="Z725" s="6">
        <f t="shared" si="57"/>
        <v>485.29000000000008</v>
      </c>
      <c r="AA725" t="s">
        <v>679</v>
      </c>
      <c r="AC725" s="5">
        <v>2</v>
      </c>
      <c r="AD725" t="s">
        <v>1105</v>
      </c>
      <c r="AE725" t="str">
        <f t="shared" si="58"/>
        <v>2024-09</v>
      </c>
      <c r="AF725" t="str">
        <f t="shared" si="59"/>
        <v>Q3-2024</v>
      </c>
    </row>
    <row r="726" spans="1:32" x14ac:dyDescent="0.3">
      <c r="A726" t="s">
        <v>2011</v>
      </c>
      <c r="B726" s="5">
        <v>4</v>
      </c>
      <c r="C726" s="4">
        <v>46017</v>
      </c>
      <c r="D726" s="4">
        <v>46029</v>
      </c>
      <c r="E726" t="s">
        <v>436</v>
      </c>
      <c r="F726" t="s">
        <v>437</v>
      </c>
      <c r="G726" t="s">
        <v>65</v>
      </c>
      <c r="H726" t="s">
        <v>41</v>
      </c>
      <c r="I726" t="s">
        <v>86</v>
      </c>
      <c r="J726" t="s">
        <v>1086</v>
      </c>
      <c r="K726" t="s">
        <v>1087</v>
      </c>
      <c r="L726" t="s">
        <v>700</v>
      </c>
      <c r="M726" t="s">
        <v>659</v>
      </c>
      <c r="N726" t="s">
        <v>660</v>
      </c>
      <c r="O726" t="s">
        <v>701</v>
      </c>
      <c r="P726" t="s">
        <v>53</v>
      </c>
      <c r="Q726" t="s">
        <v>54</v>
      </c>
      <c r="R726" t="s">
        <v>1114</v>
      </c>
      <c r="S726" t="s">
        <v>1095</v>
      </c>
      <c r="T726" s="5">
        <v>12</v>
      </c>
      <c r="U726" s="6">
        <v>91.83</v>
      </c>
      <c r="V726" s="6">
        <v>56.99</v>
      </c>
      <c r="W726" s="8">
        <v>0.2258</v>
      </c>
      <c r="X726" s="6">
        <f t="shared" si="55"/>
        <v>853.13743199999999</v>
      </c>
      <c r="Y726" s="6">
        <f t="shared" si="56"/>
        <v>683.88</v>
      </c>
      <c r="Z726" s="6">
        <f t="shared" si="57"/>
        <v>169.25743199999999</v>
      </c>
      <c r="AA726" t="s">
        <v>679</v>
      </c>
      <c r="AC726" s="5">
        <v>2</v>
      </c>
      <c r="AD726" t="s">
        <v>1535</v>
      </c>
      <c r="AE726" t="str">
        <f t="shared" si="58"/>
        <v>2025-12</v>
      </c>
      <c r="AF726" t="str">
        <f t="shared" si="59"/>
        <v>Q4-2025</v>
      </c>
    </row>
    <row r="727" spans="1:32" x14ac:dyDescent="0.3">
      <c r="A727" t="s">
        <v>2012</v>
      </c>
      <c r="B727" s="5">
        <v>1</v>
      </c>
      <c r="C727" s="4">
        <v>45719</v>
      </c>
      <c r="D727" s="4">
        <v>45733</v>
      </c>
      <c r="E727" t="s">
        <v>585</v>
      </c>
      <c r="F727" t="s">
        <v>238</v>
      </c>
      <c r="G727" t="s">
        <v>80</v>
      </c>
      <c r="H727" t="s">
        <v>31</v>
      </c>
      <c r="I727" t="s">
        <v>160</v>
      </c>
      <c r="J727" t="s">
        <v>1092</v>
      </c>
      <c r="K727" t="s">
        <v>1093</v>
      </c>
      <c r="L727" t="s">
        <v>737</v>
      </c>
      <c r="M727" t="s">
        <v>659</v>
      </c>
      <c r="N727" t="s">
        <v>713</v>
      </c>
      <c r="O727" t="s">
        <v>738</v>
      </c>
      <c r="P727" t="s">
        <v>24</v>
      </c>
      <c r="Q727" t="s">
        <v>25</v>
      </c>
      <c r="R727" t="s">
        <v>1088</v>
      </c>
      <c r="S727" t="s">
        <v>1089</v>
      </c>
      <c r="T727" s="5">
        <v>8</v>
      </c>
      <c r="U727" s="6">
        <v>75.73</v>
      </c>
      <c r="V727" s="6">
        <v>57.7</v>
      </c>
      <c r="W727" s="8">
        <v>0</v>
      </c>
      <c r="X727" s="6">
        <f t="shared" si="55"/>
        <v>605.84</v>
      </c>
      <c r="Y727" s="6">
        <f t="shared" si="56"/>
        <v>461.6</v>
      </c>
      <c r="Z727" s="6">
        <f t="shared" si="57"/>
        <v>144.24</v>
      </c>
      <c r="AA727" t="s">
        <v>679</v>
      </c>
      <c r="AC727" s="5"/>
      <c r="AD727" t="s">
        <v>1140</v>
      </c>
      <c r="AE727" t="str">
        <f t="shared" si="58"/>
        <v>2025-03</v>
      </c>
      <c r="AF727" t="str">
        <f t="shared" si="59"/>
        <v>Q1-2025</v>
      </c>
    </row>
    <row r="728" spans="1:32" x14ac:dyDescent="0.3">
      <c r="A728" t="s">
        <v>2013</v>
      </c>
      <c r="B728" s="5">
        <v>2</v>
      </c>
      <c r="C728" s="4">
        <v>45662</v>
      </c>
      <c r="D728" s="4">
        <v>45666</v>
      </c>
      <c r="E728" t="s">
        <v>257</v>
      </c>
      <c r="F728" t="s">
        <v>258</v>
      </c>
      <c r="G728" t="s">
        <v>65</v>
      </c>
      <c r="H728" t="s">
        <v>23</v>
      </c>
      <c r="I728" t="s">
        <v>109</v>
      </c>
      <c r="J728" t="s">
        <v>1145</v>
      </c>
      <c r="K728" t="s">
        <v>1246</v>
      </c>
      <c r="L728" t="s">
        <v>806</v>
      </c>
      <c r="M728" t="s">
        <v>795</v>
      </c>
      <c r="N728" t="s">
        <v>796</v>
      </c>
      <c r="O728" t="s">
        <v>807</v>
      </c>
      <c r="P728" t="s">
        <v>48</v>
      </c>
      <c r="Q728" t="s">
        <v>49</v>
      </c>
      <c r="R728" t="s">
        <v>1088</v>
      </c>
      <c r="S728" t="s">
        <v>1089</v>
      </c>
      <c r="T728" s="5">
        <v>23</v>
      </c>
      <c r="U728" s="6">
        <v>167.5</v>
      </c>
      <c r="V728" s="6">
        <v>129.12</v>
      </c>
      <c r="W728" s="8">
        <v>0</v>
      </c>
      <c r="X728" s="6">
        <f t="shared" si="55"/>
        <v>3852.5</v>
      </c>
      <c r="Y728" s="6">
        <f t="shared" si="56"/>
        <v>2969.76</v>
      </c>
      <c r="Z728" s="6">
        <f t="shared" si="57"/>
        <v>882.73999999999978</v>
      </c>
      <c r="AA728" t="s">
        <v>662</v>
      </c>
      <c r="AB728" t="s">
        <v>1122</v>
      </c>
      <c r="AC728" s="5">
        <v>4</v>
      </c>
      <c r="AD728" t="s">
        <v>1148</v>
      </c>
      <c r="AE728" t="str">
        <f t="shared" si="58"/>
        <v>2025-01</v>
      </c>
      <c r="AF728" t="str">
        <f t="shared" si="59"/>
        <v>Q1-2025</v>
      </c>
    </row>
    <row r="729" spans="1:32" x14ac:dyDescent="0.3">
      <c r="A729" t="s">
        <v>2014</v>
      </c>
      <c r="B729" s="5">
        <v>5</v>
      </c>
      <c r="C729" s="4">
        <v>45591</v>
      </c>
      <c r="D729" s="4">
        <v>45599</v>
      </c>
      <c r="E729" t="s">
        <v>577</v>
      </c>
      <c r="F729" t="s">
        <v>578</v>
      </c>
      <c r="G729" t="s">
        <v>74</v>
      </c>
      <c r="H729" t="s">
        <v>20</v>
      </c>
      <c r="I729" t="s">
        <v>71</v>
      </c>
      <c r="J729" t="s">
        <v>1166</v>
      </c>
      <c r="K729" t="s">
        <v>1167</v>
      </c>
      <c r="L729" t="s">
        <v>934</v>
      </c>
      <c r="M729" t="s">
        <v>929</v>
      </c>
      <c r="N729" t="s">
        <v>930</v>
      </c>
      <c r="O729" t="s">
        <v>935</v>
      </c>
      <c r="P729" t="s">
        <v>29</v>
      </c>
      <c r="Q729" t="s">
        <v>30</v>
      </c>
      <c r="R729" t="s">
        <v>1094</v>
      </c>
      <c r="S729" t="s">
        <v>1095</v>
      </c>
      <c r="T729" s="5">
        <v>1</v>
      </c>
      <c r="U729" s="6">
        <v>219.69</v>
      </c>
      <c r="V729" s="6">
        <v>147.27000000000001</v>
      </c>
      <c r="W729" s="8">
        <v>0</v>
      </c>
      <c r="X729" s="6">
        <f t="shared" si="55"/>
        <v>219.69</v>
      </c>
      <c r="Y729" s="6">
        <f t="shared" si="56"/>
        <v>147.27000000000001</v>
      </c>
      <c r="Z729" s="6">
        <f t="shared" si="57"/>
        <v>72.419999999999987</v>
      </c>
      <c r="AA729" t="s">
        <v>679</v>
      </c>
      <c r="AC729" s="5">
        <v>2</v>
      </c>
      <c r="AD729" t="s">
        <v>1136</v>
      </c>
      <c r="AE729" t="str">
        <f t="shared" si="58"/>
        <v>2024-10</v>
      </c>
      <c r="AF729" t="str">
        <f t="shared" si="59"/>
        <v>Q4-2024</v>
      </c>
    </row>
    <row r="730" spans="1:32" x14ac:dyDescent="0.3">
      <c r="A730" t="s">
        <v>2015</v>
      </c>
      <c r="B730" s="5">
        <v>3</v>
      </c>
      <c r="C730" s="4">
        <v>45381</v>
      </c>
      <c r="D730" s="4">
        <v>45393</v>
      </c>
      <c r="E730" t="s">
        <v>332</v>
      </c>
      <c r="F730" t="s">
        <v>333</v>
      </c>
      <c r="G730" t="s">
        <v>84</v>
      </c>
      <c r="H730" t="s">
        <v>23</v>
      </c>
      <c r="I730" t="s">
        <v>93</v>
      </c>
      <c r="J730" t="s">
        <v>1192</v>
      </c>
      <c r="K730" t="s">
        <v>1227</v>
      </c>
      <c r="L730" t="s">
        <v>824</v>
      </c>
      <c r="M730" t="s">
        <v>795</v>
      </c>
      <c r="N730" t="s">
        <v>796</v>
      </c>
      <c r="O730" t="s">
        <v>825</v>
      </c>
      <c r="P730" t="s">
        <v>42</v>
      </c>
      <c r="Q730" t="s">
        <v>43</v>
      </c>
      <c r="R730" t="s">
        <v>1114</v>
      </c>
      <c r="S730" t="s">
        <v>1156</v>
      </c>
      <c r="T730" s="5">
        <v>1</v>
      </c>
      <c r="U730" s="6">
        <v>120.68</v>
      </c>
      <c r="V730" s="6">
        <v>78.430000000000007</v>
      </c>
      <c r="W730" s="8">
        <v>5.3199999999999997E-2</v>
      </c>
      <c r="X730" s="6">
        <f t="shared" si="55"/>
        <v>114.25982400000001</v>
      </c>
      <c r="Y730" s="6">
        <f t="shared" si="56"/>
        <v>78.430000000000007</v>
      </c>
      <c r="Z730" s="6">
        <f t="shared" si="57"/>
        <v>35.829824000000002</v>
      </c>
      <c r="AA730" t="s">
        <v>679</v>
      </c>
      <c r="AC730" s="5">
        <v>2</v>
      </c>
      <c r="AE730" t="str">
        <f t="shared" si="58"/>
        <v>2024-03</v>
      </c>
      <c r="AF730" t="str">
        <f t="shared" si="59"/>
        <v>Q1-2024</v>
      </c>
    </row>
    <row r="731" spans="1:32" x14ac:dyDescent="0.3">
      <c r="A731" t="s">
        <v>2016</v>
      </c>
      <c r="B731" s="5">
        <v>2</v>
      </c>
      <c r="C731" s="4">
        <v>45404</v>
      </c>
      <c r="D731" s="4">
        <v>45413</v>
      </c>
      <c r="E731" t="s">
        <v>134</v>
      </c>
      <c r="F731" t="s">
        <v>135</v>
      </c>
      <c r="G731" t="s">
        <v>80</v>
      </c>
      <c r="H731" t="s">
        <v>23</v>
      </c>
      <c r="I731" t="s">
        <v>93</v>
      </c>
      <c r="J731" t="s">
        <v>1103</v>
      </c>
      <c r="K731" t="s">
        <v>1104</v>
      </c>
      <c r="L731" t="s">
        <v>667</v>
      </c>
      <c r="M731" t="s">
        <v>659</v>
      </c>
      <c r="N731" t="s">
        <v>660</v>
      </c>
      <c r="O731" t="s">
        <v>668</v>
      </c>
      <c r="P731" t="s">
        <v>27</v>
      </c>
      <c r="Q731" t="s">
        <v>28</v>
      </c>
      <c r="R731" t="s">
        <v>1088</v>
      </c>
      <c r="S731" t="s">
        <v>1100</v>
      </c>
      <c r="T731" s="5">
        <v>26</v>
      </c>
      <c r="U731" s="6">
        <v>8.2100000000000009</v>
      </c>
      <c r="V731" s="6">
        <v>5</v>
      </c>
      <c r="W731" s="8">
        <v>0</v>
      </c>
      <c r="X731" s="6">
        <f t="shared" si="55"/>
        <v>213.46000000000004</v>
      </c>
      <c r="Y731" s="6">
        <f t="shared" si="56"/>
        <v>130</v>
      </c>
      <c r="Z731" s="6">
        <f t="shared" si="57"/>
        <v>83.460000000000036</v>
      </c>
      <c r="AA731" t="s">
        <v>679</v>
      </c>
      <c r="AC731" s="5"/>
      <c r="AD731" t="s">
        <v>1105</v>
      </c>
      <c r="AE731" t="str">
        <f t="shared" si="58"/>
        <v>2024-04</v>
      </c>
      <c r="AF731" t="str">
        <f t="shared" si="59"/>
        <v>Q2-2024</v>
      </c>
    </row>
    <row r="732" spans="1:32" x14ac:dyDescent="0.3">
      <c r="A732" t="s">
        <v>2017</v>
      </c>
      <c r="B732" s="5">
        <v>3</v>
      </c>
      <c r="C732" s="4">
        <v>45997</v>
      </c>
      <c r="D732" s="4">
        <v>46008</v>
      </c>
      <c r="E732" t="s">
        <v>136</v>
      </c>
      <c r="F732" t="s">
        <v>137</v>
      </c>
      <c r="G732" t="s">
        <v>65</v>
      </c>
      <c r="H732" t="s">
        <v>31</v>
      </c>
      <c r="I732" t="s">
        <v>67</v>
      </c>
      <c r="J732" t="s">
        <v>1207</v>
      </c>
      <c r="K732" t="s">
        <v>1368</v>
      </c>
      <c r="L732" t="s">
        <v>810</v>
      </c>
      <c r="M732" t="s">
        <v>795</v>
      </c>
      <c r="N732" t="s">
        <v>796</v>
      </c>
      <c r="O732" t="s">
        <v>811</v>
      </c>
      <c r="P732" t="s">
        <v>50</v>
      </c>
      <c r="Q732" t="s">
        <v>51</v>
      </c>
      <c r="R732" t="s">
        <v>126</v>
      </c>
      <c r="S732" t="s">
        <v>1095</v>
      </c>
      <c r="T732" s="5">
        <v>14</v>
      </c>
      <c r="U732" s="6">
        <v>202.43</v>
      </c>
      <c r="V732" s="6">
        <v>141.55000000000001</v>
      </c>
      <c r="W732" s="8">
        <v>0</v>
      </c>
      <c r="X732" s="6">
        <f t="shared" si="55"/>
        <v>2834.02</v>
      </c>
      <c r="Y732" s="6">
        <f t="shared" si="56"/>
        <v>1981.7000000000003</v>
      </c>
      <c r="Z732" s="6">
        <f t="shared" si="57"/>
        <v>852.31999999999971</v>
      </c>
      <c r="AA732" t="s">
        <v>679</v>
      </c>
      <c r="AC732" s="5">
        <v>2</v>
      </c>
      <c r="AD732" t="s">
        <v>1136</v>
      </c>
      <c r="AE732" t="str">
        <f t="shared" si="58"/>
        <v>2025-12</v>
      </c>
      <c r="AF732" t="str">
        <f t="shared" si="59"/>
        <v>Q4-2025</v>
      </c>
    </row>
    <row r="733" spans="1:32" x14ac:dyDescent="0.3">
      <c r="A733" t="s">
        <v>2018</v>
      </c>
      <c r="B733" s="5">
        <v>1</v>
      </c>
      <c r="C733" s="4">
        <v>45780</v>
      </c>
      <c r="D733" s="4">
        <v>45794</v>
      </c>
      <c r="E733" t="s">
        <v>599</v>
      </c>
      <c r="F733" t="s">
        <v>600</v>
      </c>
      <c r="G733" t="s">
        <v>74</v>
      </c>
      <c r="H733" t="s">
        <v>41</v>
      </c>
      <c r="I733" t="s">
        <v>86</v>
      </c>
      <c r="J733" t="s">
        <v>1107</v>
      </c>
      <c r="K733" t="s">
        <v>1439</v>
      </c>
      <c r="L733" t="s">
        <v>906</v>
      </c>
      <c r="M733" t="s">
        <v>795</v>
      </c>
      <c r="N733" t="s">
        <v>898</v>
      </c>
      <c r="O733" t="s">
        <v>907</v>
      </c>
      <c r="P733" t="s">
        <v>42</v>
      </c>
      <c r="Q733" t="s">
        <v>43</v>
      </c>
      <c r="R733" t="s">
        <v>1114</v>
      </c>
      <c r="S733" t="s">
        <v>1156</v>
      </c>
      <c r="T733" s="5">
        <v>12</v>
      </c>
      <c r="U733" s="6">
        <v>207.18</v>
      </c>
      <c r="V733" s="6">
        <v>133.72</v>
      </c>
      <c r="W733" s="8">
        <v>5.67E-2</v>
      </c>
      <c r="X733" s="6">
        <f t="shared" si="55"/>
        <v>2345.1947279999999</v>
      </c>
      <c r="Y733" s="6">
        <f t="shared" si="56"/>
        <v>1604.6399999999999</v>
      </c>
      <c r="Z733" s="6">
        <f t="shared" si="57"/>
        <v>740.55472800000007</v>
      </c>
      <c r="AA733" t="s">
        <v>679</v>
      </c>
      <c r="AC733" s="5">
        <v>2</v>
      </c>
      <c r="AD733" t="s">
        <v>1096</v>
      </c>
      <c r="AE733" t="str">
        <f t="shared" si="58"/>
        <v>2025-05</v>
      </c>
      <c r="AF733" t="str">
        <f t="shared" si="59"/>
        <v>Q2-2025</v>
      </c>
    </row>
    <row r="734" spans="1:32" x14ac:dyDescent="0.3">
      <c r="A734" t="s">
        <v>2019</v>
      </c>
      <c r="B734" s="5">
        <v>4</v>
      </c>
      <c r="C734" s="4">
        <v>45554</v>
      </c>
      <c r="D734" s="4">
        <v>45561</v>
      </c>
      <c r="E734" t="s">
        <v>205</v>
      </c>
      <c r="F734" t="s">
        <v>206</v>
      </c>
      <c r="G734" t="s">
        <v>74</v>
      </c>
      <c r="H734" t="s">
        <v>20</v>
      </c>
      <c r="I734" t="s">
        <v>112</v>
      </c>
      <c r="J734" t="s">
        <v>1158</v>
      </c>
      <c r="K734" t="s">
        <v>1159</v>
      </c>
      <c r="L734" t="s">
        <v>682</v>
      </c>
      <c r="M734" t="s">
        <v>659</v>
      </c>
      <c r="N734" t="s">
        <v>660</v>
      </c>
      <c r="O734" t="s">
        <v>683</v>
      </c>
      <c r="P734" t="s">
        <v>37</v>
      </c>
      <c r="Q734" t="s">
        <v>38</v>
      </c>
      <c r="R734" t="s">
        <v>1114</v>
      </c>
      <c r="S734" t="s">
        <v>1156</v>
      </c>
      <c r="T734" s="5">
        <v>4</v>
      </c>
      <c r="U734" s="6">
        <v>7.91</v>
      </c>
      <c r="V734" s="6">
        <v>5</v>
      </c>
      <c r="W734" s="8">
        <v>0</v>
      </c>
      <c r="X734" s="6">
        <f t="shared" si="55"/>
        <v>31.64</v>
      </c>
      <c r="Y734" s="6">
        <f t="shared" si="56"/>
        <v>20</v>
      </c>
      <c r="Z734" s="6">
        <f t="shared" si="57"/>
        <v>11.64</v>
      </c>
      <c r="AA734" t="s">
        <v>679</v>
      </c>
      <c r="AC734" s="5">
        <v>3</v>
      </c>
      <c r="AD734" t="s">
        <v>1136</v>
      </c>
      <c r="AE734" t="str">
        <f t="shared" si="58"/>
        <v>2024-09</v>
      </c>
      <c r="AF734" t="str">
        <f t="shared" si="59"/>
        <v>Q3-2024</v>
      </c>
    </row>
    <row r="735" spans="1:32" x14ac:dyDescent="0.3">
      <c r="A735" t="s">
        <v>2020</v>
      </c>
      <c r="B735" s="5">
        <v>1</v>
      </c>
      <c r="C735" s="4">
        <v>45312</v>
      </c>
      <c r="D735" s="4">
        <v>45314</v>
      </c>
      <c r="E735" t="s">
        <v>379</v>
      </c>
      <c r="F735" t="s">
        <v>380</v>
      </c>
      <c r="G735" t="s">
        <v>104</v>
      </c>
      <c r="H735" t="s">
        <v>20</v>
      </c>
      <c r="I735" t="s">
        <v>90</v>
      </c>
      <c r="J735" t="s">
        <v>1171</v>
      </c>
      <c r="K735" t="s">
        <v>1183</v>
      </c>
      <c r="L735" t="s">
        <v>758</v>
      </c>
      <c r="M735" t="s">
        <v>659</v>
      </c>
      <c r="N735" t="s">
        <v>754</v>
      </c>
      <c r="O735" t="s">
        <v>759</v>
      </c>
      <c r="P735" t="s">
        <v>24</v>
      </c>
      <c r="Q735" t="s">
        <v>25</v>
      </c>
      <c r="R735" t="s">
        <v>126</v>
      </c>
      <c r="S735" t="s">
        <v>1109</v>
      </c>
      <c r="T735" s="5">
        <v>17</v>
      </c>
      <c r="U735" s="6">
        <v>136.69</v>
      </c>
      <c r="V735" s="6">
        <v>113.63</v>
      </c>
      <c r="W735" s="8">
        <v>0.1363</v>
      </c>
      <c r="X735" s="6">
        <f t="shared" si="55"/>
        <v>2007.0056010000001</v>
      </c>
      <c r="Y735" s="6">
        <f t="shared" si="56"/>
        <v>1931.71</v>
      </c>
      <c r="Z735" s="6">
        <f t="shared" si="57"/>
        <v>75.295601000000033</v>
      </c>
      <c r="AA735" t="s">
        <v>679</v>
      </c>
      <c r="AC735" s="5">
        <v>1</v>
      </c>
      <c r="AD735" t="s">
        <v>1105</v>
      </c>
      <c r="AE735" t="str">
        <f t="shared" si="58"/>
        <v>2024-01</v>
      </c>
      <c r="AF735" t="str">
        <f t="shared" si="59"/>
        <v>Q1-2024</v>
      </c>
    </row>
    <row r="736" spans="1:32" x14ac:dyDescent="0.3">
      <c r="A736" t="s">
        <v>2021</v>
      </c>
      <c r="B736" s="5">
        <v>3</v>
      </c>
      <c r="C736" s="4">
        <v>45364</v>
      </c>
      <c r="D736" s="4">
        <v>45370</v>
      </c>
      <c r="E736" t="s">
        <v>203</v>
      </c>
      <c r="F736" t="s">
        <v>204</v>
      </c>
      <c r="G736" t="s">
        <v>104</v>
      </c>
      <c r="H736" t="s">
        <v>20</v>
      </c>
      <c r="I736" t="s">
        <v>71</v>
      </c>
      <c r="J736" t="s">
        <v>1112</v>
      </c>
      <c r="K736" t="s">
        <v>1266</v>
      </c>
      <c r="L736" t="s">
        <v>1056</v>
      </c>
      <c r="M736" t="s">
        <v>1002</v>
      </c>
      <c r="N736" t="s">
        <v>1034</v>
      </c>
      <c r="O736" t="s">
        <v>1057</v>
      </c>
      <c r="P736" t="s">
        <v>53</v>
      </c>
      <c r="Q736" t="s">
        <v>54</v>
      </c>
      <c r="R736" t="s">
        <v>126</v>
      </c>
      <c r="S736" t="s">
        <v>1109</v>
      </c>
      <c r="T736" s="5">
        <v>2</v>
      </c>
      <c r="U736" s="6">
        <v>213.3</v>
      </c>
      <c r="V736" s="6">
        <v>129.21</v>
      </c>
      <c r="W736" s="8">
        <v>0</v>
      </c>
      <c r="X736" s="6">
        <f t="shared" si="55"/>
        <v>426.6</v>
      </c>
      <c r="Y736" s="6">
        <f t="shared" si="56"/>
        <v>258.42</v>
      </c>
      <c r="Z736" s="6">
        <f t="shared" si="57"/>
        <v>168.18</v>
      </c>
      <c r="AA736" t="s">
        <v>662</v>
      </c>
      <c r="AB736" t="s">
        <v>1289</v>
      </c>
      <c r="AC736" s="5">
        <v>2</v>
      </c>
      <c r="AD736" t="s">
        <v>1148</v>
      </c>
      <c r="AE736" t="str">
        <f t="shared" si="58"/>
        <v>2024-03</v>
      </c>
      <c r="AF736" t="str">
        <f t="shared" si="59"/>
        <v>Q1-2024</v>
      </c>
    </row>
    <row r="737" spans="1:32" x14ac:dyDescent="0.3">
      <c r="A737" t="s">
        <v>2022</v>
      </c>
      <c r="B737" s="5">
        <v>5</v>
      </c>
      <c r="C737" s="4">
        <v>45561</v>
      </c>
      <c r="D737" s="4">
        <v>45575</v>
      </c>
      <c r="E737" t="s">
        <v>367</v>
      </c>
      <c r="F737" t="s">
        <v>368</v>
      </c>
      <c r="G737" t="s">
        <v>74</v>
      </c>
      <c r="H737" t="s">
        <v>20</v>
      </c>
      <c r="I737" t="s">
        <v>71</v>
      </c>
      <c r="J737" t="s">
        <v>1166</v>
      </c>
      <c r="K737" t="s">
        <v>1167</v>
      </c>
      <c r="L737" t="s">
        <v>944</v>
      </c>
      <c r="M737" t="s">
        <v>929</v>
      </c>
      <c r="N737" t="s">
        <v>930</v>
      </c>
      <c r="O737" t="s">
        <v>945</v>
      </c>
      <c r="P737" t="s">
        <v>50</v>
      </c>
      <c r="Q737" t="s">
        <v>51</v>
      </c>
      <c r="R737" t="s">
        <v>1088</v>
      </c>
      <c r="S737" t="s">
        <v>1109</v>
      </c>
      <c r="T737" s="5">
        <v>15</v>
      </c>
      <c r="U737" s="6">
        <v>308.27999999999997</v>
      </c>
      <c r="V737" s="6">
        <v>210.38</v>
      </c>
      <c r="W737" s="8">
        <v>5.5399999999999998E-2</v>
      </c>
      <c r="X737" s="6">
        <f t="shared" si="55"/>
        <v>4368.0193199999994</v>
      </c>
      <c r="Y737" s="6">
        <f t="shared" si="56"/>
        <v>3155.7</v>
      </c>
      <c r="Z737" s="6">
        <f t="shared" si="57"/>
        <v>1212.3193199999996</v>
      </c>
      <c r="AA737" t="s">
        <v>679</v>
      </c>
      <c r="AC737" s="5"/>
      <c r="AE737" t="str">
        <f t="shared" si="58"/>
        <v>2024-09</v>
      </c>
      <c r="AF737" t="str">
        <f t="shared" si="59"/>
        <v>Q3-2024</v>
      </c>
    </row>
    <row r="738" spans="1:32" x14ac:dyDescent="0.3">
      <c r="A738" t="s">
        <v>2023</v>
      </c>
      <c r="B738" s="5">
        <v>2</v>
      </c>
      <c r="C738" s="4">
        <v>45344</v>
      </c>
      <c r="D738" s="4">
        <v>45346</v>
      </c>
      <c r="E738" t="s">
        <v>156</v>
      </c>
      <c r="F738" t="s">
        <v>157</v>
      </c>
      <c r="G738" t="s">
        <v>74</v>
      </c>
      <c r="H738" t="s">
        <v>41</v>
      </c>
      <c r="I738" t="s">
        <v>75</v>
      </c>
      <c r="J738" t="s">
        <v>1142</v>
      </c>
      <c r="K738" t="s">
        <v>1143</v>
      </c>
      <c r="L738" t="s">
        <v>950</v>
      </c>
      <c r="M738" t="s">
        <v>929</v>
      </c>
      <c r="N738" t="s">
        <v>930</v>
      </c>
      <c r="O738" t="s">
        <v>951</v>
      </c>
      <c r="P738" t="s">
        <v>34</v>
      </c>
      <c r="Q738" t="s">
        <v>35</v>
      </c>
      <c r="R738" t="s">
        <v>1114</v>
      </c>
      <c r="S738" t="s">
        <v>1095</v>
      </c>
      <c r="T738" s="5">
        <v>9</v>
      </c>
      <c r="U738" s="6">
        <v>322.37</v>
      </c>
      <c r="V738" s="6">
        <v>181.98</v>
      </c>
      <c r="W738" s="8">
        <v>0</v>
      </c>
      <c r="X738" s="6">
        <f t="shared" si="55"/>
        <v>2901.33</v>
      </c>
      <c r="Y738" s="6">
        <f t="shared" si="56"/>
        <v>1637.82</v>
      </c>
      <c r="Z738" s="6">
        <f t="shared" si="57"/>
        <v>1263.51</v>
      </c>
      <c r="AA738" t="s">
        <v>679</v>
      </c>
      <c r="AC738" s="5">
        <v>3</v>
      </c>
      <c r="AD738" t="s">
        <v>1090</v>
      </c>
      <c r="AE738" t="str">
        <f t="shared" si="58"/>
        <v>2024-02</v>
      </c>
      <c r="AF738" t="str">
        <f t="shared" si="59"/>
        <v>Q1-2024</v>
      </c>
    </row>
    <row r="739" spans="1:32" x14ac:dyDescent="0.3">
      <c r="A739" t="s">
        <v>2024</v>
      </c>
      <c r="B739" s="5">
        <v>2</v>
      </c>
      <c r="C739" s="4">
        <v>45799</v>
      </c>
      <c r="D739" s="4">
        <v>45807</v>
      </c>
      <c r="E739" t="s">
        <v>649</v>
      </c>
      <c r="F739" t="s">
        <v>650</v>
      </c>
      <c r="G739" t="s">
        <v>84</v>
      </c>
      <c r="H739" t="s">
        <v>41</v>
      </c>
      <c r="I739" t="s">
        <v>86</v>
      </c>
      <c r="J739" t="s">
        <v>1107</v>
      </c>
      <c r="K739" t="s">
        <v>1230</v>
      </c>
      <c r="L739" t="s">
        <v>790</v>
      </c>
      <c r="M739" t="s">
        <v>659</v>
      </c>
      <c r="N739" t="s">
        <v>754</v>
      </c>
      <c r="O739" t="s">
        <v>791</v>
      </c>
      <c r="P739" t="s">
        <v>39</v>
      </c>
      <c r="Q739" t="s">
        <v>40</v>
      </c>
      <c r="R739" t="s">
        <v>1088</v>
      </c>
      <c r="S739" t="s">
        <v>1156</v>
      </c>
      <c r="T739" s="5">
        <v>15</v>
      </c>
      <c r="U739" s="6">
        <v>87.85</v>
      </c>
      <c r="V739" s="6">
        <v>76.42</v>
      </c>
      <c r="W739" s="8">
        <v>0</v>
      </c>
      <c r="X739" s="6">
        <f t="shared" si="55"/>
        <v>1317.75</v>
      </c>
      <c r="Y739" s="6">
        <f t="shared" si="56"/>
        <v>1146.3</v>
      </c>
      <c r="Z739" s="6">
        <f t="shared" si="57"/>
        <v>171.45000000000005</v>
      </c>
      <c r="AA739" t="s">
        <v>679</v>
      </c>
      <c r="AC739" s="5">
        <v>1</v>
      </c>
      <c r="AD739" t="s">
        <v>1136</v>
      </c>
      <c r="AE739" t="str">
        <f t="shared" si="58"/>
        <v>2025-05</v>
      </c>
      <c r="AF739" t="str">
        <f t="shared" si="59"/>
        <v>Q2-2025</v>
      </c>
    </row>
    <row r="740" spans="1:32" x14ac:dyDescent="0.3">
      <c r="A740" t="s">
        <v>2025</v>
      </c>
      <c r="B740" s="5">
        <v>1</v>
      </c>
      <c r="C740" s="4">
        <v>45984</v>
      </c>
      <c r="D740" s="4">
        <v>45996</v>
      </c>
      <c r="E740" t="s">
        <v>246</v>
      </c>
      <c r="F740" t="s">
        <v>2026</v>
      </c>
      <c r="G740" t="s">
        <v>74</v>
      </c>
      <c r="H740" t="s">
        <v>20</v>
      </c>
      <c r="I740" t="s">
        <v>71</v>
      </c>
      <c r="J740" t="s">
        <v>1112</v>
      </c>
      <c r="K740" t="s">
        <v>1113</v>
      </c>
      <c r="L740" t="s">
        <v>741</v>
      </c>
      <c r="M740" t="s">
        <v>659</v>
      </c>
      <c r="N740" t="s">
        <v>713</v>
      </c>
      <c r="O740" t="s">
        <v>742</v>
      </c>
      <c r="P740" t="s">
        <v>29</v>
      </c>
      <c r="Q740" t="s">
        <v>30</v>
      </c>
      <c r="R740" t="s">
        <v>1114</v>
      </c>
      <c r="S740" t="s">
        <v>1095</v>
      </c>
      <c r="T740" s="5">
        <v>25</v>
      </c>
      <c r="U740" s="6">
        <v>29.34</v>
      </c>
      <c r="V740" s="6">
        <v>20.54</v>
      </c>
      <c r="W740" s="8">
        <v>0.1595</v>
      </c>
      <c r="X740" s="6">
        <f t="shared" si="55"/>
        <v>616.50675000000001</v>
      </c>
      <c r="Y740" s="6">
        <f t="shared" si="56"/>
        <v>513.5</v>
      </c>
      <c r="Z740" s="6">
        <f t="shared" si="57"/>
        <v>103.00675000000001</v>
      </c>
      <c r="AA740" t="s">
        <v>662</v>
      </c>
      <c r="AB740" t="s">
        <v>1289</v>
      </c>
      <c r="AC740" s="5">
        <v>4</v>
      </c>
      <c r="AD740" t="s">
        <v>1231</v>
      </c>
      <c r="AE740" t="str">
        <f t="shared" si="58"/>
        <v>2025-11</v>
      </c>
      <c r="AF740" t="str">
        <f t="shared" si="59"/>
        <v>Q4-2025</v>
      </c>
    </row>
    <row r="741" spans="1:32" x14ac:dyDescent="0.3">
      <c r="A741" t="s">
        <v>2027</v>
      </c>
      <c r="B741" s="5">
        <v>4</v>
      </c>
      <c r="C741" s="4">
        <v>45422</v>
      </c>
      <c r="D741" s="4">
        <v>45427</v>
      </c>
      <c r="E741" t="s">
        <v>348</v>
      </c>
      <c r="F741" t="s">
        <v>349</v>
      </c>
      <c r="G741" t="s">
        <v>65</v>
      </c>
      <c r="H741" t="s">
        <v>41</v>
      </c>
      <c r="I741" t="s">
        <v>86</v>
      </c>
      <c r="J741" t="s">
        <v>1107</v>
      </c>
      <c r="K741" t="s">
        <v>1108</v>
      </c>
      <c r="L741" t="s">
        <v>1044</v>
      </c>
      <c r="M741" t="s">
        <v>1002</v>
      </c>
      <c r="N741" t="s">
        <v>1034</v>
      </c>
      <c r="O741" t="s">
        <v>1045</v>
      </c>
      <c r="P741" t="s">
        <v>17</v>
      </c>
      <c r="Q741" t="s">
        <v>18</v>
      </c>
      <c r="R741" t="s">
        <v>1088</v>
      </c>
      <c r="S741" t="s">
        <v>1095</v>
      </c>
      <c r="T741" s="5">
        <v>8</v>
      </c>
      <c r="U741" s="6">
        <v>321.87</v>
      </c>
      <c r="V741" s="6">
        <v>175.12</v>
      </c>
      <c r="W741" s="8">
        <v>0</v>
      </c>
      <c r="X741" s="6">
        <f t="shared" si="55"/>
        <v>2574.96</v>
      </c>
      <c r="Y741" s="6">
        <f t="shared" si="56"/>
        <v>1400.96</v>
      </c>
      <c r="Z741" s="6">
        <f t="shared" si="57"/>
        <v>1174</v>
      </c>
      <c r="AA741" t="s">
        <v>679</v>
      </c>
      <c r="AC741" s="5">
        <v>4</v>
      </c>
      <c r="AD741" t="s">
        <v>1110</v>
      </c>
      <c r="AE741" t="str">
        <f t="shared" si="58"/>
        <v>2024-05</v>
      </c>
      <c r="AF741" t="str">
        <f t="shared" si="59"/>
        <v>Q2-2024</v>
      </c>
    </row>
    <row r="742" spans="1:32" x14ac:dyDescent="0.3">
      <c r="A742" t="s">
        <v>2028</v>
      </c>
      <c r="B742" s="5">
        <v>2</v>
      </c>
      <c r="C742" s="4">
        <v>45637</v>
      </c>
      <c r="D742" s="4">
        <v>45641</v>
      </c>
      <c r="E742" t="s">
        <v>477</v>
      </c>
      <c r="F742" t="s">
        <v>478</v>
      </c>
      <c r="G742" t="s">
        <v>74</v>
      </c>
      <c r="H742" t="s">
        <v>41</v>
      </c>
      <c r="I742" t="s">
        <v>86</v>
      </c>
      <c r="J742" t="s">
        <v>1107</v>
      </c>
      <c r="K742" t="s">
        <v>1439</v>
      </c>
      <c r="L742" t="s">
        <v>954</v>
      </c>
      <c r="M742" t="s">
        <v>929</v>
      </c>
      <c r="N742" t="s">
        <v>930</v>
      </c>
      <c r="O742" t="s">
        <v>955</v>
      </c>
      <c r="P742" t="s">
        <v>39</v>
      </c>
      <c r="Q742" t="s">
        <v>40</v>
      </c>
      <c r="R742" t="s">
        <v>1114</v>
      </c>
      <c r="S742" t="s">
        <v>1100</v>
      </c>
      <c r="T742" s="5">
        <v>12</v>
      </c>
      <c r="U742" s="6">
        <v>173.21</v>
      </c>
      <c r="V742" s="6">
        <v>99.65</v>
      </c>
      <c r="W742" s="8">
        <v>0.16700000000000001</v>
      </c>
      <c r="X742" s="6">
        <f t="shared" si="55"/>
        <v>1731.40716</v>
      </c>
      <c r="Y742" s="6">
        <f t="shared" si="56"/>
        <v>1195.8000000000002</v>
      </c>
      <c r="Z742" s="6">
        <f t="shared" si="57"/>
        <v>535.60715999999979</v>
      </c>
      <c r="AA742" t="s">
        <v>679</v>
      </c>
      <c r="AC742" s="5">
        <v>1</v>
      </c>
      <c r="AD742" t="s">
        <v>1148</v>
      </c>
      <c r="AE742" t="str">
        <f t="shared" si="58"/>
        <v>2024-12</v>
      </c>
      <c r="AF742" t="str">
        <f t="shared" si="59"/>
        <v>Q4-2024</v>
      </c>
    </row>
    <row r="743" spans="1:32" x14ac:dyDescent="0.3">
      <c r="A743" t="s">
        <v>2029</v>
      </c>
      <c r="B743" s="5">
        <v>5</v>
      </c>
      <c r="C743" s="4">
        <v>45707</v>
      </c>
      <c r="D743" s="4">
        <v>45714</v>
      </c>
      <c r="E743" t="s">
        <v>223</v>
      </c>
      <c r="F743" t="s">
        <v>224</v>
      </c>
      <c r="G743" t="s">
        <v>74</v>
      </c>
      <c r="H743" t="s">
        <v>31</v>
      </c>
      <c r="I743" t="s">
        <v>160</v>
      </c>
      <c r="J743" t="s">
        <v>1125</v>
      </c>
      <c r="K743" t="s">
        <v>1386</v>
      </c>
      <c r="L743" t="s">
        <v>940</v>
      </c>
      <c r="M743" t="s">
        <v>929</v>
      </c>
      <c r="N743" t="s">
        <v>930</v>
      </c>
      <c r="O743" t="s">
        <v>941</v>
      </c>
      <c r="P743" t="s">
        <v>34</v>
      </c>
      <c r="Q743" t="s">
        <v>35</v>
      </c>
      <c r="R743" t="s">
        <v>1114</v>
      </c>
      <c r="S743" t="s">
        <v>1089</v>
      </c>
      <c r="T743" s="5">
        <v>18</v>
      </c>
      <c r="U743" s="6">
        <v>211.5</v>
      </c>
      <c r="V743" s="6">
        <v>157.07</v>
      </c>
      <c r="W743" s="8">
        <v>0.3231</v>
      </c>
      <c r="X743" s="6">
        <f t="shared" si="55"/>
        <v>2576.9583000000002</v>
      </c>
      <c r="Y743" s="6">
        <f t="shared" si="56"/>
        <v>2827.2599999999998</v>
      </c>
      <c r="Z743" s="6">
        <f t="shared" si="57"/>
        <v>-250.30169999999953</v>
      </c>
      <c r="AA743" t="s">
        <v>679</v>
      </c>
      <c r="AC743" s="5">
        <v>1</v>
      </c>
      <c r="AD743" t="s">
        <v>1136</v>
      </c>
      <c r="AE743" t="str">
        <f t="shared" si="58"/>
        <v>2025-02</v>
      </c>
      <c r="AF743" t="str">
        <f t="shared" si="59"/>
        <v>Q1-2025</v>
      </c>
    </row>
    <row r="744" spans="1:32" x14ac:dyDescent="0.3">
      <c r="A744" t="s">
        <v>2030</v>
      </c>
      <c r="B744" s="5">
        <v>3</v>
      </c>
      <c r="C744" s="4">
        <v>45303</v>
      </c>
      <c r="D744" s="4">
        <v>45308</v>
      </c>
      <c r="E744" t="s">
        <v>596</v>
      </c>
      <c r="F744" t="s">
        <v>355</v>
      </c>
      <c r="G744" t="s">
        <v>84</v>
      </c>
      <c r="H744" t="s">
        <v>20</v>
      </c>
      <c r="I744" t="s">
        <v>112</v>
      </c>
      <c r="J744" t="s">
        <v>1201</v>
      </c>
      <c r="K744" t="s">
        <v>1221</v>
      </c>
      <c r="L744" t="s">
        <v>881</v>
      </c>
      <c r="M744" t="s">
        <v>795</v>
      </c>
      <c r="N744" t="s">
        <v>837</v>
      </c>
      <c r="O744" t="s">
        <v>882</v>
      </c>
      <c r="P744" t="s">
        <v>46</v>
      </c>
      <c r="Q744" t="s">
        <v>47</v>
      </c>
      <c r="R744" t="s">
        <v>1088</v>
      </c>
      <c r="S744" t="s">
        <v>1089</v>
      </c>
      <c r="T744" s="5">
        <v>17</v>
      </c>
      <c r="U744" s="6">
        <v>224.53</v>
      </c>
      <c r="V744" s="6">
        <v>129.41999999999999</v>
      </c>
      <c r="W744" s="8">
        <v>0</v>
      </c>
      <c r="X744" s="6">
        <f t="shared" si="55"/>
        <v>3817.01</v>
      </c>
      <c r="Y744" s="6">
        <f t="shared" si="56"/>
        <v>2200.14</v>
      </c>
      <c r="Z744" s="6">
        <f t="shared" si="57"/>
        <v>1616.8700000000003</v>
      </c>
      <c r="AA744" t="s">
        <v>679</v>
      </c>
      <c r="AC744" s="5">
        <v>3</v>
      </c>
      <c r="AD744" t="s">
        <v>1105</v>
      </c>
      <c r="AE744" t="str">
        <f t="shared" si="58"/>
        <v>2024-01</v>
      </c>
      <c r="AF744" t="str">
        <f t="shared" si="59"/>
        <v>Q1-2024</v>
      </c>
    </row>
    <row r="745" spans="1:32" x14ac:dyDescent="0.3">
      <c r="A745" t="s">
        <v>2031</v>
      </c>
      <c r="B745" s="5">
        <v>5</v>
      </c>
      <c r="C745" s="4">
        <v>45906</v>
      </c>
      <c r="D745" s="4">
        <v>45920</v>
      </c>
      <c r="E745" t="s">
        <v>424</v>
      </c>
      <c r="F745" t="s">
        <v>425</v>
      </c>
      <c r="G745" t="s">
        <v>74</v>
      </c>
      <c r="H745" t="s">
        <v>31</v>
      </c>
      <c r="I745" t="s">
        <v>127</v>
      </c>
      <c r="J745" t="s">
        <v>1116</v>
      </c>
      <c r="K745" t="s">
        <v>1117</v>
      </c>
      <c r="L745" t="s">
        <v>700</v>
      </c>
      <c r="M745" t="s">
        <v>659</v>
      </c>
      <c r="N745" t="s">
        <v>660</v>
      </c>
      <c r="O745" t="s">
        <v>701</v>
      </c>
      <c r="P745" t="s">
        <v>42</v>
      </c>
      <c r="Q745" t="s">
        <v>43</v>
      </c>
      <c r="R745" t="s">
        <v>1114</v>
      </c>
      <c r="S745" t="s">
        <v>1109</v>
      </c>
      <c r="T745" s="5">
        <v>35</v>
      </c>
      <c r="U745" s="6">
        <v>98.83</v>
      </c>
      <c r="V745" s="6">
        <v>56.99</v>
      </c>
      <c r="W745" s="8">
        <v>0</v>
      </c>
      <c r="X745" s="6">
        <f t="shared" si="55"/>
        <v>3459.0499999999997</v>
      </c>
      <c r="Y745" s="6">
        <f t="shared" si="56"/>
        <v>1994.65</v>
      </c>
      <c r="Z745" s="6">
        <f t="shared" si="57"/>
        <v>1464.3999999999996</v>
      </c>
      <c r="AA745" t="s">
        <v>679</v>
      </c>
      <c r="AC745" s="5">
        <v>1</v>
      </c>
      <c r="AD745" t="s">
        <v>1110</v>
      </c>
      <c r="AE745" t="str">
        <f t="shared" si="58"/>
        <v>2025-09</v>
      </c>
      <c r="AF745" t="str">
        <f t="shared" si="59"/>
        <v>Q3-2025</v>
      </c>
    </row>
    <row r="746" spans="1:32" x14ac:dyDescent="0.3">
      <c r="A746" t="s">
        <v>2032</v>
      </c>
      <c r="B746" s="5">
        <v>1</v>
      </c>
      <c r="C746" s="4">
        <v>45405</v>
      </c>
      <c r="D746" s="4">
        <v>45417</v>
      </c>
      <c r="E746" t="s">
        <v>542</v>
      </c>
      <c r="F746" t="s">
        <v>543</v>
      </c>
      <c r="G746" t="s">
        <v>65</v>
      </c>
      <c r="H746" t="s">
        <v>31</v>
      </c>
      <c r="I746" t="s">
        <v>160</v>
      </c>
      <c r="J746" t="s">
        <v>1092</v>
      </c>
      <c r="K746" t="s">
        <v>1093</v>
      </c>
      <c r="L746" t="s">
        <v>981</v>
      </c>
      <c r="M746" t="s">
        <v>929</v>
      </c>
      <c r="N746" t="s">
        <v>971</v>
      </c>
      <c r="O746" t="s">
        <v>982</v>
      </c>
      <c r="P746" t="s">
        <v>21</v>
      </c>
      <c r="Q746" t="s">
        <v>22</v>
      </c>
      <c r="R746" t="s">
        <v>126</v>
      </c>
      <c r="S746" t="s">
        <v>1109</v>
      </c>
      <c r="T746" s="5">
        <v>5</v>
      </c>
      <c r="U746" s="6">
        <v>106.08</v>
      </c>
      <c r="V746" s="6">
        <v>77.88</v>
      </c>
      <c r="W746" s="8">
        <v>0</v>
      </c>
      <c r="X746" s="6">
        <f t="shared" si="55"/>
        <v>530.4</v>
      </c>
      <c r="Y746" s="6">
        <f t="shared" si="56"/>
        <v>389.4</v>
      </c>
      <c r="Z746" s="6">
        <f t="shared" si="57"/>
        <v>141</v>
      </c>
      <c r="AA746" t="s">
        <v>679</v>
      </c>
      <c r="AC746" s="5">
        <v>5</v>
      </c>
      <c r="AD746" t="s">
        <v>1105</v>
      </c>
      <c r="AE746" t="str">
        <f t="shared" si="58"/>
        <v>2024-04</v>
      </c>
      <c r="AF746" t="str">
        <f t="shared" si="59"/>
        <v>Q2-2024</v>
      </c>
    </row>
    <row r="747" spans="1:32" x14ac:dyDescent="0.3">
      <c r="A747" t="s">
        <v>2033</v>
      </c>
      <c r="B747" s="5">
        <v>3</v>
      </c>
      <c r="C747" s="4">
        <v>45476</v>
      </c>
      <c r="D747" s="4">
        <v>45477</v>
      </c>
      <c r="E747" t="s">
        <v>643</v>
      </c>
      <c r="F747" t="s">
        <v>644</v>
      </c>
      <c r="G747" t="s">
        <v>65</v>
      </c>
      <c r="H747" t="s">
        <v>23</v>
      </c>
      <c r="I747" t="s">
        <v>93</v>
      </c>
      <c r="J747" t="s">
        <v>1294</v>
      </c>
      <c r="K747" t="s">
        <v>1334</v>
      </c>
      <c r="L747" t="s">
        <v>758</v>
      </c>
      <c r="M747" t="s">
        <v>659</v>
      </c>
      <c r="N747" t="s">
        <v>754</v>
      </c>
      <c r="O747" t="s">
        <v>759</v>
      </c>
      <c r="P747" t="s">
        <v>17</v>
      </c>
      <c r="Q747" t="s">
        <v>18</v>
      </c>
      <c r="R747" t="s">
        <v>1114</v>
      </c>
      <c r="S747" t="s">
        <v>1156</v>
      </c>
      <c r="T747" s="5">
        <v>5</v>
      </c>
      <c r="U747" s="6">
        <v>152.66999999999999</v>
      </c>
      <c r="V747" s="6">
        <v>113.63</v>
      </c>
      <c r="W747" s="8">
        <v>0</v>
      </c>
      <c r="X747" s="6">
        <f t="shared" si="55"/>
        <v>763.34999999999991</v>
      </c>
      <c r="Y747" s="6">
        <f t="shared" si="56"/>
        <v>568.15</v>
      </c>
      <c r="Z747" s="6">
        <f t="shared" si="57"/>
        <v>195.19999999999993</v>
      </c>
      <c r="AA747" t="s">
        <v>679</v>
      </c>
      <c r="AC747" s="5"/>
      <c r="AE747" t="str">
        <f t="shared" si="58"/>
        <v>2024-07</v>
      </c>
      <c r="AF747" t="str">
        <f t="shared" si="59"/>
        <v>Q3-2024</v>
      </c>
    </row>
    <row r="748" spans="1:32" x14ac:dyDescent="0.3">
      <c r="A748" t="s">
        <v>2034</v>
      </c>
      <c r="B748" s="5">
        <v>1</v>
      </c>
      <c r="C748" s="4">
        <v>45706</v>
      </c>
      <c r="D748" s="4">
        <v>45720</v>
      </c>
      <c r="E748" t="s">
        <v>121</v>
      </c>
      <c r="F748" t="s">
        <v>122</v>
      </c>
      <c r="G748" t="s">
        <v>74</v>
      </c>
      <c r="H748" t="s">
        <v>31</v>
      </c>
      <c r="I748" t="s">
        <v>160</v>
      </c>
      <c r="J748" t="s">
        <v>1125</v>
      </c>
      <c r="K748" t="s">
        <v>1386</v>
      </c>
      <c r="L748" t="s">
        <v>814</v>
      </c>
      <c r="M748" t="s">
        <v>795</v>
      </c>
      <c r="N748" t="s">
        <v>796</v>
      </c>
      <c r="O748" t="s">
        <v>815</v>
      </c>
      <c r="P748" t="s">
        <v>42</v>
      </c>
      <c r="Q748" t="s">
        <v>43</v>
      </c>
      <c r="R748" t="s">
        <v>1088</v>
      </c>
      <c r="S748" t="s">
        <v>1109</v>
      </c>
      <c r="T748" s="5">
        <v>6</v>
      </c>
      <c r="U748" s="6">
        <v>166.1</v>
      </c>
      <c r="V748" s="6">
        <v>124.03</v>
      </c>
      <c r="W748" s="8">
        <v>0</v>
      </c>
      <c r="X748" s="6">
        <f t="shared" si="55"/>
        <v>996.59999999999991</v>
      </c>
      <c r="Y748" s="6">
        <f t="shared" si="56"/>
        <v>744.18000000000006</v>
      </c>
      <c r="Z748" s="6">
        <f t="shared" si="57"/>
        <v>252.41999999999985</v>
      </c>
      <c r="AA748" t="s">
        <v>679</v>
      </c>
      <c r="AC748" s="5">
        <v>2</v>
      </c>
      <c r="AD748" t="s">
        <v>1905</v>
      </c>
      <c r="AE748" t="str">
        <f t="shared" si="58"/>
        <v>2025-02</v>
      </c>
      <c r="AF748" t="str">
        <f t="shared" si="59"/>
        <v>Q1-2025</v>
      </c>
    </row>
    <row r="749" spans="1:32" x14ac:dyDescent="0.3">
      <c r="A749" t="s">
        <v>2035</v>
      </c>
      <c r="B749" s="5">
        <v>1</v>
      </c>
      <c r="C749" s="4">
        <v>45704</v>
      </c>
      <c r="D749" s="4">
        <v>45716</v>
      </c>
      <c r="E749" t="s">
        <v>346</v>
      </c>
      <c r="F749" t="s">
        <v>347</v>
      </c>
      <c r="G749" t="s">
        <v>74</v>
      </c>
      <c r="H749" t="s">
        <v>23</v>
      </c>
      <c r="I749" t="s">
        <v>93</v>
      </c>
      <c r="J749" t="s">
        <v>1103</v>
      </c>
      <c r="K749" t="s">
        <v>1613</v>
      </c>
      <c r="L749" t="s">
        <v>1046</v>
      </c>
      <c r="M749" t="s">
        <v>1002</v>
      </c>
      <c r="N749" t="s">
        <v>1034</v>
      </c>
      <c r="O749" t="s">
        <v>1047</v>
      </c>
      <c r="P749" t="s">
        <v>42</v>
      </c>
      <c r="Q749" t="s">
        <v>43</v>
      </c>
      <c r="R749" t="s">
        <v>1114</v>
      </c>
      <c r="S749" t="s">
        <v>1156</v>
      </c>
      <c r="T749" s="5">
        <v>4</v>
      </c>
      <c r="U749" s="6">
        <v>272.35000000000002</v>
      </c>
      <c r="V749" s="6">
        <v>153.29</v>
      </c>
      <c r="W749" s="8">
        <v>7.2099999999999997E-2</v>
      </c>
      <c r="X749" s="6">
        <f t="shared" si="55"/>
        <v>1010.8542600000001</v>
      </c>
      <c r="Y749" s="6">
        <f t="shared" si="56"/>
        <v>613.16</v>
      </c>
      <c r="Z749" s="6">
        <f t="shared" si="57"/>
        <v>397.6942600000001</v>
      </c>
      <c r="AA749" t="s">
        <v>679</v>
      </c>
      <c r="AC749" s="5">
        <v>2</v>
      </c>
      <c r="AD749" t="s">
        <v>1412</v>
      </c>
      <c r="AE749" t="str">
        <f t="shared" si="58"/>
        <v>2025-02</v>
      </c>
      <c r="AF749" t="str">
        <f t="shared" si="59"/>
        <v>Q1-2025</v>
      </c>
    </row>
    <row r="750" spans="1:32" x14ac:dyDescent="0.3">
      <c r="A750" t="s">
        <v>2036</v>
      </c>
      <c r="B750" s="5">
        <v>1</v>
      </c>
      <c r="C750" s="4">
        <v>45602</v>
      </c>
      <c r="D750" s="4">
        <v>45614</v>
      </c>
      <c r="E750" t="s">
        <v>509</v>
      </c>
      <c r="F750" t="s">
        <v>510</v>
      </c>
      <c r="G750" t="s">
        <v>84</v>
      </c>
      <c r="H750" t="s">
        <v>23</v>
      </c>
      <c r="I750" t="s">
        <v>93</v>
      </c>
      <c r="J750" t="s">
        <v>1192</v>
      </c>
      <c r="K750" t="s">
        <v>1193</v>
      </c>
      <c r="L750" t="s">
        <v>881</v>
      </c>
      <c r="M750" t="s">
        <v>795</v>
      </c>
      <c r="N750" t="s">
        <v>837</v>
      </c>
      <c r="O750" t="s">
        <v>882</v>
      </c>
      <c r="P750" t="s">
        <v>37</v>
      </c>
      <c r="Q750" t="s">
        <v>38</v>
      </c>
      <c r="R750" t="s">
        <v>1088</v>
      </c>
      <c r="S750" t="s">
        <v>1109</v>
      </c>
      <c r="T750" s="5">
        <v>5</v>
      </c>
      <c r="U750" s="6">
        <v>241.43</v>
      </c>
      <c r="V750" s="6">
        <v>129.41999999999999</v>
      </c>
      <c r="W750" s="8">
        <v>0</v>
      </c>
      <c r="X750" s="6">
        <f t="shared" si="55"/>
        <v>1207.1500000000001</v>
      </c>
      <c r="Y750" s="6">
        <f t="shared" si="56"/>
        <v>647.09999999999991</v>
      </c>
      <c r="Z750" s="6">
        <f t="shared" si="57"/>
        <v>560.05000000000018</v>
      </c>
      <c r="AA750" t="s">
        <v>679</v>
      </c>
      <c r="AC750" s="5"/>
      <c r="AD750" t="s">
        <v>1096</v>
      </c>
      <c r="AE750" t="str">
        <f t="shared" si="58"/>
        <v>2024-11</v>
      </c>
      <c r="AF750" t="str">
        <f t="shared" si="59"/>
        <v>Q4-2024</v>
      </c>
    </row>
    <row r="751" spans="1:32" x14ac:dyDescent="0.3">
      <c r="A751" t="s">
        <v>2037</v>
      </c>
      <c r="B751" s="5">
        <v>1</v>
      </c>
      <c r="C751" s="4">
        <v>45814</v>
      </c>
      <c r="D751" s="4">
        <v>45827</v>
      </c>
      <c r="E751" t="s">
        <v>387</v>
      </c>
      <c r="F751" t="s">
        <v>388</v>
      </c>
      <c r="G751" t="s">
        <v>65</v>
      </c>
      <c r="H751" t="s">
        <v>23</v>
      </c>
      <c r="I751" t="s">
        <v>109</v>
      </c>
      <c r="J751" t="s">
        <v>1145</v>
      </c>
      <c r="K751" t="s">
        <v>1211</v>
      </c>
      <c r="L751" t="s">
        <v>853</v>
      </c>
      <c r="M751" t="s">
        <v>795</v>
      </c>
      <c r="N751" t="s">
        <v>837</v>
      </c>
      <c r="O751" t="s">
        <v>854</v>
      </c>
      <c r="P751" t="s">
        <v>48</v>
      </c>
      <c r="Q751" t="s">
        <v>49</v>
      </c>
      <c r="R751" t="s">
        <v>1094</v>
      </c>
      <c r="S751" t="s">
        <v>1089</v>
      </c>
      <c r="T751" s="5">
        <v>5</v>
      </c>
      <c r="U751" s="6">
        <v>184.11</v>
      </c>
      <c r="V751" s="6">
        <v>119.67</v>
      </c>
      <c r="W751" s="8">
        <v>0</v>
      </c>
      <c r="X751" s="6">
        <f t="shared" si="55"/>
        <v>920.55000000000007</v>
      </c>
      <c r="Y751" s="6">
        <f t="shared" si="56"/>
        <v>598.35</v>
      </c>
      <c r="Z751" s="6">
        <f t="shared" si="57"/>
        <v>322.20000000000005</v>
      </c>
      <c r="AA751" t="s">
        <v>679</v>
      </c>
      <c r="AC751" s="5"/>
      <c r="AD751" t="s">
        <v>1123</v>
      </c>
      <c r="AE751" t="str">
        <f t="shared" si="58"/>
        <v>2025-06</v>
      </c>
      <c r="AF751" t="str">
        <f t="shared" si="59"/>
        <v>Q2-2025</v>
      </c>
    </row>
    <row r="752" spans="1:32" x14ac:dyDescent="0.3">
      <c r="A752" t="s">
        <v>2038</v>
      </c>
      <c r="B752" s="5">
        <v>3</v>
      </c>
      <c r="C752" s="4">
        <v>45540</v>
      </c>
      <c r="D752" s="4">
        <v>45549</v>
      </c>
      <c r="E752" t="s">
        <v>344</v>
      </c>
      <c r="F752" t="s">
        <v>345</v>
      </c>
      <c r="G752" t="s">
        <v>65</v>
      </c>
      <c r="H752" t="s">
        <v>23</v>
      </c>
      <c r="I752" t="s">
        <v>81</v>
      </c>
      <c r="J752" t="s">
        <v>1119</v>
      </c>
      <c r="K752" t="s">
        <v>1120</v>
      </c>
      <c r="L752" t="s">
        <v>743</v>
      </c>
      <c r="M752" t="s">
        <v>659</v>
      </c>
      <c r="N752" t="s">
        <v>713</v>
      </c>
      <c r="O752" t="s">
        <v>744</v>
      </c>
      <c r="P752" t="s">
        <v>32</v>
      </c>
      <c r="Q752" t="s">
        <v>33</v>
      </c>
      <c r="R752" t="s">
        <v>126</v>
      </c>
      <c r="S752" t="s">
        <v>1109</v>
      </c>
      <c r="T752" s="5">
        <v>5</v>
      </c>
      <c r="U752" s="6">
        <v>6.42</v>
      </c>
      <c r="V752" s="6">
        <v>5.38</v>
      </c>
      <c r="W752" s="8">
        <v>0</v>
      </c>
      <c r="X752" s="6">
        <f t="shared" si="55"/>
        <v>32.1</v>
      </c>
      <c r="Y752" s="6">
        <f t="shared" si="56"/>
        <v>26.9</v>
      </c>
      <c r="Z752" s="6">
        <f t="shared" si="57"/>
        <v>5.2000000000000028</v>
      </c>
      <c r="AA752" t="s">
        <v>679</v>
      </c>
      <c r="AC752" s="5"/>
      <c r="AD752" t="s">
        <v>1136</v>
      </c>
      <c r="AE752" t="str">
        <f t="shared" si="58"/>
        <v>2024-09</v>
      </c>
      <c r="AF752" t="str">
        <f t="shared" si="59"/>
        <v>Q3-2024</v>
      </c>
    </row>
    <row r="753" spans="1:32" x14ac:dyDescent="0.3">
      <c r="A753" t="s">
        <v>2039</v>
      </c>
      <c r="B753" s="5">
        <v>1</v>
      </c>
      <c r="C753" s="4">
        <v>45930</v>
      </c>
      <c r="D753" s="4">
        <v>45944</v>
      </c>
      <c r="E753" t="s">
        <v>422</v>
      </c>
      <c r="F753" t="s">
        <v>2040</v>
      </c>
      <c r="G753" t="s">
        <v>74</v>
      </c>
      <c r="H753" t="s">
        <v>31</v>
      </c>
      <c r="I753" t="s">
        <v>127</v>
      </c>
      <c r="J753" t="s">
        <v>1116</v>
      </c>
      <c r="K753" t="s">
        <v>1357</v>
      </c>
      <c r="L753" t="s">
        <v>873</v>
      </c>
      <c r="M753" t="s">
        <v>795</v>
      </c>
      <c r="N753" t="s">
        <v>837</v>
      </c>
      <c r="O753" t="s">
        <v>874</v>
      </c>
      <c r="P753" t="s">
        <v>42</v>
      </c>
      <c r="Q753" t="s">
        <v>43</v>
      </c>
      <c r="R753" t="s">
        <v>1094</v>
      </c>
      <c r="S753" t="s">
        <v>1156</v>
      </c>
      <c r="T753" s="5">
        <v>16</v>
      </c>
      <c r="U753" s="6">
        <v>199.07</v>
      </c>
      <c r="V753" s="6">
        <v>121.31</v>
      </c>
      <c r="W753" s="8">
        <v>0</v>
      </c>
      <c r="X753" s="6">
        <f t="shared" si="55"/>
        <v>3185.12</v>
      </c>
      <c r="Y753" s="6">
        <f t="shared" si="56"/>
        <v>1940.96</v>
      </c>
      <c r="Z753" s="6">
        <f t="shared" si="57"/>
        <v>1244.1599999999999</v>
      </c>
      <c r="AA753" t="s">
        <v>679</v>
      </c>
      <c r="AC753" s="5">
        <v>2</v>
      </c>
      <c r="AD753" t="s">
        <v>1096</v>
      </c>
      <c r="AE753" t="str">
        <f t="shared" si="58"/>
        <v>2025-09</v>
      </c>
      <c r="AF753" t="str">
        <f t="shared" si="59"/>
        <v>Q3-2025</v>
      </c>
    </row>
    <row r="754" spans="1:32" x14ac:dyDescent="0.3">
      <c r="A754" t="s">
        <v>2041</v>
      </c>
      <c r="B754" s="5">
        <v>1</v>
      </c>
      <c r="C754" s="4">
        <v>45652</v>
      </c>
      <c r="D754" s="4">
        <v>45661</v>
      </c>
      <c r="E754" t="s">
        <v>608</v>
      </c>
      <c r="F754" t="s">
        <v>2042</v>
      </c>
      <c r="G754" t="s">
        <v>104</v>
      </c>
      <c r="H754" t="s">
        <v>20</v>
      </c>
      <c r="I754" t="s">
        <v>90</v>
      </c>
      <c r="J754" t="s">
        <v>1171</v>
      </c>
      <c r="K754" t="s">
        <v>1183</v>
      </c>
      <c r="L754" t="s">
        <v>1058</v>
      </c>
      <c r="M754" t="s">
        <v>1002</v>
      </c>
      <c r="N754" t="s">
        <v>1034</v>
      </c>
      <c r="O754" t="s">
        <v>1059</v>
      </c>
      <c r="P754" t="s">
        <v>29</v>
      </c>
      <c r="Q754" t="s">
        <v>30</v>
      </c>
      <c r="R754" t="s">
        <v>1088</v>
      </c>
      <c r="S754" t="s">
        <v>1089</v>
      </c>
      <c r="T754" s="5">
        <v>2</v>
      </c>
      <c r="U754" s="6">
        <v>206.84</v>
      </c>
      <c r="V754" s="6">
        <v>102.47</v>
      </c>
      <c r="W754" s="8">
        <v>0</v>
      </c>
      <c r="X754" s="6">
        <f t="shared" si="55"/>
        <v>413.68</v>
      </c>
      <c r="Y754" s="6">
        <f t="shared" si="56"/>
        <v>204.94</v>
      </c>
      <c r="Z754" s="6">
        <f t="shared" si="57"/>
        <v>208.74</v>
      </c>
      <c r="AA754" t="s">
        <v>679</v>
      </c>
      <c r="AC754" s="5">
        <v>2</v>
      </c>
      <c r="AD754" t="s">
        <v>1090</v>
      </c>
      <c r="AE754" t="str">
        <f t="shared" si="58"/>
        <v>2024-12</v>
      </c>
      <c r="AF754" t="str">
        <f t="shared" si="59"/>
        <v>Q4-2024</v>
      </c>
    </row>
    <row r="755" spans="1:32" x14ac:dyDescent="0.3">
      <c r="A755" t="s">
        <v>2043</v>
      </c>
      <c r="B755" s="5">
        <v>3</v>
      </c>
      <c r="C755" s="4">
        <v>45899</v>
      </c>
      <c r="D755" s="4">
        <v>45904</v>
      </c>
      <c r="E755" t="s">
        <v>150</v>
      </c>
      <c r="F755" t="s">
        <v>151</v>
      </c>
      <c r="G755" t="s">
        <v>84</v>
      </c>
      <c r="H755" t="s">
        <v>23</v>
      </c>
      <c r="I755" t="s">
        <v>109</v>
      </c>
      <c r="J755" t="s">
        <v>1300</v>
      </c>
      <c r="K755" t="s">
        <v>1360</v>
      </c>
      <c r="L755" t="s">
        <v>802</v>
      </c>
      <c r="M755" t="s">
        <v>795</v>
      </c>
      <c r="N755" t="s">
        <v>796</v>
      </c>
      <c r="O755" t="s">
        <v>803</v>
      </c>
      <c r="P755" t="s">
        <v>44</v>
      </c>
      <c r="Q755" t="s">
        <v>45</v>
      </c>
      <c r="R755" t="s">
        <v>1088</v>
      </c>
      <c r="S755" t="s">
        <v>1109</v>
      </c>
      <c r="T755" s="5">
        <v>12</v>
      </c>
      <c r="U755" s="6">
        <v>247.32</v>
      </c>
      <c r="V755" s="6">
        <v>169.93</v>
      </c>
      <c r="W755" s="8">
        <v>0</v>
      </c>
      <c r="X755" s="6">
        <f t="shared" si="55"/>
        <v>2967.84</v>
      </c>
      <c r="Y755" s="6">
        <f t="shared" si="56"/>
        <v>2039.16</v>
      </c>
      <c r="Z755" s="6">
        <f t="shared" si="57"/>
        <v>928.68000000000006</v>
      </c>
      <c r="AA755" t="s">
        <v>679</v>
      </c>
      <c r="AC755" s="5"/>
      <c r="AD755" t="s">
        <v>2044</v>
      </c>
      <c r="AE755" t="str">
        <f t="shared" si="58"/>
        <v>2025-08</v>
      </c>
      <c r="AF755" t="str">
        <f t="shared" si="59"/>
        <v>Q3-2025</v>
      </c>
    </row>
    <row r="756" spans="1:32" x14ac:dyDescent="0.3">
      <c r="A756" t="s">
        <v>2045</v>
      </c>
      <c r="B756" s="5">
        <v>3</v>
      </c>
      <c r="C756" s="4">
        <v>45781</v>
      </c>
      <c r="D756" s="4">
        <v>45786</v>
      </c>
      <c r="E756" t="s">
        <v>583</v>
      </c>
      <c r="F756" t="s">
        <v>584</v>
      </c>
      <c r="G756" t="s">
        <v>74</v>
      </c>
      <c r="H756" t="s">
        <v>41</v>
      </c>
      <c r="I756" t="s">
        <v>75</v>
      </c>
      <c r="J756" t="s">
        <v>1142</v>
      </c>
      <c r="K756" t="s">
        <v>1205</v>
      </c>
      <c r="L756" t="s">
        <v>735</v>
      </c>
      <c r="M756" t="s">
        <v>659</v>
      </c>
      <c r="N756" t="s">
        <v>713</v>
      </c>
      <c r="O756" t="s">
        <v>736</v>
      </c>
      <c r="P756" t="s">
        <v>46</v>
      </c>
      <c r="Q756" t="s">
        <v>47</v>
      </c>
      <c r="R756" t="s">
        <v>1088</v>
      </c>
      <c r="S756" t="s">
        <v>1156</v>
      </c>
      <c r="T756" s="5">
        <v>4</v>
      </c>
      <c r="U756" s="6">
        <v>117.29</v>
      </c>
      <c r="V756" s="6">
        <v>77.63</v>
      </c>
      <c r="W756" s="8">
        <v>0</v>
      </c>
      <c r="X756" s="6">
        <f t="shared" si="55"/>
        <v>469.16</v>
      </c>
      <c r="Y756" s="6">
        <f t="shared" si="56"/>
        <v>310.52</v>
      </c>
      <c r="Z756" s="6">
        <f t="shared" si="57"/>
        <v>158.64000000000004</v>
      </c>
      <c r="AA756" t="s">
        <v>679</v>
      </c>
      <c r="AC756" s="5">
        <v>3</v>
      </c>
      <c r="AD756" t="s">
        <v>1136</v>
      </c>
      <c r="AE756" t="str">
        <f t="shared" si="58"/>
        <v>2025-05</v>
      </c>
      <c r="AF756" t="str">
        <f t="shared" si="59"/>
        <v>Q2-2025</v>
      </c>
    </row>
    <row r="757" spans="1:32" x14ac:dyDescent="0.3">
      <c r="A757" t="s">
        <v>2046</v>
      </c>
      <c r="B757" s="5">
        <v>2</v>
      </c>
      <c r="C757" s="4">
        <v>45467</v>
      </c>
      <c r="D757" s="4">
        <v>45478</v>
      </c>
      <c r="E757" t="s">
        <v>440</v>
      </c>
      <c r="F757" t="s">
        <v>220</v>
      </c>
      <c r="G757" t="s">
        <v>65</v>
      </c>
      <c r="H757" t="s">
        <v>20</v>
      </c>
      <c r="I757" t="s">
        <v>112</v>
      </c>
      <c r="J757" t="s">
        <v>1158</v>
      </c>
      <c r="K757" t="s">
        <v>1159</v>
      </c>
      <c r="L757" t="s">
        <v>828</v>
      </c>
      <c r="M757" t="s">
        <v>795</v>
      </c>
      <c r="N757" t="s">
        <v>796</v>
      </c>
      <c r="O757" t="s">
        <v>829</v>
      </c>
      <c r="P757" t="s">
        <v>21</v>
      </c>
      <c r="Q757" t="s">
        <v>22</v>
      </c>
      <c r="R757" t="s">
        <v>1088</v>
      </c>
      <c r="S757" t="s">
        <v>1156</v>
      </c>
      <c r="T757" s="5">
        <v>4</v>
      </c>
      <c r="U757" s="6">
        <v>194.67</v>
      </c>
      <c r="V757" s="6">
        <v>151.4</v>
      </c>
      <c r="W757" s="8">
        <v>0.1908</v>
      </c>
      <c r="X757" s="6">
        <f t="shared" si="55"/>
        <v>630.10785599999997</v>
      </c>
      <c r="Y757" s="6">
        <f t="shared" si="56"/>
        <v>605.6</v>
      </c>
      <c r="Z757" s="6">
        <f t="shared" si="57"/>
        <v>24.507855999999947</v>
      </c>
      <c r="AA757" t="s">
        <v>679</v>
      </c>
      <c r="AC757" s="5"/>
      <c r="AD757" t="s">
        <v>1110</v>
      </c>
      <c r="AE757" t="str">
        <f t="shared" si="58"/>
        <v>2024-06</v>
      </c>
      <c r="AF757" t="str">
        <f t="shared" si="59"/>
        <v>Q2-2024</v>
      </c>
    </row>
    <row r="758" spans="1:32" x14ac:dyDescent="0.3">
      <c r="A758" t="s">
        <v>2047</v>
      </c>
      <c r="B758" s="5">
        <v>2</v>
      </c>
      <c r="C758" s="4">
        <v>45680</v>
      </c>
      <c r="D758" s="4">
        <v>45691</v>
      </c>
      <c r="E758" t="s">
        <v>217</v>
      </c>
      <c r="F758" t="s">
        <v>218</v>
      </c>
      <c r="G758" t="s">
        <v>74</v>
      </c>
      <c r="H758" t="s">
        <v>20</v>
      </c>
      <c r="I758" t="s">
        <v>90</v>
      </c>
      <c r="J758" t="s">
        <v>1171</v>
      </c>
      <c r="K758" t="s">
        <v>1379</v>
      </c>
      <c r="L758" t="s">
        <v>794</v>
      </c>
      <c r="M758" t="s">
        <v>795</v>
      </c>
      <c r="N758" t="s">
        <v>796</v>
      </c>
      <c r="O758" t="s">
        <v>797</v>
      </c>
      <c r="P758" t="s">
        <v>44</v>
      </c>
      <c r="Q758" t="s">
        <v>45</v>
      </c>
      <c r="R758" t="s">
        <v>1114</v>
      </c>
      <c r="S758" t="s">
        <v>1109</v>
      </c>
      <c r="T758" s="5">
        <v>17</v>
      </c>
      <c r="U758" s="6">
        <v>85.86</v>
      </c>
      <c r="V758" s="6">
        <v>51.47</v>
      </c>
      <c r="W758" s="8">
        <v>0.1198</v>
      </c>
      <c r="X758" s="6">
        <f t="shared" si="55"/>
        <v>1284.7575239999999</v>
      </c>
      <c r="Y758" s="6">
        <f t="shared" si="56"/>
        <v>874.99</v>
      </c>
      <c r="Z758" s="6">
        <f t="shared" si="57"/>
        <v>409.76752399999987</v>
      </c>
      <c r="AA758" t="s">
        <v>679</v>
      </c>
      <c r="AC758" s="5"/>
      <c r="AD758" t="s">
        <v>1105</v>
      </c>
      <c r="AE758" t="str">
        <f t="shared" si="58"/>
        <v>2025-01</v>
      </c>
      <c r="AF758" t="str">
        <f t="shared" si="59"/>
        <v>Q1-2025</v>
      </c>
    </row>
    <row r="759" spans="1:32" x14ac:dyDescent="0.3">
      <c r="A759" t="s">
        <v>2048</v>
      </c>
      <c r="B759" s="5">
        <v>2</v>
      </c>
      <c r="C759" s="4">
        <v>45537</v>
      </c>
      <c r="D759" s="4">
        <v>45549</v>
      </c>
      <c r="E759" t="s">
        <v>624</v>
      </c>
      <c r="F759" t="s">
        <v>625</v>
      </c>
      <c r="G759" t="s">
        <v>80</v>
      </c>
      <c r="H759" t="s">
        <v>41</v>
      </c>
      <c r="I759" t="s">
        <v>75</v>
      </c>
      <c r="J759" t="s">
        <v>1142</v>
      </c>
      <c r="K759" t="s">
        <v>1198</v>
      </c>
      <c r="L759" t="s">
        <v>987</v>
      </c>
      <c r="M759" t="s">
        <v>929</v>
      </c>
      <c r="N759" t="s">
        <v>971</v>
      </c>
      <c r="O759" t="s">
        <v>988</v>
      </c>
      <c r="P759" t="s">
        <v>17</v>
      </c>
      <c r="Q759" t="s">
        <v>18</v>
      </c>
      <c r="R759" t="s">
        <v>1088</v>
      </c>
      <c r="S759" t="s">
        <v>1095</v>
      </c>
      <c r="T759" s="5">
        <v>15</v>
      </c>
      <c r="U759" s="6">
        <v>267.56</v>
      </c>
      <c r="V759" s="6">
        <v>181.22</v>
      </c>
      <c r="W759" s="8">
        <v>0</v>
      </c>
      <c r="X759" s="6">
        <f t="shared" si="55"/>
        <v>4013.4</v>
      </c>
      <c r="Y759" s="6">
        <f t="shared" si="56"/>
        <v>2718.3</v>
      </c>
      <c r="Z759" s="6">
        <f t="shared" si="57"/>
        <v>1295.0999999999999</v>
      </c>
      <c r="AA759" t="s">
        <v>679</v>
      </c>
      <c r="AC759" s="5"/>
      <c r="AD759" t="s">
        <v>1659</v>
      </c>
      <c r="AE759" t="str">
        <f t="shared" si="58"/>
        <v>2024-09</v>
      </c>
      <c r="AF759" t="str">
        <f t="shared" si="59"/>
        <v>Q3-2024</v>
      </c>
    </row>
    <row r="760" spans="1:32" x14ac:dyDescent="0.3">
      <c r="A760" t="s">
        <v>2049</v>
      </c>
      <c r="B760" s="5">
        <v>4</v>
      </c>
      <c r="C760" s="4">
        <v>45435</v>
      </c>
      <c r="D760" s="4">
        <v>45441</v>
      </c>
      <c r="E760" t="s">
        <v>96</v>
      </c>
      <c r="F760" t="s">
        <v>97</v>
      </c>
      <c r="G760" t="s">
        <v>80</v>
      </c>
      <c r="H760" t="s">
        <v>31</v>
      </c>
      <c r="I760" t="s">
        <v>127</v>
      </c>
      <c r="J760" t="s">
        <v>1098</v>
      </c>
      <c r="K760" t="s">
        <v>1161</v>
      </c>
      <c r="L760" t="s">
        <v>1009</v>
      </c>
      <c r="M760" t="s">
        <v>1002</v>
      </c>
      <c r="N760" t="s">
        <v>1003</v>
      </c>
      <c r="O760" t="s">
        <v>1010</v>
      </c>
      <c r="P760" t="s">
        <v>42</v>
      </c>
      <c r="Q760" t="s">
        <v>43</v>
      </c>
      <c r="R760" t="s">
        <v>1114</v>
      </c>
      <c r="S760" t="s">
        <v>1095</v>
      </c>
      <c r="T760" s="5">
        <v>19</v>
      </c>
      <c r="U760" s="6">
        <v>235.62</v>
      </c>
      <c r="V760" s="6">
        <v>126.23</v>
      </c>
      <c r="W760" s="8">
        <v>0.27929999999999999</v>
      </c>
      <c r="X760" s="6">
        <f t="shared" si="55"/>
        <v>3226.4153459999998</v>
      </c>
      <c r="Y760" s="6">
        <f t="shared" si="56"/>
        <v>2398.37</v>
      </c>
      <c r="Z760" s="6">
        <f t="shared" si="57"/>
        <v>828.04534599999988</v>
      </c>
      <c r="AA760" t="s">
        <v>679</v>
      </c>
      <c r="AC760" s="5">
        <v>2</v>
      </c>
      <c r="AD760" t="s">
        <v>1136</v>
      </c>
      <c r="AE760" t="str">
        <f t="shared" si="58"/>
        <v>2024-05</v>
      </c>
      <c r="AF760" t="str">
        <f t="shared" si="59"/>
        <v>Q2-2024</v>
      </c>
    </row>
    <row r="761" spans="1:32" x14ac:dyDescent="0.3">
      <c r="A761" t="s">
        <v>2050</v>
      </c>
      <c r="B761" s="5">
        <v>3</v>
      </c>
      <c r="C761" s="4">
        <v>45976</v>
      </c>
      <c r="D761" s="4">
        <v>45990</v>
      </c>
      <c r="E761" t="s">
        <v>254</v>
      </c>
      <c r="F761" t="s">
        <v>143</v>
      </c>
      <c r="G761" t="s">
        <v>74</v>
      </c>
      <c r="H761" t="s">
        <v>31</v>
      </c>
      <c r="I761" t="s">
        <v>127</v>
      </c>
      <c r="J761" t="s">
        <v>1116</v>
      </c>
      <c r="K761" t="s">
        <v>1153</v>
      </c>
      <c r="L761" t="s">
        <v>877</v>
      </c>
      <c r="M761" t="s">
        <v>795</v>
      </c>
      <c r="N761" t="s">
        <v>837</v>
      </c>
      <c r="O761" t="s">
        <v>878</v>
      </c>
      <c r="P761" t="s">
        <v>27</v>
      </c>
      <c r="Q761" t="s">
        <v>28</v>
      </c>
      <c r="R761" t="s">
        <v>1094</v>
      </c>
      <c r="S761" t="s">
        <v>1109</v>
      </c>
      <c r="T761" s="5">
        <v>5</v>
      </c>
      <c r="U761" s="6">
        <v>177.99</v>
      </c>
      <c r="V761" s="6">
        <v>103.46</v>
      </c>
      <c r="W761" s="8">
        <v>0</v>
      </c>
      <c r="X761" s="6">
        <f t="shared" si="55"/>
        <v>889.95</v>
      </c>
      <c r="Y761" s="6">
        <f t="shared" si="56"/>
        <v>517.29999999999995</v>
      </c>
      <c r="Z761" s="6">
        <f t="shared" si="57"/>
        <v>372.65000000000009</v>
      </c>
      <c r="AA761" t="s">
        <v>679</v>
      </c>
      <c r="AC761" s="5">
        <v>4</v>
      </c>
      <c r="AD761" t="s">
        <v>1110</v>
      </c>
      <c r="AE761" t="str">
        <f t="shared" si="58"/>
        <v>2025-11</v>
      </c>
      <c r="AF761" t="str">
        <f t="shared" si="59"/>
        <v>Q4-2025</v>
      </c>
    </row>
    <row r="762" spans="1:32" x14ac:dyDescent="0.3">
      <c r="A762" t="s">
        <v>2051</v>
      </c>
      <c r="B762" s="5">
        <v>2</v>
      </c>
      <c r="C762" s="4">
        <v>45716</v>
      </c>
      <c r="D762" s="4">
        <v>45713</v>
      </c>
      <c r="E762" t="s">
        <v>136</v>
      </c>
      <c r="F762" t="s">
        <v>137</v>
      </c>
      <c r="G762" t="s">
        <v>65</v>
      </c>
      <c r="H762" t="s">
        <v>31</v>
      </c>
      <c r="I762" t="s">
        <v>127</v>
      </c>
      <c r="J762" t="s">
        <v>1116</v>
      </c>
      <c r="K762" t="s">
        <v>1357</v>
      </c>
      <c r="L762" t="s">
        <v>696</v>
      </c>
      <c r="M762" t="s">
        <v>659</v>
      </c>
      <c r="N762" t="s">
        <v>660</v>
      </c>
      <c r="O762" t="s">
        <v>697</v>
      </c>
      <c r="P762" t="s">
        <v>37</v>
      </c>
      <c r="Q762" t="s">
        <v>38</v>
      </c>
      <c r="R762" t="s">
        <v>1114</v>
      </c>
      <c r="S762" t="s">
        <v>1156</v>
      </c>
      <c r="T762" s="5">
        <v>1</v>
      </c>
      <c r="U762" s="6">
        <v>83.32</v>
      </c>
      <c r="V762" s="6">
        <v>66.25</v>
      </c>
      <c r="W762" s="8">
        <v>0</v>
      </c>
      <c r="X762" s="6">
        <f t="shared" si="55"/>
        <v>83.32</v>
      </c>
      <c r="Y762" s="6">
        <f t="shared" si="56"/>
        <v>66.25</v>
      </c>
      <c r="Z762" s="6">
        <f t="shared" si="57"/>
        <v>17.069999999999993</v>
      </c>
      <c r="AA762" t="s">
        <v>679</v>
      </c>
      <c r="AC762" s="5"/>
      <c r="AD762" t="s">
        <v>1148</v>
      </c>
      <c r="AE762" t="str">
        <f t="shared" si="58"/>
        <v>2025-02</v>
      </c>
      <c r="AF762" t="str">
        <f t="shared" si="59"/>
        <v>Q1-2025</v>
      </c>
    </row>
    <row r="763" spans="1:32" x14ac:dyDescent="0.3">
      <c r="A763" t="s">
        <v>2052</v>
      </c>
      <c r="B763" s="5">
        <v>2</v>
      </c>
      <c r="C763" s="4">
        <v>45602</v>
      </c>
      <c r="D763" s="4">
        <v>45615</v>
      </c>
      <c r="E763" t="s">
        <v>173</v>
      </c>
      <c r="F763" t="s">
        <v>174</v>
      </c>
      <c r="G763" t="s">
        <v>65</v>
      </c>
      <c r="H763" t="s">
        <v>20</v>
      </c>
      <c r="I763" t="s">
        <v>112</v>
      </c>
      <c r="J763" t="s">
        <v>1201</v>
      </c>
      <c r="K763" t="s">
        <v>1221</v>
      </c>
      <c r="L763" t="s">
        <v>684</v>
      </c>
      <c r="M763" t="s">
        <v>659</v>
      </c>
      <c r="N763" t="s">
        <v>660</v>
      </c>
      <c r="O763" t="s">
        <v>685</v>
      </c>
      <c r="P763" t="s">
        <v>34</v>
      </c>
      <c r="Q763" t="s">
        <v>35</v>
      </c>
      <c r="R763" t="s">
        <v>126</v>
      </c>
      <c r="S763" t="s">
        <v>1100</v>
      </c>
      <c r="T763" s="5">
        <v>4</v>
      </c>
      <c r="U763" s="6">
        <v>50.1</v>
      </c>
      <c r="V763" s="6">
        <v>32.08</v>
      </c>
      <c r="W763" s="8">
        <v>0.32469999999999999</v>
      </c>
      <c r="X763" s="6">
        <f t="shared" si="55"/>
        <v>135.33011999999999</v>
      </c>
      <c r="Y763" s="6">
        <f t="shared" si="56"/>
        <v>128.32</v>
      </c>
      <c r="Z763" s="6">
        <f t="shared" si="57"/>
        <v>7.0101200000000006</v>
      </c>
      <c r="AA763" t="s">
        <v>679</v>
      </c>
      <c r="AC763" s="5">
        <v>4</v>
      </c>
      <c r="AD763" t="s">
        <v>1110</v>
      </c>
      <c r="AE763" t="str">
        <f t="shared" si="58"/>
        <v>2024-11</v>
      </c>
      <c r="AF763" t="str">
        <f t="shared" si="59"/>
        <v>Q4-2024</v>
      </c>
    </row>
    <row r="764" spans="1:32" x14ac:dyDescent="0.3">
      <c r="A764" t="s">
        <v>2053</v>
      </c>
      <c r="B764" s="5">
        <v>5</v>
      </c>
      <c r="C764" s="4">
        <v>46027</v>
      </c>
      <c r="D764" s="4">
        <v>46032</v>
      </c>
      <c r="E764" t="s">
        <v>637</v>
      </c>
      <c r="F764" t="s">
        <v>638</v>
      </c>
      <c r="G764" t="s">
        <v>65</v>
      </c>
      <c r="H764" t="s">
        <v>31</v>
      </c>
      <c r="I764" t="s">
        <v>67</v>
      </c>
      <c r="J764" t="s">
        <v>1304</v>
      </c>
      <c r="K764" t="s">
        <v>1305</v>
      </c>
      <c r="L764" t="s">
        <v>766</v>
      </c>
      <c r="M764" t="s">
        <v>659</v>
      </c>
      <c r="N764" t="s">
        <v>754</v>
      </c>
      <c r="O764" t="s">
        <v>767</v>
      </c>
      <c r="P764" t="s">
        <v>29</v>
      </c>
      <c r="Q764" t="s">
        <v>30</v>
      </c>
      <c r="R764" t="s">
        <v>1094</v>
      </c>
      <c r="S764" t="s">
        <v>1095</v>
      </c>
      <c r="T764" s="5">
        <v>11</v>
      </c>
      <c r="U764" s="6">
        <v>184.24</v>
      </c>
      <c r="V764" s="6">
        <v>97.56</v>
      </c>
      <c r="W764" s="8">
        <v>0</v>
      </c>
      <c r="X764" s="6">
        <f t="shared" si="55"/>
        <v>2026.64</v>
      </c>
      <c r="Y764" s="6">
        <f t="shared" si="56"/>
        <v>1073.1600000000001</v>
      </c>
      <c r="Z764" s="6">
        <f t="shared" si="57"/>
        <v>953.48</v>
      </c>
      <c r="AA764" t="s">
        <v>679</v>
      </c>
      <c r="AC764" s="5"/>
      <c r="AD764" t="s">
        <v>1096</v>
      </c>
      <c r="AE764" t="str">
        <f t="shared" si="58"/>
        <v>2026-01</v>
      </c>
      <c r="AF764" t="str">
        <f t="shared" si="59"/>
        <v>Q1-2026</v>
      </c>
    </row>
    <row r="765" spans="1:32" x14ac:dyDescent="0.3">
      <c r="A765" t="s">
        <v>2054</v>
      </c>
      <c r="B765" s="5">
        <v>4</v>
      </c>
      <c r="C765" s="4">
        <v>45603</v>
      </c>
      <c r="D765" s="4">
        <v>45605</v>
      </c>
      <c r="E765" t="s">
        <v>184</v>
      </c>
      <c r="F765" t="s">
        <v>185</v>
      </c>
      <c r="G765" t="s">
        <v>74</v>
      </c>
      <c r="H765" t="s">
        <v>41</v>
      </c>
      <c r="I765" t="s">
        <v>75</v>
      </c>
      <c r="J765" t="s">
        <v>1142</v>
      </c>
      <c r="K765" t="s">
        <v>1198</v>
      </c>
      <c r="L765" t="s">
        <v>721</v>
      </c>
      <c r="M765" t="s">
        <v>659</v>
      </c>
      <c r="N765" t="s">
        <v>713</v>
      </c>
      <c r="O765" t="s">
        <v>722</v>
      </c>
      <c r="P765" t="s">
        <v>53</v>
      </c>
      <c r="Q765" t="s">
        <v>54</v>
      </c>
      <c r="R765" t="s">
        <v>1114</v>
      </c>
      <c r="S765" t="s">
        <v>1095</v>
      </c>
      <c r="T765" s="5">
        <v>12</v>
      </c>
      <c r="U765" s="6">
        <v>21.52</v>
      </c>
      <c r="V765" s="6">
        <v>15.47</v>
      </c>
      <c r="W765" s="8">
        <v>0</v>
      </c>
      <c r="X765" s="6">
        <f t="shared" si="55"/>
        <v>258.24</v>
      </c>
      <c r="Y765" s="6">
        <f t="shared" si="56"/>
        <v>185.64000000000001</v>
      </c>
      <c r="Z765" s="6">
        <f t="shared" si="57"/>
        <v>72.599999999999994</v>
      </c>
      <c r="AA765" t="s">
        <v>679</v>
      </c>
      <c r="AC765" s="5"/>
      <c r="AD765" t="s">
        <v>1140</v>
      </c>
      <c r="AE765" t="str">
        <f t="shared" si="58"/>
        <v>2024-11</v>
      </c>
      <c r="AF765" t="str">
        <f t="shared" si="59"/>
        <v>Q4-2024</v>
      </c>
    </row>
    <row r="766" spans="1:32" x14ac:dyDescent="0.3">
      <c r="A766" t="s">
        <v>2055</v>
      </c>
      <c r="B766" s="5">
        <v>1</v>
      </c>
      <c r="C766" s="4">
        <v>45581</v>
      </c>
      <c r="D766" s="4">
        <v>45595</v>
      </c>
      <c r="E766" t="s">
        <v>154</v>
      </c>
      <c r="F766" t="s">
        <v>155</v>
      </c>
      <c r="G766" t="s">
        <v>65</v>
      </c>
      <c r="H766" t="s">
        <v>41</v>
      </c>
      <c r="I766" t="s">
        <v>75</v>
      </c>
      <c r="J766" t="s">
        <v>1142</v>
      </c>
      <c r="K766" t="s">
        <v>1205</v>
      </c>
      <c r="L766" t="s">
        <v>928</v>
      </c>
      <c r="M766" t="s">
        <v>929</v>
      </c>
      <c r="N766" t="s">
        <v>930</v>
      </c>
      <c r="O766" t="s">
        <v>931</v>
      </c>
      <c r="P766" t="s">
        <v>39</v>
      </c>
      <c r="Q766" t="s">
        <v>40</v>
      </c>
      <c r="R766" t="s">
        <v>1094</v>
      </c>
      <c r="S766" t="s">
        <v>1100</v>
      </c>
      <c r="T766" s="5">
        <v>35</v>
      </c>
      <c r="U766" s="6">
        <v>263.12</v>
      </c>
      <c r="V766" s="6">
        <v>130.21</v>
      </c>
      <c r="W766" s="8">
        <v>0</v>
      </c>
      <c r="X766" s="6">
        <f t="shared" si="55"/>
        <v>9209.2000000000007</v>
      </c>
      <c r="Y766" s="6">
        <f t="shared" si="56"/>
        <v>4557.3500000000004</v>
      </c>
      <c r="Z766" s="6">
        <f t="shared" si="57"/>
        <v>4651.8500000000004</v>
      </c>
      <c r="AA766" t="s">
        <v>662</v>
      </c>
      <c r="AB766" t="s">
        <v>1414</v>
      </c>
      <c r="AC766" s="5">
        <v>3</v>
      </c>
      <c r="AD766" t="s">
        <v>1659</v>
      </c>
      <c r="AE766" t="str">
        <f t="shared" si="58"/>
        <v>2024-10</v>
      </c>
      <c r="AF766" t="str">
        <f t="shared" si="59"/>
        <v>Q4-2024</v>
      </c>
    </row>
    <row r="767" spans="1:32" x14ac:dyDescent="0.3">
      <c r="A767" t="s">
        <v>2056</v>
      </c>
      <c r="B767" s="5">
        <v>3</v>
      </c>
      <c r="C767" s="4">
        <v>45376</v>
      </c>
      <c r="D767" s="4">
        <v>45388</v>
      </c>
      <c r="E767" t="s">
        <v>305</v>
      </c>
      <c r="F767" t="s">
        <v>306</v>
      </c>
      <c r="G767" t="s">
        <v>80</v>
      </c>
      <c r="H767" t="s">
        <v>31</v>
      </c>
      <c r="I767" t="s">
        <v>127</v>
      </c>
      <c r="J767" t="s">
        <v>1098</v>
      </c>
      <c r="K767" t="s">
        <v>1099</v>
      </c>
      <c r="L767" t="s">
        <v>764</v>
      </c>
      <c r="M767" t="s">
        <v>659</v>
      </c>
      <c r="N767" t="s">
        <v>754</v>
      </c>
      <c r="O767" t="s">
        <v>765</v>
      </c>
      <c r="P767" t="s">
        <v>39</v>
      </c>
      <c r="Q767" t="s">
        <v>40</v>
      </c>
      <c r="R767" t="s">
        <v>1114</v>
      </c>
      <c r="S767" t="s">
        <v>1156</v>
      </c>
      <c r="T767" s="5">
        <v>12</v>
      </c>
      <c r="U767" s="6">
        <v>310.52999999999997</v>
      </c>
      <c r="V767" s="6">
        <v>193.32</v>
      </c>
      <c r="W767" s="8">
        <v>0</v>
      </c>
      <c r="X767" s="6">
        <f t="shared" si="55"/>
        <v>3726.3599999999997</v>
      </c>
      <c r="Y767" s="6">
        <f t="shared" si="56"/>
        <v>2319.84</v>
      </c>
      <c r="Z767" s="6">
        <f t="shared" si="57"/>
        <v>1406.5199999999995</v>
      </c>
      <c r="AA767" t="s">
        <v>679</v>
      </c>
      <c r="AC767" s="5">
        <v>4</v>
      </c>
      <c r="AD767" t="s">
        <v>1101</v>
      </c>
      <c r="AE767" t="str">
        <f t="shared" si="58"/>
        <v>2024-03</v>
      </c>
      <c r="AF767" t="str">
        <f t="shared" si="59"/>
        <v>Q1-2024</v>
      </c>
    </row>
    <row r="768" spans="1:32" x14ac:dyDescent="0.3">
      <c r="A768" t="s">
        <v>2057</v>
      </c>
      <c r="B768" s="5">
        <v>4</v>
      </c>
      <c r="C768" s="4">
        <v>45474</v>
      </c>
      <c r="D768" s="4">
        <v>45477</v>
      </c>
      <c r="E768" t="s">
        <v>352</v>
      </c>
      <c r="F768" t="s">
        <v>353</v>
      </c>
      <c r="G768" t="s">
        <v>74</v>
      </c>
      <c r="H768" t="s">
        <v>23</v>
      </c>
      <c r="I768" t="s">
        <v>81</v>
      </c>
      <c r="J768" t="s">
        <v>1119</v>
      </c>
      <c r="K768" t="s">
        <v>1120</v>
      </c>
      <c r="L768" t="s">
        <v>975</v>
      </c>
      <c r="M768" t="s">
        <v>929</v>
      </c>
      <c r="N768" t="s">
        <v>971</v>
      </c>
      <c r="O768" t="s">
        <v>976</v>
      </c>
      <c r="P768" t="s">
        <v>32</v>
      </c>
      <c r="Q768" t="s">
        <v>33</v>
      </c>
      <c r="R768" t="s">
        <v>1088</v>
      </c>
      <c r="S768" t="s">
        <v>1089</v>
      </c>
      <c r="T768" s="5">
        <v>18</v>
      </c>
      <c r="U768" s="6">
        <v>122.37</v>
      </c>
      <c r="V768" s="6">
        <v>66.319999999999993</v>
      </c>
      <c r="W768" s="8">
        <v>0</v>
      </c>
      <c r="X768" s="6">
        <f t="shared" si="55"/>
        <v>2202.66</v>
      </c>
      <c r="Y768" s="6">
        <f t="shared" si="56"/>
        <v>1193.7599999999998</v>
      </c>
      <c r="Z768" s="6">
        <f t="shared" si="57"/>
        <v>1008.9000000000001</v>
      </c>
      <c r="AA768" t="s">
        <v>679</v>
      </c>
      <c r="AC768" s="5">
        <v>3</v>
      </c>
      <c r="AD768" t="s">
        <v>1096</v>
      </c>
      <c r="AE768" t="str">
        <f t="shared" si="58"/>
        <v>2024-07</v>
      </c>
      <c r="AF768" t="str">
        <f t="shared" si="59"/>
        <v>Q3-2024</v>
      </c>
    </row>
    <row r="769" spans="1:32" x14ac:dyDescent="0.3">
      <c r="A769" t="s">
        <v>2058</v>
      </c>
      <c r="B769" s="5">
        <v>1</v>
      </c>
      <c r="C769" s="4">
        <v>45892</v>
      </c>
      <c r="D769" s="4">
        <v>45904</v>
      </c>
      <c r="E769" t="s">
        <v>605</v>
      </c>
      <c r="F769" t="s">
        <v>513</v>
      </c>
      <c r="G769" t="s">
        <v>74</v>
      </c>
      <c r="H769" t="s">
        <v>23</v>
      </c>
      <c r="I769" t="s">
        <v>109</v>
      </c>
      <c r="J769" t="s">
        <v>1145</v>
      </c>
      <c r="K769" t="s">
        <v>1211</v>
      </c>
      <c r="L769" t="s">
        <v>686</v>
      </c>
      <c r="M769" t="s">
        <v>659</v>
      </c>
      <c r="N769" t="s">
        <v>660</v>
      </c>
      <c r="O769" t="s">
        <v>687</v>
      </c>
      <c r="P769" t="s">
        <v>29</v>
      </c>
      <c r="Q769" t="s">
        <v>30</v>
      </c>
      <c r="R769" t="s">
        <v>1094</v>
      </c>
      <c r="S769" t="s">
        <v>1156</v>
      </c>
      <c r="T769" s="5">
        <v>11</v>
      </c>
      <c r="U769" s="6">
        <v>5.85</v>
      </c>
      <c r="V769" s="6">
        <v>5</v>
      </c>
      <c r="W769" s="8">
        <v>0</v>
      </c>
      <c r="X769" s="6">
        <f t="shared" si="55"/>
        <v>64.349999999999994</v>
      </c>
      <c r="Y769" s="6">
        <f t="shared" si="56"/>
        <v>55</v>
      </c>
      <c r="Z769" s="6">
        <f t="shared" si="57"/>
        <v>9.3499999999999943</v>
      </c>
      <c r="AA769" t="s">
        <v>679</v>
      </c>
      <c r="AC769" s="5">
        <v>4</v>
      </c>
      <c r="AD769" t="s">
        <v>1123</v>
      </c>
      <c r="AE769" t="str">
        <f t="shared" si="58"/>
        <v>2025-08</v>
      </c>
      <c r="AF769" t="str">
        <f t="shared" si="59"/>
        <v>Q3-2025</v>
      </c>
    </row>
    <row r="770" spans="1:32" x14ac:dyDescent="0.3">
      <c r="A770" t="s">
        <v>2059</v>
      </c>
      <c r="B770" s="5">
        <v>3</v>
      </c>
      <c r="C770" s="4">
        <v>45722</v>
      </c>
      <c r="D770" s="4">
        <v>45726</v>
      </c>
      <c r="E770" t="s">
        <v>546</v>
      </c>
      <c r="F770" t="s">
        <v>547</v>
      </c>
      <c r="G770" t="s">
        <v>65</v>
      </c>
      <c r="H770" t="s">
        <v>20</v>
      </c>
      <c r="I770" t="s">
        <v>71</v>
      </c>
      <c r="J770" t="s">
        <v>1112</v>
      </c>
      <c r="K770" t="s">
        <v>1113</v>
      </c>
      <c r="L770" t="s">
        <v>873</v>
      </c>
      <c r="M770" t="s">
        <v>795</v>
      </c>
      <c r="N770" t="s">
        <v>837</v>
      </c>
      <c r="O770" t="s">
        <v>874</v>
      </c>
      <c r="P770" t="s">
        <v>39</v>
      </c>
      <c r="Q770" t="s">
        <v>40</v>
      </c>
      <c r="R770" t="s">
        <v>126</v>
      </c>
      <c r="S770" t="s">
        <v>1089</v>
      </c>
      <c r="T770" s="5">
        <v>29</v>
      </c>
      <c r="U770" s="6">
        <v>188.88</v>
      </c>
      <c r="V770" s="6">
        <v>121.31</v>
      </c>
      <c r="W770" s="8">
        <v>0</v>
      </c>
      <c r="X770" s="6">
        <f t="shared" ref="X770:X833" si="60">T770*U770*(1-IF(ISBLANK(W770),0,W770))</f>
        <v>5477.5199999999995</v>
      </c>
      <c r="Y770" s="6">
        <f t="shared" ref="Y770:Y833" si="61">T770*V770</f>
        <v>3517.9900000000002</v>
      </c>
      <c r="Z770" s="6">
        <f t="shared" ref="Z770:Z833" si="62">X770-Y770</f>
        <v>1959.5299999999993</v>
      </c>
      <c r="AA770" t="s">
        <v>679</v>
      </c>
      <c r="AC770" s="5">
        <v>5</v>
      </c>
      <c r="AE770" t="str">
        <f t="shared" ref="AE770:AE833" si="63">TEXT(C770,"yyyy-mm")</f>
        <v>2025-03</v>
      </c>
      <c r="AF770" t="str">
        <f t="shared" ref="AF770:AF833" si="64">"Q"&amp;ROUNDUP(MONTH(C770)/3,0)&amp;"-"&amp;YEAR(C770)</f>
        <v>Q1-2025</v>
      </c>
    </row>
    <row r="771" spans="1:32" x14ac:dyDescent="0.3">
      <c r="A771" t="s">
        <v>2060</v>
      </c>
      <c r="B771" s="5">
        <v>2</v>
      </c>
      <c r="C771" s="4">
        <v>45760</v>
      </c>
      <c r="D771" s="4">
        <v>45767</v>
      </c>
      <c r="E771" t="s">
        <v>252</v>
      </c>
      <c r="F771" t="s">
        <v>253</v>
      </c>
      <c r="G771" t="s">
        <v>65</v>
      </c>
      <c r="H771" t="s">
        <v>23</v>
      </c>
      <c r="I771" t="s">
        <v>93</v>
      </c>
      <c r="J771" t="s">
        <v>1294</v>
      </c>
      <c r="K771" t="s">
        <v>1373</v>
      </c>
      <c r="L771" t="s">
        <v>836</v>
      </c>
      <c r="M771" t="s">
        <v>795</v>
      </c>
      <c r="N771" t="s">
        <v>837</v>
      </c>
      <c r="O771" t="s">
        <v>838</v>
      </c>
      <c r="P771" t="s">
        <v>17</v>
      </c>
      <c r="Q771" t="s">
        <v>18</v>
      </c>
      <c r="R771" t="s">
        <v>1114</v>
      </c>
      <c r="S771" t="s">
        <v>1156</v>
      </c>
      <c r="T771" s="5">
        <v>8</v>
      </c>
      <c r="U771" s="6">
        <v>240.29</v>
      </c>
      <c r="V771" s="6">
        <v>145.32</v>
      </c>
      <c r="W771" s="8">
        <v>0</v>
      </c>
      <c r="X771" s="6">
        <f t="shared" si="60"/>
        <v>1922.32</v>
      </c>
      <c r="Y771" s="6">
        <f t="shared" si="61"/>
        <v>1162.56</v>
      </c>
      <c r="Z771" s="6">
        <f t="shared" si="62"/>
        <v>759.76</v>
      </c>
      <c r="AA771" t="s">
        <v>679</v>
      </c>
      <c r="AC771" s="5">
        <v>4</v>
      </c>
      <c r="AD771" t="s">
        <v>1096</v>
      </c>
      <c r="AE771" t="str">
        <f t="shared" si="63"/>
        <v>2025-04</v>
      </c>
      <c r="AF771" t="str">
        <f t="shared" si="64"/>
        <v>Q2-2025</v>
      </c>
    </row>
    <row r="772" spans="1:32" x14ac:dyDescent="0.3">
      <c r="A772" t="s">
        <v>2061</v>
      </c>
      <c r="B772" s="5">
        <v>4</v>
      </c>
      <c r="C772" s="4">
        <v>45791</v>
      </c>
      <c r="D772" s="4">
        <v>45801</v>
      </c>
      <c r="E772" t="s">
        <v>297</v>
      </c>
      <c r="F772" t="s">
        <v>298</v>
      </c>
      <c r="G772" t="s">
        <v>80</v>
      </c>
      <c r="H772" t="s">
        <v>23</v>
      </c>
      <c r="I772" t="s">
        <v>109</v>
      </c>
      <c r="J772" t="s">
        <v>1138</v>
      </c>
      <c r="K772" t="s">
        <v>1139</v>
      </c>
      <c r="L772" t="s">
        <v>723</v>
      </c>
      <c r="M772" t="s">
        <v>659</v>
      </c>
      <c r="N772" t="s">
        <v>713</v>
      </c>
      <c r="O772" t="s">
        <v>724</v>
      </c>
      <c r="P772" t="s">
        <v>39</v>
      </c>
      <c r="Q772" t="s">
        <v>40</v>
      </c>
      <c r="R772" t="s">
        <v>126</v>
      </c>
      <c r="S772" t="s">
        <v>1109</v>
      </c>
      <c r="T772" s="5">
        <v>5</v>
      </c>
      <c r="U772" s="6">
        <v>54.21</v>
      </c>
      <c r="V772" s="6">
        <v>43.07</v>
      </c>
      <c r="W772" s="8">
        <v>0</v>
      </c>
      <c r="X772" s="6">
        <f t="shared" si="60"/>
        <v>271.05</v>
      </c>
      <c r="Y772" s="6">
        <f t="shared" si="61"/>
        <v>215.35</v>
      </c>
      <c r="Z772" s="6">
        <f t="shared" si="62"/>
        <v>55.700000000000017</v>
      </c>
      <c r="AA772" t="s">
        <v>679</v>
      </c>
      <c r="AC772" s="5"/>
      <c r="AD772" t="s">
        <v>1101</v>
      </c>
      <c r="AE772" t="str">
        <f t="shared" si="63"/>
        <v>2025-05</v>
      </c>
      <c r="AF772" t="str">
        <f t="shared" si="64"/>
        <v>Q2-2025</v>
      </c>
    </row>
    <row r="773" spans="1:32" x14ac:dyDescent="0.3">
      <c r="A773" t="s">
        <v>2062</v>
      </c>
      <c r="B773" s="5">
        <v>4</v>
      </c>
      <c r="C773" s="4">
        <v>45633</v>
      </c>
      <c r="D773" s="4">
        <v>45636</v>
      </c>
      <c r="E773" t="s">
        <v>414</v>
      </c>
      <c r="F773" t="s">
        <v>415</v>
      </c>
      <c r="G773" t="s">
        <v>84</v>
      </c>
      <c r="H773" t="s">
        <v>23</v>
      </c>
      <c r="I773" t="s">
        <v>109</v>
      </c>
      <c r="J773" t="s">
        <v>1138</v>
      </c>
      <c r="K773" t="s">
        <v>1255</v>
      </c>
      <c r="L773" t="s">
        <v>962</v>
      </c>
      <c r="M773" t="s">
        <v>929</v>
      </c>
      <c r="N773" t="s">
        <v>930</v>
      </c>
      <c r="O773" t="s">
        <v>963</v>
      </c>
      <c r="P773" t="s">
        <v>34</v>
      </c>
      <c r="Q773" t="s">
        <v>35</v>
      </c>
      <c r="R773" t="s">
        <v>1088</v>
      </c>
      <c r="S773" t="s">
        <v>1156</v>
      </c>
      <c r="T773" s="5">
        <v>5</v>
      </c>
      <c r="U773" s="6">
        <v>184.15</v>
      </c>
      <c r="V773" s="6">
        <v>108.41</v>
      </c>
      <c r="W773" s="8">
        <v>0</v>
      </c>
      <c r="X773" s="6">
        <f t="shared" si="60"/>
        <v>920.75</v>
      </c>
      <c r="Y773" s="6">
        <f t="shared" si="61"/>
        <v>542.04999999999995</v>
      </c>
      <c r="Z773" s="6">
        <f t="shared" si="62"/>
        <v>378.70000000000005</v>
      </c>
      <c r="AA773" t="s">
        <v>679</v>
      </c>
      <c r="AC773" s="5"/>
      <c r="AD773" t="s">
        <v>1136</v>
      </c>
      <c r="AE773" t="str">
        <f t="shared" si="63"/>
        <v>2024-12</v>
      </c>
      <c r="AF773" t="str">
        <f t="shared" si="64"/>
        <v>Q4-2024</v>
      </c>
    </row>
    <row r="774" spans="1:32" x14ac:dyDescent="0.3">
      <c r="A774" t="s">
        <v>2063</v>
      </c>
      <c r="B774" s="5">
        <v>3</v>
      </c>
      <c r="C774" s="4">
        <v>45881</v>
      </c>
      <c r="D774" s="4">
        <v>45883</v>
      </c>
      <c r="E774" t="s">
        <v>203</v>
      </c>
      <c r="F774" t="s">
        <v>204</v>
      </c>
      <c r="G774" t="s">
        <v>104</v>
      </c>
      <c r="H774" t="s">
        <v>41</v>
      </c>
      <c r="I774" t="s">
        <v>86</v>
      </c>
      <c r="J774" t="s">
        <v>1107</v>
      </c>
      <c r="K774" t="s">
        <v>1108</v>
      </c>
      <c r="L774" t="s">
        <v>956</v>
      </c>
      <c r="M774" t="s">
        <v>929</v>
      </c>
      <c r="N774" t="s">
        <v>930</v>
      </c>
      <c r="O774" t="s">
        <v>957</v>
      </c>
      <c r="P774" t="s">
        <v>34</v>
      </c>
      <c r="Q774" t="s">
        <v>35</v>
      </c>
      <c r="R774" t="s">
        <v>1114</v>
      </c>
      <c r="S774" t="s">
        <v>1089</v>
      </c>
      <c r="T774" s="5">
        <v>15</v>
      </c>
      <c r="U774" s="6">
        <v>214.92</v>
      </c>
      <c r="V774" s="6">
        <v>190.78</v>
      </c>
      <c r="W774" s="8">
        <v>2.98E-2</v>
      </c>
      <c r="X774" s="6">
        <f t="shared" si="60"/>
        <v>3127.7307599999995</v>
      </c>
      <c r="Y774" s="6">
        <f t="shared" si="61"/>
        <v>2861.7</v>
      </c>
      <c r="Z774" s="6">
        <f t="shared" si="62"/>
        <v>266.03075999999965</v>
      </c>
      <c r="AA774" t="s">
        <v>679</v>
      </c>
      <c r="AC774" s="5"/>
      <c r="AD774" t="s">
        <v>1123</v>
      </c>
      <c r="AE774" t="str">
        <f t="shared" si="63"/>
        <v>2025-08</v>
      </c>
      <c r="AF774" t="str">
        <f t="shared" si="64"/>
        <v>Q3-2025</v>
      </c>
    </row>
    <row r="775" spans="1:32" x14ac:dyDescent="0.3">
      <c r="A775" t="s">
        <v>2064</v>
      </c>
      <c r="B775" s="5">
        <v>1</v>
      </c>
      <c r="C775" s="4">
        <v>45782</v>
      </c>
      <c r="D775" s="4">
        <v>45785</v>
      </c>
      <c r="E775" t="s">
        <v>645</v>
      </c>
      <c r="F775" t="s">
        <v>646</v>
      </c>
      <c r="G775" t="s">
        <v>84</v>
      </c>
      <c r="H775" t="s">
        <v>20</v>
      </c>
      <c r="I775" t="s">
        <v>71</v>
      </c>
      <c r="J775" t="s">
        <v>1166</v>
      </c>
      <c r="K775" t="s">
        <v>1167</v>
      </c>
      <c r="L775" t="s">
        <v>960</v>
      </c>
      <c r="M775" t="s">
        <v>929</v>
      </c>
      <c r="N775" t="s">
        <v>930</v>
      </c>
      <c r="O775" t="s">
        <v>961</v>
      </c>
      <c r="P775" t="s">
        <v>50</v>
      </c>
      <c r="Q775" t="s">
        <v>51</v>
      </c>
      <c r="R775" t="s">
        <v>1094</v>
      </c>
      <c r="S775" t="s">
        <v>1109</v>
      </c>
      <c r="T775" s="5">
        <v>4</v>
      </c>
      <c r="U775" s="6">
        <v>236.23</v>
      </c>
      <c r="V775" s="6">
        <v>139.97</v>
      </c>
      <c r="W775" s="8">
        <v>0</v>
      </c>
      <c r="X775" s="6">
        <f t="shared" si="60"/>
        <v>944.92</v>
      </c>
      <c r="Y775" s="6">
        <f t="shared" si="61"/>
        <v>559.88</v>
      </c>
      <c r="Z775" s="6">
        <f t="shared" si="62"/>
        <v>385.03999999999996</v>
      </c>
      <c r="AA775" t="s">
        <v>679</v>
      </c>
      <c r="AC775" s="5">
        <v>1</v>
      </c>
      <c r="AD775" t="s">
        <v>1101</v>
      </c>
      <c r="AE775" t="str">
        <f t="shared" si="63"/>
        <v>2025-05</v>
      </c>
      <c r="AF775" t="str">
        <f t="shared" si="64"/>
        <v>Q2-2025</v>
      </c>
    </row>
    <row r="776" spans="1:32" x14ac:dyDescent="0.3">
      <c r="A776" t="s">
        <v>2065</v>
      </c>
      <c r="B776" s="5">
        <v>5</v>
      </c>
      <c r="C776" s="4">
        <v>45565</v>
      </c>
      <c r="D776" s="4">
        <v>45567</v>
      </c>
      <c r="E776" t="s">
        <v>377</v>
      </c>
      <c r="F776" t="s">
        <v>2066</v>
      </c>
      <c r="G776" t="s">
        <v>80</v>
      </c>
      <c r="H776" t="s">
        <v>20</v>
      </c>
      <c r="I776" t="s">
        <v>90</v>
      </c>
      <c r="J776" t="s">
        <v>1171</v>
      </c>
      <c r="K776" t="s">
        <v>1379</v>
      </c>
      <c r="L776" t="s">
        <v>1029</v>
      </c>
      <c r="M776" t="s">
        <v>1002</v>
      </c>
      <c r="N776" t="s">
        <v>1003</v>
      </c>
      <c r="O776" t="s">
        <v>1030</v>
      </c>
      <c r="P776" t="s">
        <v>42</v>
      </c>
      <c r="Q776" t="s">
        <v>43</v>
      </c>
      <c r="R776" t="s">
        <v>1094</v>
      </c>
      <c r="S776" t="s">
        <v>1100</v>
      </c>
      <c r="T776" s="5">
        <v>7</v>
      </c>
      <c r="U776" s="6">
        <v>261.18</v>
      </c>
      <c r="V776" s="6">
        <v>202.2</v>
      </c>
      <c r="W776" s="8">
        <v>0</v>
      </c>
      <c r="X776" s="6">
        <f t="shared" si="60"/>
        <v>1828.26</v>
      </c>
      <c r="Y776" s="6">
        <f t="shared" si="61"/>
        <v>1415.3999999999999</v>
      </c>
      <c r="Z776" s="6">
        <f t="shared" si="62"/>
        <v>412.86000000000013</v>
      </c>
      <c r="AA776" t="s">
        <v>679</v>
      </c>
      <c r="AC776" s="5">
        <v>5</v>
      </c>
      <c r="AE776" t="str">
        <f t="shared" si="63"/>
        <v>2024-09</v>
      </c>
      <c r="AF776" t="str">
        <f t="shared" si="64"/>
        <v>Q3-2024</v>
      </c>
    </row>
    <row r="777" spans="1:32" x14ac:dyDescent="0.3">
      <c r="A777" t="s">
        <v>2067</v>
      </c>
      <c r="B777" s="5">
        <v>5</v>
      </c>
      <c r="C777" s="4">
        <v>45922</v>
      </c>
      <c r="D777" s="4">
        <v>45928</v>
      </c>
      <c r="E777" t="s">
        <v>463</v>
      </c>
      <c r="F777" t="s">
        <v>464</v>
      </c>
      <c r="G777" t="s">
        <v>104</v>
      </c>
      <c r="H777" t="s">
        <v>20</v>
      </c>
      <c r="I777" t="s">
        <v>90</v>
      </c>
      <c r="J777" t="s">
        <v>1262</v>
      </c>
      <c r="K777" t="s">
        <v>1297</v>
      </c>
      <c r="L777" t="s">
        <v>891</v>
      </c>
      <c r="M777" t="s">
        <v>795</v>
      </c>
      <c r="N777" t="s">
        <v>837</v>
      </c>
      <c r="O777" t="s">
        <v>892</v>
      </c>
      <c r="P777" t="s">
        <v>27</v>
      </c>
      <c r="Q777" t="s">
        <v>28</v>
      </c>
      <c r="R777" t="s">
        <v>1088</v>
      </c>
      <c r="S777" t="s">
        <v>1109</v>
      </c>
      <c r="T777" s="5">
        <v>18</v>
      </c>
      <c r="U777" s="6">
        <v>189.93</v>
      </c>
      <c r="V777" s="6">
        <v>101.69</v>
      </c>
      <c r="W777" s="8">
        <v>0</v>
      </c>
      <c r="X777" s="6">
        <f t="shared" si="60"/>
        <v>3418.7400000000002</v>
      </c>
      <c r="Y777" s="6">
        <f t="shared" si="61"/>
        <v>1830.42</v>
      </c>
      <c r="Z777" s="6">
        <f t="shared" si="62"/>
        <v>1588.3200000000002</v>
      </c>
      <c r="AA777" t="s">
        <v>679</v>
      </c>
      <c r="AC777" s="5">
        <v>1</v>
      </c>
      <c r="AD777" t="s">
        <v>1110</v>
      </c>
      <c r="AE777" t="str">
        <f t="shared" si="63"/>
        <v>2025-09</v>
      </c>
      <c r="AF777" t="str">
        <f t="shared" si="64"/>
        <v>Q3-2025</v>
      </c>
    </row>
    <row r="778" spans="1:32" x14ac:dyDescent="0.3">
      <c r="A778" t="s">
        <v>2068</v>
      </c>
      <c r="B778" s="5">
        <v>1</v>
      </c>
      <c r="C778" s="4">
        <v>45774</v>
      </c>
      <c r="D778" s="4">
        <v>45785</v>
      </c>
      <c r="E778" t="s">
        <v>498</v>
      </c>
      <c r="F778" t="s">
        <v>499</v>
      </c>
      <c r="G778" t="s">
        <v>104</v>
      </c>
      <c r="H778" t="s">
        <v>41</v>
      </c>
      <c r="I778" t="s">
        <v>86</v>
      </c>
      <c r="J778" t="s">
        <v>1107</v>
      </c>
      <c r="K778" t="s">
        <v>1108</v>
      </c>
      <c r="L778" t="s">
        <v>859</v>
      </c>
      <c r="M778" t="s">
        <v>795</v>
      </c>
      <c r="N778" t="s">
        <v>837</v>
      </c>
      <c r="O778" t="s">
        <v>860</v>
      </c>
      <c r="P778" t="s">
        <v>44</v>
      </c>
      <c r="Q778" t="s">
        <v>45</v>
      </c>
      <c r="R778" t="s">
        <v>1088</v>
      </c>
      <c r="S778" t="s">
        <v>1109</v>
      </c>
      <c r="T778" s="5">
        <v>4</v>
      </c>
      <c r="U778" s="6">
        <v>127.02</v>
      </c>
      <c r="V778" s="6">
        <v>61.5</v>
      </c>
      <c r="W778" s="8">
        <v>0</v>
      </c>
      <c r="X778" s="6">
        <f t="shared" si="60"/>
        <v>508.08</v>
      </c>
      <c r="Y778" s="6">
        <f t="shared" si="61"/>
        <v>246</v>
      </c>
      <c r="Z778" s="6">
        <f t="shared" si="62"/>
        <v>262.08</v>
      </c>
      <c r="AA778" t="s">
        <v>679</v>
      </c>
      <c r="AC778" s="5">
        <v>3</v>
      </c>
      <c r="AD778" t="s">
        <v>1096</v>
      </c>
      <c r="AE778" t="str">
        <f t="shared" si="63"/>
        <v>2025-04</v>
      </c>
      <c r="AF778" t="str">
        <f t="shared" si="64"/>
        <v>Q2-2025</v>
      </c>
    </row>
    <row r="779" spans="1:32" x14ac:dyDescent="0.3">
      <c r="A779" t="s">
        <v>2069</v>
      </c>
      <c r="B779" s="5">
        <v>5</v>
      </c>
      <c r="C779" s="4">
        <v>45392</v>
      </c>
      <c r="D779" s="4">
        <v>45388</v>
      </c>
      <c r="E779" t="s">
        <v>130</v>
      </c>
      <c r="F779" t="s">
        <v>131</v>
      </c>
      <c r="G779" t="s">
        <v>65</v>
      </c>
      <c r="H779" t="s">
        <v>23</v>
      </c>
      <c r="I779" t="s">
        <v>109</v>
      </c>
      <c r="J779" t="s">
        <v>1300</v>
      </c>
      <c r="K779" t="s">
        <v>1360</v>
      </c>
      <c r="L779" t="s">
        <v>741</v>
      </c>
      <c r="M779" t="s">
        <v>659</v>
      </c>
      <c r="N779" t="s">
        <v>713</v>
      </c>
      <c r="O779" t="s">
        <v>742</v>
      </c>
      <c r="P779" t="s">
        <v>34</v>
      </c>
      <c r="Q779" t="s">
        <v>35</v>
      </c>
      <c r="R779" t="s">
        <v>1114</v>
      </c>
      <c r="S779" t="s">
        <v>1109</v>
      </c>
      <c r="T779" s="5">
        <v>14</v>
      </c>
      <c r="U779" s="6">
        <v>33.92</v>
      </c>
      <c r="V779" s="6">
        <v>20.54</v>
      </c>
      <c r="W779" s="8">
        <v>0</v>
      </c>
      <c r="X779" s="6">
        <f t="shared" si="60"/>
        <v>474.88</v>
      </c>
      <c r="Y779" s="6">
        <f t="shared" si="61"/>
        <v>287.56</v>
      </c>
      <c r="Z779" s="6">
        <f t="shared" si="62"/>
        <v>187.32</v>
      </c>
      <c r="AA779" t="s">
        <v>679</v>
      </c>
      <c r="AC779" s="5">
        <v>5</v>
      </c>
      <c r="AD779" t="s">
        <v>1105</v>
      </c>
      <c r="AE779" t="str">
        <f t="shared" si="63"/>
        <v>2024-04</v>
      </c>
      <c r="AF779" t="str">
        <f t="shared" si="64"/>
        <v>Q2-2024</v>
      </c>
    </row>
    <row r="780" spans="1:32" x14ac:dyDescent="0.3">
      <c r="A780" t="s">
        <v>2070</v>
      </c>
      <c r="B780" s="5">
        <v>3</v>
      </c>
      <c r="C780" s="4">
        <v>45603</v>
      </c>
      <c r="D780" s="4">
        <v>45616</v>
      </c>
      <c r="E780" t="s">
        <v>110</v>
      </c>
      <c r="F780" t="s">
        <v>111</v>
      </c>
      <c r="G780" t="s">
        <v>74</v>
      </c>
      <c r="H780" t="s">
        <v>23</v>
      </c>
      <c r="I780" t="s">
        <v>109</v>
      </c>
      <c r="J780" t="s">
        <v>1300</v>
      </c>
      <c r="K780" t="s">
        <v>1360</v>
      </c>
      <c r="L780" t="s">
        <v>926</v>
      </c>
      <c r="M780" t="s">
        <v>795</v>
      </c>
      <c r="N780" t="s">
        <v>898</v>
      </c>
      <c r="O780" t="s">
        <v>927</v>
      </c>
      <c r="P780" t="s">
        <v>44</v>
      </c>
      <c r="Q780" t="s">
        <v>45</v>
      </c>
      <c r="R780" t="s">
        <v>1094</v>
      </c>
      <c r="S780" t="s">
        <v>1095</v>
      </c>
      <c r="T780" s="5">
        <v>16</v>
      </c>
      <c r="U780" s="6">
        <v>163.44</v>
      </c>
      <c r="V780" s="6">
        <v>113.41</v>
      </c>
      <c r="W780" s="8">
        <v>0</v>
      </c>
      <c r="X780" s="6">
        <f t="shared" si="60"/>
        <v>2615.04</v>
      </c>
      <c r="Y780" s="6">
        <f t="shared" si="61"/>
        <v>1814.56</v>
      </c>
      <c r="Z780" s="6">
        <f t="shared" si="62"/>
        <v>800.48</v>
      </c>
      <c r="AA780" t="s">
        <v>662</v>
      </c>
      <c r="AB780" t="s">
        <v>1240</v>
      </c>
      <c r="AC780" s="5"/>
      <c r="AD780" t="s">
        <v>1123</v>
      </c>
      <c r="AE780" t="str">
        <f t="shared" si="63"/>
        <v>2024-11</v>
      </c>
      <c r="AF780" t="str">
        <f t="shared" si="64"/>
        <v>Q4-2024</v>
      </c>
    </row>
    <row r="781" spans="1:32" x14ac:dyDescent="0.3">
      <c r="A781" t="s">
        <v>2071</v>
      </c>
      <c r="B781" s="5">
        <v>4</v>
      </c>
      <c r="C781" s="4">
        <v>45409</v>
      </c>
      <c r="D781" s="4">
        <v>45411</v>
      </c>
      <c r="E781" t="s">
        <v>488</v>
      </c>
      <c r="F781" t="s">
        <v>489</v>
      </c>
      <c r="G781" t="s">
        <v>74</v>
      </c>
      <c r="H781" t="s">
        <v>41</v>
      </c>
      <c r="I781" t="s">
        <v>86</v>
      </c>
      <c r="J781" t="s">
        <v>1086</v>
      </c>
      <c r="K781" t="s">
        <v>1175</v>
      </c>
      <c r="L781" t="s">
        <v>677</v>
      </c>
      <c r="M781" t="s">
        <v>659</v>
      </c>
      <c r="N781" t="s">
        <v>660</v>
      </c>
      <c r="O781" t="s">
        <v>678</v>
      </c>
      <c r="P781" t="s">
        <v>39</v>
      </c>
      <c r="Q781" t="s">
        <v>40</v>
      </c>
      <c r="R781" t="s">
        <v>1088</v>
      </c>
      <c r="S781" t="s">
        <v>1109</v>
      </c>
      <c r="T781" s="5">
        <v>18</v>
      </c>
      <c r="U781" s="6">
        <v>81.94</v>
      </c>
      <c r="V781" s="6">
        <v>53.6</v>
      </c>
      <c r="W781" s="8">
        <v>0</v>
      </c>
      <c r="X781" s="6">
        <f t="shared" si="60"/>
        <v>1474.92</v>
      </c>
      <c r="Y781" s="6">
        <f t="shared" si="61"/>
        <v>964.80000000000007</v>
      </c>
      <c r="Z781" s="6">
        <f t="shared" si="62"/>
        <v>510.12</v>
      </c>
      <c r="AA781" t="s">
        <v>679</v>
      </c>
      <c r="AC781" s="5"/>
      <c r="AD781" t="s">
        <v>1096</v>
      </c>
      <c r="AE781" t="str">
        <f t="shared" si="63"/>
        <v>2024-04</v>
      </c>
      <c r="AF781" t="str">
        <f t="shared" si="64"/>
        <v>Q2-2024</v>
      </c>
    </row>
    <row r="782" spans="1:32" x14ac:dyDescent="0.3">
      <c r="A782" t="s">
        <v>2072</v>
      </c>
      <c r="B782" s="5">
        <v>3</v>
      </c>
      <c r="C782" s="4">
        <v>45639</v>
      </c>
      <c r="D782" s="4">
        <v>45647</v>
      </c>
      <c r="E782" t="s">
        <v>561</v>
      </c>
      <c r="F782" t="s">
        <v>562</v>
      </c>
      <c r="G782" t="s">
        <v>74</v>
      </c>
      <c r="H782" t="s">
        <v>23</v>
      </c>
      <c r="I782" t="s">
        <v>93</v>
      </c>
      <c r="J782" t="s">
        <v>1278</v>
      </c>
      <c r="K782" t="s">
        <v>1521</v>
      </c>
      <c r="L782" t="s">
        <v>1050</v>
      </c>
      <c r="M782" t="s">
        <v>1002</v>
      </c>
      <c r="N782" t="s">
        <v>1034</v>
      </c>
      <c r="O782" t="s">
        <v>1051</v>
      </c>
      <c r="P782" t="s">
        <v>46</v>
      </c>
      <c r="Q782" t="s">
        <v>47</v>
      </c>
      <c r="R782" t="s">
        <v>1088</v>
      </c>
      <c r="S782" t="s">
        <v>1156</v>
      </c>
      <c r="T782" s="5">
        <v>20</v>
      </c>
      <c r="U782" s="6">
        <v>143.75</v>
      </c>
      <c r="V782" s="6">
        <v>108.75</v>
      </c>
      <c r="W782" s="8">
        <v>0.1434</v>
      </c>
      <c r="X782" s="6">
        <f t="shared" si="60"/>
        <v>2462.7249999999999</v>
      </c>
      <c r="Y782" s="6">
        <f t="shared" si="61"/>
        <v>2175</v>
      </c>
      <c r="Z782" s="6">
        <f t="shared" si="62"/>
        <v>287.72499999999991</v>
      </c>
      <c r="AA782" t="s">
        <v>679</v>
      </c>
      <c r="AC782" s="5">
        <v>2</v>
      </c>
      <c r="AD782" t="s">
        <v>1148</v>
      </c>
      <c r="AE782" t="str">
        <f t="shared" si="63"/>
        <v>2024-12</v>
      </c>
      <c r="AF782" t="str">
        <f t="shared" si="64"/>
        <v>Q4-2024</v>
      </c>
    </row>
    <row r="783" spans="1:32" x14ac:dyDescent="0.3">
      <c r="A783" t="s">
        <v>2073</v>
      </c>
      <c r="B783" s="5">
        <v>2</v>
      </c>
      <c r="C783" s="4">
        <v>45861</v>
      </c>
      <c r="D783" s="4">
        <v>45875</v>
      </c>
      <c r="E783" t="s">
        <v>530</v>
      </c>
      <c r="F783" t="s">
        <v>531</v>
      </c>
      <c r="G783" t="s">
        <v>65</v>
      </c>
      <c r="H783" t="s">
        <v>41</v>
      </c>
      <c r="I783" t="s">
        <v>86</v>
      </c>
      <c r="J783" t="s">
        <v>1086</v>
      </c>
      <c r="K783" t="s">
        <v>1175</v>
      </c>
      <c r="L783" t="s">
        <v>859</v>
      </c>
      <c r="M783" t="s">
        <v>795</v>
      </c>
      <c r="N783" t="s">
        <v>837</v>
      </c>
      <c r="O783" t="s">
        <v>860</v>
      </c>
      <c r="P783" t="s">
        <v>44</v>
      </c>
      <c r="Q783" t="s">
        <v>45</v>
      </c>
      <c r="R783" t="s">
        <v>1114</v>
      </c>
      <c r="S783" t="s">
        <v>1109</v>
      </c>
      <c r="T783" s="5">
        <v>10</v>
      </c>
      <c r="U783" s="6">
        <v>107.12</v>
      </c>
      <c r="V783" s="6">
        <v>61.5</v>
      </c>
      <c r="W783" s="8">
        <v>0.1371</v>
      </c>
      <c r="X783" s="6">
        <f t="shared" si="60"/>
        <v>924.33848</v>
      </c>
      <c r="Y783" s="6">
        <f t="shared" si="61"/>
        <v>615</v>
      </c>
      <c r="Z783" s="6">
        <f t="shared" si="62"/>
        <v>309.33848</v>
      </c>
      <c r="AA783" t="s">
        <v>679</v>
      </c>
      <c r="AC783" s="5"/>
      <c r="AD783" t="s">
        <v>1101</v>
      </c>
      <c r="AE783" t="str">
        <f t="shared" si="63"/>
        <v>2025-07</v>
      </c>
      <c r="AF783" t="str">
        <f t="shared" si="64"/>
        <v>Q3-2025</v>
      </c>
    </row>
    <row r="784" spans="1:32" x14ac:dyDescent="0.3">
      <c r="A784" t="s">
        <v>2074</v>
      </c>
      <c r="B784" s="5">
        <v>3</v>
      </c>
      <c r="C784" s="4">
        <v>45992</v>
      </c>
      <c r="D784" s="4">
        <v>45992</v>
      </c>
      <c r="E784" t="s">
        <v>483</v>
      </c>
      <c r="F784" t="s">
        <v>484</v>
      </c>
      <c r="G784" t="s">
        <v>84</v>
      </c>
      <c r="H784" t="s">
        <v>31</v>
      </c>
      <c r="I784" t="s">
        <v>160</v>
      </c>
      <c r="J784" t="s">
        <v>1125</v>
      </c>
      <c r="K784" t="s">
        <v>1386</v>
      </c>
      <c r="L784" t="s">
        <v>847</v>
      </c>
      <c r="M784" t="s">
        <v>795</v>
      </c>
      <c r="N784" t="s">
        <v>837</v>
      </c>
      <c r="O784" t="s">
        <v>848</v>
      </c>
      <c r="P784" t="s">
        <v>50</v>
      </c>
      <c r="Q784" t="s">
        <v>51</v>
      </c>
      <c r="R784" t="s">
        <v>1114</v>
      </c>
      <c r="S784" t="s">
        <v>1095</v>
      </c>
      <c r="T784" s="5">
        <v>13</v>
      </c>
      <c r="U784" s="6">
        <v>237.42</v>
      </c>
      <c r="V784" s="6">
        <v>188.86</v>
      </c>
      <c r="W784" s="8">
        <v>0.25509999999999999</v>
      </c>
      <c r="X784" s="6">
        <f t="shared" si="60"/>
        <v>2299.1040539999999</v>
      </c>
      <c r="Y784" s="6">
        <f t="shared" si="61"/>
        <v>2455.1800000000003</v>
      </c>
      <c r="Z784" s="6">
        <f t="shared" si="62"/>
        <v>-156.07594600000039</v>
      </c>
      <c r="AA784" t="s">
        <v>679</v>
      </c>
      <c r="AC784" s="5">
        <v>2</v>
      </c>
      <c r="AD784" t="s">
        <v>1148</v>
      </c>
      <c r="AE784" t="str">
        <f t="shared" si="63"/>
        <v>2025-12</v>
      </c>
      <c r="AF784" t="str">
        <f t="shared" si="64"/>
        <v>Q4-2025</v>
      </c>
    </row>
    <row r="785" spans="1:32" x14ac:dyDescent="0.3">
      <c r="A785" t="s">
        <v>2075</v>
      </c>
      <c r="B785" s="5">
        <v>4</v>
      </c>
      <c r="C785" s="4">
        <v>45915</v>
      </c>
      <c r="D785" s="4">
        <v>45927</v>
      </c>
      <c r="E785" t="s">
        <v>599</v>
      </c>
      <c r="F785" t="s">
        <v>600</v>
      </c>
      <c r="G785" t="s">
        <v>74</v>
      </c>
      <c r="H785" t="s">
        <v>41</v>
      </c>
      <c r="I785" t="s">
        <v>75</v>
      </c>
      <c r="J785" t="s">
        <v>1142</v>
      </c>
      <c r="K785" t="s">
        <v>1205</v>
      </c>
      <c r="L785" t="s">
        <v>857</v>
      </c>
      <c r="M785" t="s">
        <v>795</v>
      </c>
      <c r="N785" t="s">
        <v>837</v>
      </c>
      <c r="O785" t="s">
        <v>858</v>
      </c>
      <c r="P785" t="s">
        <v>42</v>
      </c>
      <c r="Q785" t="s">
        <v>43</v>
      </c>
      <c r="R785" t="s">
        <v>1088</v>
      </c>
      <c r="S785" t="s">
        <v>1089</v>
      </c>
      <c r="T785" s="5">
        <v>20</v>
      </c>
      <c r="U785" s="6">
        <v>205.73</v>
      </c>
      <c r="V785" s="6">
        <v>111.57</v>
      </c>
      <c r="W785" s="8">
        <v>0</v>
      </c>
      <c r="X785" s="6">
        <f t="shared" si="60"/>
        <v>4114.5999999999995</v>
      </c>
      <c r="Y785" s="6">
        <f t="shared" si="61"/>
        <v>2231.3999999999996</v>
      </c>
      <c r="Z785" s="6">
        <f t="shared" si="62"/>
        <v>1883.1999999999998</v>
      </c>
      <c r="AA785" t="s">
        <v>679</v>
      </c>
      <c r="AC785" s="5">
        <v>5</v>
      </c>
      <c r="AD785" t="s">
        <v>1184</v>
      </c>
      <c r="AE785" t="str">
        <f t="shared" si="63"/>
        <v>2025-09</v>
      </c>
      <c r="AF785" t="str">
        <f t="shared" si="64"/>
        <v>Q3-2025</v>
      </c>
    </row>
    <row r="786" spans="1:32" x14ac:dyDescent="0.3">
      <c r="A786" t="s">
        <v>2076</v>
      </c>
      <c r="B786" s="5">
        <v>4</v>
      </c>
      <c r="C786" s="4">
        <v>45879</v>
      </c>
      <c r="D786" s="4">
        <v>45888</v>
      </c>
      <c r="E786" t="s">
        <v>273</v>
      </c>
      <c r="F786" t="s">
        <v>274</v>
      </c>
      <c r="G786" t="s">
        <v>65</v>
      </c>
      <c r="H786" t="s">
        <v>31</v>
      </c>
      <c r="I786" t="s">
        <v>127</v>
      </c>
      <c r="J786" t="s">
        <v>1116</v>
      </c>
      <c r="K786" t="s">
        <v>1153</v>
      </c>
      <c r="L786" t="s">
        <v>1050</v>
      </c>
      <c r="M786" t="s">
        <v>1002</v>
      </c>
      <c r="N786" t="s">
        <v>1034</v>
      </c>
      <c r="O786" t="s">
        <v>1051</v>
      </c>
      <c r="P786" t="s">
        <v>42</v>
      </c>
      <c r="Q786" t="s">
        <v>43</v>
      </c>
      <c r="R786" t="s">
        <v>1114</v>
      </c>
      <c r="S786" t="s">
        <v>1156</v>
      </c>
      <c r="T786" s="5">
        <v>7</v>
      </c>
      <c r="U786" s="6">
        <v>186.74</v>
      </c>
      <c r="V786" s="6">
        <v>108.75</v>
      </c>
      <c r="W786" s="8">
        <v>0.17760000000000001</v>
      </c>
      <c r="X786" s="6">
        <f t="shared" si="60"/>
        <v>1075.0248320000001</v>
      </c>
      <c r="Y786" s="6">
        <f t="shared" si="61"/>
        <v>761.25</v>
      </c>
      <c r="Z786" s="6">
        <f t="shared" si="62"/>
        <v>313.77483200000006</v>
      </c>
      <c r="AA786" t="s">
        <v>679</v>
      </c>
      <c r="AC786" s="5">
        <v>4</v>
      </c>
      <c r="AD786" t="s">
        <v>1090</v>
      </c>
      <c r="AE786" t="str">
        <f t="shared" si="63"/>
        <v>2025-08</v>
      </c>
      <c r="AF786" t="str">
        <f t="shared" si="64"/>
        <v>Q3-2025</v>
      </c>
    </row>
    <row r="787" spans="1:32" x14ac:dyDescent="0.3">
      <c r="A787" t="s">
        <v>2077</v>
      </c>
      <c r="B787" s="5">
        <v>4</v>
      </c>
      <c r="C787" s="4">
        <v>45309</v>
      </c>
      <c r="D787" s="4">
        <v>45313</v>
      </c>
      <c r="E787" t="s">
        <v>340</v>
      </c>
      <c r="F787" t="s">
        <v>341</v>
      </c>
      <c r="G787" t="s">
        <v>74</v>
      </c>
      <c r="H787" t="s">
        <v>20</v>
      </c>
      <c r="I787" t="s">
        <v>90</v>
      </c>
      <c r="J787" t="s">
        <v>1262</v>
      </c>
      <c r="K787" t="s">
        <v>1297</v>
      </c>
      <c r="L787" t="s">
        <v>790</v>
      </c>
      <c r="M787" t="s">
        <v>659</v>
      </c>
      <c r="N787" t="s">
        <v>754</v>
      </c>
      <c r="O787" t="s">
        <v>791</v>
      </c>
      <c r="P787" t="s">
        <v>21</v>
      </c>
      <c r="Q787" t="s">
        <v>22</v>
      </c>
      <c r="R787" t="s">
        <v>1088</v>
      </c>
      <c r="S787" t="s">
        <v>1156</v>
      </c>
      <c r="T787" s="5">
        <v>26</v>
      </c>
      <c r="U787" s="6">
        <v>105.15</v>
      </c>
      <c r="V787" s="6">
        <v>76.42</v>
      </c>
      <c r="W787" s="8">
        <v>0</v>
      </c>
      <c r="X787" s="6">
        <f t="shared" si="60"/>
        <v>2733.9</v>
      </c>
      <c r="Y787" s="6">
        <f t="shared" si="61"/>
        <v>1986.92</v>
      </c>
      <c r="Z787" s="6">
        <f t="shared" si="62"/>
        <v>746.98</v>
      </c>
      <c r="AA787" t="s">
        <v>679</v>
      </c>
      <c r="AC787" s="5">
        <v>1</v>
      </c>
      <c r="AD787" t="s">
        <v>1090</v>
      </c>
      <c r="AE787" t="str">
        <f t="shared" si="63"/>
        <v>2024-01</v>
      </c>
      <c r="AF787" t="str">
        <f t="shared" si="64"/>
        <v>Q1-2024</v>
      </c>
    </row>
    <row r="788" spans="1:32" x14ac:dyDescent="0.3">
      <c r="A788" t="s">
        <v>2078</v>
      </c>
      <c r="B788" s="5">
        <v>5</v>
      </c>
      <c r="C788" s="4">
        <v>45365</v>
      </c>
      <c r="D788" s="4">
        <v>45377</v>
      </c>
      <c r="E788" t="s">
        <v>312</v>
      </c>
      <c r="F788" t="s">
        <v>313</v>
      </c>
      <c r="G788" t="s">
        <v>74</v>
      </c>
      <c r="H788" t="s">
        <v>23</v>
      </c>
      <c r="I788" t="s">
        <v>109</v>
      </c>
      <c r="J788" t="s">
        <v>1145</v>
      </c>
      <c r="K788" t="s">
        <v>1246</v>
      </c>
      <c r="L788" t="s">
        <v>698</v>
      </c>
      <c r="M788" t="s">
        <v>659</v>
      </c>
      <c r="N788" t="s">
        <v>660</v>
      </c>
      <c r="O788" t="s">
        <v>699</v>
      </c>
      <c r="P788" t="s">
        <v>27</v>
      </c>
      <c r="Q788" t="s">
        <v>28</v>
      </c>
      <c r="R788" t="s">
        <v>1088</v>
      </c>
      <c r="S788" t="s">
        <v>1109</v>
      </c>
      <c r="T788" s="5">
        <v>14</v>
      </c>
      <c r="U788" s="6">
        <v>8.36</v>
      </c>
      <c r="V788" s="6">
        <v>5</v>
      </c>
      <c r="W788" s="8">
        <v>0.31740000000000002</v>
      </c>
      <c r="X788" s="6">
        <f t="shared" si="60"/>
        <v>79.891503999999998</v>
      </c>
      <c r="Y788" s="6">
        <f t="shared" si="61"/>
        <v>70</v>
      </c>
      <c r="Z788" s="6">
        <f t="shared" si="62"/>
        <v>9.8915039999999976</v>
      </c>
      <c r="AA788" t="s">
        <v>679</v>
      </c>
      <c r="AC788" s="5">
        <v>5</v>
      </c>
      <c r="AD788" t="s">
        <v>1105</v>
      </c>
      <c r="AE788" t="str">
        <f t="shared" si="63"/>
        <v>2024-03</v>
      </c>
      <c r="AF788" t="str">
        <f t="shared" si="64"/>
        <v>Q1-2024</v>
      </c>
    </row>
    <row r="789" spans="1:32" x14ac:dyDescent="0.3">
      <c r="A789" t="s">
        <v>2079</v>
      </c>
      <c r="B789" s="5">
        <v>4</v>
      </c>
      <c r="C789" s="4">
        <v>45601</v>
      </c>
      <c r="D789" s="4">
        <v>45603</v>
      </c>
      <c r="E789" t="s">
        <v>221</v>
      </c>
      <c r="F789" t="s">
        <v>222</v>
      </c>
      <c r="G789" t="s">
        <v>74</v>
      </c>
      <c r="H789" t="s">
        <v>31</v>
      </c>
      <c r="I789" t="s">
        <v>67</v>
      </c>
      <c r="J789" t="s">
        <v>1304</v>
      </c>
      <c r="K789" t="s">
        <v>1342</v>
      </c>
      <c r="L789" t="s">
        <v>1036</v>
      </c>
      <c r="M789" t="s">
        <v>1002</v>
      </c>
      <c r="N789" t="s">
        <v>1034</v>
      </c>
      <c r="O789" t="s">
        <v>1037</v>
      </c>
      <c r="P789" t="s">
        <v>44</v>
      </c>
      <c r="Q789" t="s">
        <v>45</v>
      </c>
      <c r="R789" t="s">
        <v>1088</v>
      </c>
      <c r="S789" t="s">
        <v>1156</v>
      </c>
      <c r="T789" s="5">
        <v>7</v>
      </c>
      <c r="U789" s="6">
        <v>290.69</v>
      </c>
      <c r="V789" s="6">
        <v>171.54</v>
      </c>
      <c r="W789" s="8">
        <v>0</v>
      </c>
      <c r="X789" s="6">
        <f t="shared" si="60"/>
        <v>2034.83</v>
      </c>
      <c r="Y789" s="6">
        <f t="shared" si="61"/>
        <v>1200.78</v>
      </c>
      <c r="Z789" s="6">
        <f t="shared" si="62"/>
        <v>834.05</v>
      </c>
      <c r="AA789" t="s">
        <v>679</v>
      </c>
      <c r="AC789" s="5">
        <v>5</v>
      </c>
      <c r="AD789" t="s">
        <v>2080</v>
      </c>
      <c r="AE789" t="str">
        <f t="shared" si="63"/>
        <v>2024-11</v>
      </c>
      <c r="AF789" t="str">
        <f t="shared" si="64"/>
        <v>Q4-2024</v>
      </c>
    </row>
    <row r="790" spans="1:32" x14ac:dyDescent="0.3">
      <c r="A790" t="s">
        <v>2081</v>
      </c>
      <c r="B790" s="5">
        <v>5</v>
      </c>
      <c r="C790" s="4">
        <v>45331</v>
      </c>
      <c r="D790" s="4">
        <v>45341</v>
      </c>
      <c r="E790" t="s">
        <v>453</v>
      </c>
      <c r="F790" t="s">
        <v>2082</v>
      </c>
      <c r="G790" t="s">
        <v>65</v>
      </c>
      <c r="H790" t="s">
        <v>41</v>
      </c>
      <c r="I790" t="s">
        <v>86</v>
      </c>
      <c r="J790" t="s">
        <v>1086</v>
      </c>
      <c r="K790" t="s">
        <v>1234</v>
      </c>
      <c r="L790" t="s">
        <v>910</v>
      </c>
      <c r="M790" t="s">
        <v>795</v>
      </c>
      <c r="N790" t="s">
        <v>898</v>
      </c>
      <c r="O790" t="s">
        <v>911</v>
      </c>
      <c r="P790" t="s">
        <v>44</v>
      </c>
      <c r="Q790" t="s">
        <v>45</v>
      </c>
      <c r="R790" t="s">
        <v>1088</v>
      </c>
      <c r="S790" t="s">
        <v>1156</v>
      </c>
      <c r="T790" s="5">
        <v>1</v>
      </c>
      <c r="U790" s="6">
        <v>180.16</v>
      </c>
      <c r="V790" s="6">
        <v>109.34</v>
      </c>
      <c r="W790" s="8">
        <v>0.32900000000000001</v>
      </c>
      <c r="X790" s="6">
        <f t="shared" si="60"/>
        <v>120.88736</v>
      </c>
      <c r="Y790" s="6">
        <f t="shared" si="61"/>
        <v>109.34</v>
      </c>
      <c r="Z790" s="6">
        <f t="shared" si="62"/>
        <v>11.547359999999998</v>
      </c>
      <c r="AA790" t="s">
        <v>679</v>
      </c>
      <c r="AC790" s="5">
        <v>2</v>
      </c>
      <c r="AD790" t="s">
        <v>1140</v>
      </c>
      <c r="AE790" t="str">
        <f t="shared" si="63"/>
        <v>2024-02</v>
      </c>
      <c r="AF790" t="str">
        <f t="shared" si="64"/>
        <v>Q1-2024</v>
      </c>
    </row>
    <row r="791" spans="1:32" x14ac:dyDescent="0.3">
      <c r="A791" t="s">
        <v>2083</v>
      </c>
      <c r="B791" s="5">
        <v>3</v>
      </c>
      <c r="C791" s="4">
        <v>45799</v>
      </c>
      <c r="D791" s="4">
        <v>45803</v>
      </c>
      <c r="E791" t="s">
        <v>248</v>
      </c>
      <c r="F791" t="s">
        <v>249</v>
      </c>
      <c r="G791" t="s">
        <v>65</v>
      </c>
      <c r="H791" t="s">
        <v>31</v>
      </c>
      <c r="I791" t="s">
        <v>67</v>
      </c>
      <c r="J791" t="s">
        <v>1128</v>
      </c>
      <c r="K791" t="s">
        <v>1339</v>
      </c>
      <c r="L791" t="s">
        <v>762</v>
      </c>
      <c r="M791" t="s">
        <v>659</v>
      </c>
      <c r="N791" t="s">
        <v>754</v>
      </c>
      <c r="O791" t="s">
        <v>763</v>
      </c>
      <c r="P791" t="s">
        <v>37</v>
      </c>
      <c r="Q791" t="s">
        <v>38</v>
      </c>
      <c r="R791" t="s">
        <v>1114</v>
      </c>
      <c r="S791" t="s">
        <v>1109</v>
      </c>
      <c r="T791" s="5">
        <v>11</v>
      </c>
      <c r="U791" s="6">
        <v>6.16</v>
      </c>
      <c r="V791" s="6">
        <v>5</v>
      </c>
      <c r="W791" s="8">
        <v>0</v>
      </c>
      <c r="X791" s="6">
        <f t="shared" si="60"/>
        <v>67.760000000000005</v>
      </c>
      <c r="Y791" s="6">
        <f t="shared" si="61"/>
        <v>55</v>
      </c>
      <c r="Z791" s="6">
        <f t="shared" si="62"/>
        <v>12.760000000000005</v>
      </c>
      <c r="AA791" t="s">
        <v>679</v>
      </c>
      <c r="AC791" s="5"/>
      <c r="AD791" t="s">
        <v>1096</v>
      </c>
      <c r="AE791" t="str">
        <f t="shared" si="63"/>
        <v>2025-05</v>
      </c>
      <c r="AF791" t="str">
        <f t="shared" si="64"/>
        <v>Q2-2025</v>
      </c>
    </row>
    <row r="792" spans="1:32" x14ac:dyDescent="0.3">
      <c r="A792" t="s">
        <v>2084</v>
      </c>
      <c r="B792" s="5">
        <v>1</v>
      </c>
      <c r="C792" s="4">
        <v>45447</v>
      </c>
      <c r="D792" s="4">
        <v>45458</v>
      </c>
      <c r="E792" t="s">
        <v>647</v>
      </c>
      <c r="F792" t="s">
        <v>648</v>
      </c>
      <c r="G792" t="s">
        <v>74</v>
      </c>
      <c r="H792" t="s">
        <v>23</v>
      </c>
      <c r="I792" t="s">
        <v>81</v>
      </c>
      <c r="J792" t="s">
        <v>1119</v>
      </c>
      <c r="K792" t="s">
        <v>1291</v>
      </c>
      <c r="L792" t="s">
        <v>914</v>
      </c>
      <c r="M792" t="s">
        <v>795</v>
      </c>
      <c r="N792" t="s">
        <v>898</v>
      </c>
      <c r="O792" t="s">
        <v>915</v>
      </c>
      <c r="P792" t="s">
        <v>27</v>
      </c>
      <c r="Q792" t="s">
        <v>28</v>
      </c>
      <c r="R792" t="s">
        <v>1088</v>
      </c>
      <c r="S792" t="s">
        <v>1109</v>
      </c>
      <c r="T792" s="5">
        <v>8</v>
      </c>
      <c r="U792" s="6">
        <v>189.06</v>
      </c>
      <c r="V792" s="6">
        <v>105.78</v>
      </c>
      <c r="W792" s="8">
        <v>0</v>
      </c>
      <c r="X792" s="6">
        <f t="shared" si="60"/>
        <v>1512.48</v>
      </c>
      <c r="Y792" s="6">
        <f t="shared" si="61"/>
        <v>846.24</v>
      </c>
      <c r="Z792" s="6">
        <f t="shared" si="62"/>
        <v>666.24</v>
      </c>
      <c r="AA792" t="s">
        <v>679</v>
      </c>
      <c r="AC792" s="5">
        <v>5</v>
      </c>
      <c r="AE792" t="str">
        <f t="shared" si="63"/>
        <v>2024-06</v>
      </c>
      <c r="AF792" t="str">
        <f t="shared" si="64"/>
        <v>Q2-2024</v>
      </c>
    </row>
    <row r="793" spans="1:32" x14ac:dyDescent="0.3">
      <c r="A793" t="s">
        <v>2085</v>
      </c>
      <c r="B793" s="5">
        <v>4</v>
      </c>
      <c r="C793" s="4">
        <v>45738</v>
      </c>
      <c r="D793" s="4">
        <v>45738</v>
      </c>
      <c r="E793" t="s">
        <v>605</v>
      </c>
      <c r="F793" t="s">
        <v>513</v>
      </c>
      <c r="G793" t="s">
        <v>74</v>
      </c>
      <c r="H793" t="s">
        <v>41</v>
      </c>
      <c r="I793" t="s">
        <v>86</v>
      </c>
      <c r="J793" t="s">
        <v>1086</v>
      </c>
      <c r="K793" t="s">
        <v>1087</v>
      </c>
      <c r="L793" t="s">
        <v>694</v>
      </c>
      <c r="M793" t="s">
        <v>659</v>
      </c>
      <c r="N793" t="s">
        <v>660</v>
      </c>
      <c r="O793" t="s">
        <v>695</v>
      </c>
      <c r="P793" t="s">
        <v>53</v>
      </c>
      <c r="Q793" t="s">
        <v>54</v>
      </c>
      <c r="R793" t="s">
        <v>126</v>
      </c>
      <c r="S793" t="s">
        <v>1109</v>
      </c>
      <c r="T793" s="5">
        <v>3</v>
      </c>
      <c r="U793" s="6">
        <v>174.98</v>
      </c>
      <c r="V793" s="6">
        <v>105.86</v>
      </c>
      <c r="W793" s="8">
        <v>0</v>
      </c>
      <c r="X793" s="6">
        <f t="shared" si="60"/>
        <v>524.93999999999994</v>
      </c>
      <c r="Y793" s="6">
        <f t="shared" si="61"/>
        <v>317.58</v>
      </c>
      <c r="Z793" s="6">
        <f t="shared" si="62"/>
        <v>207.35999999999996</v>
      </c>
      <c r="AA793" t="s">
        <v>679</v>
      </c>
      <c r="AC793" s="5"/>
      <c r="AD793" t="s">
        <v>1110</v>
      </c>
      <c r="AE793" t="str">
        <f t="shared" si="63"/>
        <v>2025-03</v>
      </c>
      <c r="AF793" t="str">
        <f t="shared" si="64"/>
        <v>Q1-2025</v>
      </c>
    </row>
    <row r="794" spans="1:32" x14ac:dyDescent="0.3">
      <c r="A794" t="s">
        <v>2086</v>
      </c>
      <c r="B794" s="5">
        <v>1</v>
      </c>
      <c r="C794" s="4">
        <v>45571</v>
      </c>
      <c r="D794" s="4">
        <v>45576</v>
      </c>
      <c r="E794" t="s">
        <v>340</v>
      </c>
      <c r="F794" t="s">
        <v>341</v>
      </c>
      <c r="G794" t="s">
        <v>74</v>
      </c>
      <c r="H794" t="s">
        <v>23</v>
      </c>
      <c r="I794" t="s">
        <v>81</v>
      </c>
      <c r="J794" t="s">
        <v>1119</v>
      </c>
      <c r="K794" t="s">
        <v>1291</v>
      </c>
      <c r="L794" t="s">
        <v>847</v>
      </c>
      <c r="M794" t="s">
        <v>795</v>
      </c>
      <c r="N794" t="s">
        <v>837</v>
      </c>
      <c r="O794" t="s">
        <v>848</v>
      </c>
      <c r="P794" t="s">
        <v>39</v>
      </c>
      <c r="Q794" t="s">
        <v>40</v>
      </c>
      <c r="R794" t="s">
        <v>1088</v>
      </c>
      <c r="S794" t="s">
        <v>1095</v>
      </c>
      <c r="T794" s="5">
        <v>25</v>
      </c>
      <c r="U794" s="6">
        <v>243.63</v>
      </c>
      <c r="V794" s="6">
        <v>188.86</v>
      </c>
      <c r="W794" s="8">
        <v>0.12590000000000001</v>
      </c>
      <c r="X794" s="6">
        <f t="shared" si="60"/>
        <v>5323.924575</v>
      </c>
      <c r="Y794" s="6">
        <f t="shared" si="61"/>
        <v>4721.5</v>
      </c>
      <c r="Z794" s="6">
        <f t="shared" si="62"/>
        <v>602.424575</v>
      </c>
      <c r="AA794" t="s">
        <v>679</v>
      </c>
      <c r="AC794" s="5">
        <v>5</v>
      </c>
      <c r="AD794" t="s">
        <v>1105</v>
      </c>
      <c r="AE794" t="str">
        <f t="shared" si="63"/>
        <v>2024-10</v>
      </c>
      <c r="AF794" t="str">
        <f t="shared" si="64"/>
        <v>Q4-2024</v>
      </c>
    </row>
    <row r="795" spans="1:32" x14ac:dyDescent="0.3">
      <c r="A795" t="s">
        <v>2087</v>
      </c>
      <c r="B795" s="5">
        <v>1</v>
      </c>
      <c r="C795" s="4">
        <v>45704</v>
      </c>
      <c r="D795" s="4">
        <v>45704</v>
      </c>
      <c r="E795" t="s">
        <v>551</v>
      </c>
      <c r="F795" t="s">
        <v>2088</v>
      </c>
      <c r="G795" t="s">
        <v>65</v>
      </c>
      <c r="H795" t="s">
        <v>23</v>
      </c>
      <c r="I795" t="s">
        <v>93</v>
      </c>
      <c r="J795" t="s">
        <v>1103</v>
      </c>
      <c r="K795" t="s">
        <v>1104</v>
      </c>
      <c r="L795" t="s">
        <v>970</v>
      </c>
      <c r="M795" t="s">
        <v>929</v>
      </c>
      <c r="N795" t="s">
        <v>971</v>
      </c>
      <c r="O795" t="s">
        <v>972</v>
      </c>
      <c r="P795" t="s">
        <v>27</v>
      </c>
      <c r="Q795" t="s">
        <v>28</v>
      </c>
      <c r="R795" t="s">
        <v>1114</v>
      </c>
      <c r="S795" t="s">
        <v>1089</v>
      </c>
      <c r="T795" s="5">
        <v>23</v>
      </c>
      <c r="U795" s="6">
        <v>122.2</v>
      </c>
      <c r="V795" s="6">
        <v>121.04</v>
      </c>
      <c r="W795" s="8">
        <v>0</v>
      </c>
      <c r="X795" s="6">
        <f t="shared" si="60"/>
        <v>2810.6</v>
      </c>
      <c r="Y795" s="6">
        <f t="shared" si="61"/>
        <v>2783.92</v>
      </c>
      <c r="Z795" s="6">
        <f t="shared" si="62"/>
        <v>26.679999999999836</v>
      </c>
      <c r="AA795" t="s">
        <v>679</v>
      </c>
      <c r="AC795" s="5">
        <v>5</v>
      </c>
      <c r="AD795" t="s">
        <v>1130</v>
      </c>
      <c r="AE795" t="str">
        <f t="shared" si="63"/>
        <v>2025-02</v>
      </c>
      <c r="AF795" t="str">
        <f t="shared" si="64"/>
        <v>Q1-2025</v>
      </c>
    </row>
    <row r="796" spans="1:32" x14ac:dyDescent="0.3">
      <c r="A796" t="s">
        <v>2089</v>
      </c>
      <c r="B796" s="5">
        <v>5</v>
      </c>
      <c r="C796" s="4">
        <v>45688</v>
      </c>
      <c r="D796" s="4">
        <v>45694</v>
      </c>
      <c r="E796" t="s">
        <v>121</v>
      </c>
      <c r="F796" t="s">
        <v>122</v>
      </c>
      <c r="G796" t="s">
        <v>74</v>
      </c>
      <c r="H796" t="s">
        <v>20</v>
      </c>
      <c r="I796" t="s">
        <v>71</v>
      </c>
      <c r="J796" t="s">
        <v>1112</v>
      </c>
      <c r="K796" t="s">
        <v>1266</v>
      </c>
      <c r="L796" t="s">
        <v>952</v>
      </c>
      <c r="M796" t="s">
        <v>929</v>
      </c>
      <c r="N796" t="s">
        <v>930</v>
      </c>
      <c r="O796" t="s">
        <v>953</v>
      </c>
      <c r="P796" t="s">
        <v>34</v>
      </c>
      <c r="Q796" t="s">
        <v>35</v>
      </c>
      <c r="R796" t="s">
        <v>1114</v>
      </c>
      <c r="S796" t="s">
        <v>1109</v>
      </c>
      <c r="T796" s="5">
        <v>20</v>
      </c>
      <c r="U796" s="6">
        <v>193.59</v>
      </c>
      <c r="V796" s="6">
        <v>139.97999999999999</v>
      </c>
      <c r="W796" s="8">
        <v>0</v>
      </c>
      <c r="X796" s="6">
        <f t="shared" si="60"/>
        <v>3871.8</v>
      </c>
      <c r="Y796" s="6">
        <f t="shared" si="61"/>
        <v>2799.6</v>
      </c>
      <c r="Z796" s="6">
        <f t="shared" si="62"/>
        <v>1072.2000000000003</v>
      </c>
      <c r="AA796" t="s">
        <v>679</v>
      </c>
      <c r="AC796" s="5">
        <v>4</v>
      </c>
      <c r="AD796" t="s">
        <v>1140</v>
      </c>
      <c r="AE796" t="str">
        <f t="shared" si="63"/>
        <v>2025-01</v>
      </c>
      <c r="AF796" t="str">
        <f t="shared" si="64"/>
        <v>Q1-2025</v>
      </c>
    </row>
    <row r="797" spans="1:32" x14ac:dyDescent="0.3">
      <c r="A797" t="s">
        <v>2090</v>
      </c>
      <c r="B797" s="5">
        <v>2</v>
      </c>
      <c r="C797" s="4">
        <v>45505</v>
      </c>
      <c r="D797" s="4">
        <v>45516</v>
      </c>
      <c r="E797" t="s">
        <v>500</v>
      </c>
      <c r="F797" t="s">
        <v>253</v>
      </c>
      <c r="G797" t="s">
        <v>80</v>
      </c>
      <c r="H797" t="s">
        <v>20</v>
      </c>
      <c r="I797" t="s">
        <v>90</v>
      </c>
      <c r="J797" t="s">
        <v>1171</v>
      </c>
      <c r="K797" t="s">
        <v>1172</v>
      </c>
      <c r="L797" t="s">
        <v>979</v>
      </c>
      <c r="M797" t="s">
        <v>929</v>
      </c>
      <c r="N797" t="s">
        <v>971</v>
      </c>
      <c r="O797" t="s">
        <v>980</v>
      </c>
      <c r="P797" t="s">
        <v>37</v>
      </c>
      <c r="Q797" t="s">
        <v>38</v>
      </c>
      <c r="R797" t="s">
        <v>1088</v>
      </c>
      <c r="S797" t="s">
        <v>1089</v>
      </c>
      <c r="T797" s="5">
        <v>14</v>
      </c>
      <c r="U797" s="6">
        <v>283.92</v>
      </c>
      <c r="V797" s="6">
        <v>158.03</v>
      </c>
      <c r="W797" s="8">
        <v>3.4000000000000002E-2</v>
      </c>
      <c r="X797" s="6">
        <f t="shared" si="60"/>
        <v>3839.7340800000002</v>
      </c>
      <c r="Y797" s="6">
        <f t="shared" si="61"/>
        <v>2212.42</v>
      </c>
      <c r="Z797" s="6">
        <f t="shared" si="62"/>
        <v>1627.3140800000001</v>
      </c>
      <c r="AA797" t="s">
        <v>662</v>
      </c>
      <c r="AB797" t="s">
        <v>1414</v>
      </c>
      <c r="AC797" s="5">
        <v>1</v>
      </c>
      <c r="AD797" t="s">
        <v>1123</v>
      </c>
      <c r="AE797" t="str">
        <f t="shared" si="63"/>
        <v>2024-08</v>
      </c>
      <c r="AF797" t="str">
        <f t="shared" si="64"/>
        <v>Q3-2024</v>
      </c>
    </row>
    <row r="798" spans="1:32" x14ac:dyDescent="0.3">
      <c r="A798" t="s">
        <v>2091</v>
      </c>
      <c r="B798" s="5">
        <v>5</v>
      </c>
      <c r="C798" s="4">
        <v>46006</v>
      </c>
      <c r="D798" s="4">
        <v>46016</v>
      </c>
      <c r="E798" t="s">
        <v>367</v>
      </c>
      <c r="F798" t="s">
        <v>368</v>
      </c>
      <c r="G798" t="s">
        <v>74</v>
      </c>
      <c r="H798" t="s">
        <v>20</v>
      </c>
      <c r="I798" t="s">
        <v>90</v>
      </c>
      <c r="J798" t="s">
        <v>1171</v>
      </c>
      <c r="K798" t="s">
        <v>1172</v>
      </c>
      <c r="L798" t="s">
        <v>1021</v>
      </c>
      <c r="M798" t="s">
        <v>1002</v>
      </c>
      <c r="N798" t="s">
        <v>1003</v>
      </c>
      <c r="O798" t="s">
        <v>1022</v>
      </c>
      <c r="P798" t="s">
        <v>50</v>
      </c>
      <c r="Q798" t="s">
        <v>51</v>
      </c>
      <c r="R798" t="s">
        <v>126</v>
      </c>
      <c r="S798" t="s">
        <v>1089</v>
      </c>
      <c r="T798" s="5">
        <v>10</v>
      </c>
      <c r="U798" s="6">
        <v>196.97</v>
      </c>
      <c r="V798" s="6">
        <v>154.5</v>
      </c>
      <c r="W798" s="8">
        <v>0</v>
      </c>
      <c r="X798" s="6">
        <f t="shared" si="60"/>
        <v>1969.7</v>
      </c>
      <c r="Y798" s="6">
        <f t="shared" si="61"/>
        <v>1545</v>
      </c>
      <c r="Z798" s="6">
        <f t="shared" si="62"/>
        <v>424.70000000000005</v>
      </c>
      <c r="AA798" t="s">
        <v>679</v>
      </c>
      <c r="AC798" s="5">
        <v>2</v>
      </c>
      <c r="AD798" t="s">
        <v>1110</v>
      </c>
      <c r="AE798" t="str">
        <f t="shared" si="63"/>
        <v>2025-12</v>
      </c>
      <c r="AF798" t="str">
        <f t="shared" si="64"/>
        <v>Q4-2025</v>
      </c>
    </row>
    <row r="799" spans="1:32" x14ac:dyDescent="0.3">
      <c r="A799" t="s">
        <v>2092</v>
      </c>
      <c r="B799" s="5">
        <v>4</v>
      </c>
      <c r="C799" s="4">
        <v>45330</v>
      </c>
      <c r="D799" s="4">
        <v>45334</v>
      </c>
      <c r="E799" t="s">
        <v>245</v>
      </c>
      <c r="F799" t="s">
        <v>187</v>
      </c>
      <c r="G799" t="s">
        <v>74</v>
      </c>
      <c r="H799" t="s">
        <v>20</v>
      </c>
      <c r="I799" t="s">
        <v>90</v>
      </c>
      <c r="J799" t="s">
        <v>1262</v>
      </c>
      <c r="K799" t="s">
        <v>1274</v>
      </c>
      <c r="L799" t="s">
        <v>977</v>
      </c>
      <c r="M799" t="s">
        <v>929</v>
      </c>
      <c r="N799" t="s">
        <v>971</v>
      </c>
      <c r="O799" t="s">
        <v>978</v>
      </c>
      <c r="P799" t="s">
        <v>53</v>
      </c>
      <c r="Q799" t="s">
        <v>54</v>
      </c>
      <c r="R799" t="s">
        <v>1094</v>
      </c>
      <c r="S799" t="s">
        <v>1109</v>
      </c>
      <c r="T799" s="5">
        <v>13</v>
      </c>
      <c r="U799" s="6">
        <v>124.44</v>
      </c>
      <c r="V799" s="6">
        <v>86.07</v>
      </c>
      <c r="W799" s="8">
        <v>0</v>
      </c>
      <c r="X799" s="6">
        <f t="shared" si="60"/>
        <v>1617.72</v>
      </c>
      <c r="Y799" s="6">
        <f t="shared" si="61"/>
        <v>1118.9099999999999</v>
      </c>
      <c r="Z799" s="6">
        <f t="shared" si="62"/>
        <v>498.81000000000017</v>
      </c>
      <c r="AA799" t="s">
        <v>679</v>
      </c>
      <c r="AC799" s="5"/>
      <c r="AD799" t="s">
        <v>1110</v>
      </c>
      <c r="AE799" t="str">
        <f t="shared" si="63"/>
        <v>2024-02</v>
      </c>
      <c r="AF799" t="str">
        <f t="shared" si="64"/>
        <v>Q1-2024</v>
      </c>
    </row>
    <row r="800" spans="1:32" x14ac:dyDescent="0.3">
      <c r="A800" t="s">
        <v>2093</v>
      </c>
      <c r="B800" s="5">
        <v>1</v>
      </c>
      <c r="C800" s="4">
        <v>45751</v>
      </c>
      <c r="D800" s="4">
        <v>45763</v>
      </c>
      <c r="E800" t="s">
        <v>473</v>
      </c>
      <c r="F800" t="s">
        <v>474</v>
      </c>
      <c r="G800" t="s">
        <v>80</v>
      </c>
      <c r="H800" t="s">
        <v>23</v>
      </c>
      <c r="I800" t="s">
        <v>81</v>
      </c>
      <c r="J800" t="s">
        <v>1163</v>
      </c>
      <c r="K800" t="s">
        <v>1407</v>
      </c>
      <c r="L800" t="s">
        <v>788</v>
      </c>
      <c r="M800" t="s">
        <v>659</v>
      </c>
      <c r="N800" t="s">
        <v>754</v>
      </c>
      <c r="O800" t="s">
        <v>789</v>
      </c>
      <c r="P800" t="s">
        <v>42</v>
      </c>
      <c r="Q800" t="s">
        <v>43</v>
      </c>
      <c r="R800" t="s">
        <v>1088</v>
      </c>
      <c r="S800" t="s">
        <v>1089</v>
      </c>
      <c r="T800" s="5">
        <v>13</v>
      </c>
      <c r="U800" s="6">
        <v>73.27</v>
      </c>
      <c r="V800" s="6">
        <v>46.29</v>
      </c>
      <c r="W800" s="8">
        <v>0</v>
      </c>
      <c r="X800" s="6">
        <f t="shared" si="60"/>
        <v>952.51</v>
      </c>
      <c r="Y800" s="6">
        <f t="shared" si="61"/>
        <v>601.77</v>
      </c>
      <c r="Z800" s="6">
        <f t="shared" si="62"/>
        <v>350.74</v>
      </c>
      <c r="AA800" t="s">
        <v>679</v>
      </c>
      <c r="AC800" s="5">
        <v>5</v>
      </c>
      <c r="AD800" t="s">
        <v>1105</v>
      </c>
      <c r="AE800" t="str">
        <f t="shared" si="63"/>
        <v>2025-04</v>
      </c>
      <c r="AF800" t="str">
        <f t="shared" si="64"/>
        <v>Q2-2025</v>
      </c>
    </row>
    <row r="801" spans="1:32" x14ac:dyDescent="0.3">
      <c r="A801" t="s">
        <v>2094</v>
      </c>
      <c r="B801" s="5">
        <v>1</v>
      </c>
      <c r="C801" s="4">
        <v>45438</v>
      </c>
      <c r="D801" s="4">
        <v>45449</v>
      </c>
      <c r="E801" t="s">
        <v>605</v>
      </c>
      <c r="F801" t="s">
        <v>513</v>
      </c>
      <c r="G801" t="s">
        <v>74</v>
      </c>
      <c r="H801" t="s">
        <v>31</v>
      </c>
      <c r="I801" t="s">
        <v>67</v>
      </c>
      <c r="J801" t="s">
        <v>1128</v>
      </c>
      <c r="K801" t="s">
        <v>1129</v>
      </c>
      <c r="L801" t="s">
        <v>916</v>
      </c>
      <c r="M801" t="s">
        <v>795</v>
      </c>
      <c r="N801" t="s">
        <v>898</v>
      </c>
      <c r="O801" t="s">
        <v>917</v>
      </c>
      <c r="P801" t="s">
        <v>50</v>
      </c>
      <c r="Q801" t="s">
        <v>51</v>
      </c>
      <c r="R801" t="s">
        <v>1094</v>
      </c>
      <c r="S801" t="s">
        <v>1095</v>
      </c>
      <c r="T801" s="5">
        <v>6</v>
      </c>
      <c r="U801" s="6">
        <v>139.54</v>
      </c>
      <c r="V801" s="6">
        <v>116.38</v>
      </c>
      <c r="W801" s="8">
        <v>0</v>
      </c>
      <c r="X801" s="6">
        <f t="shared" si="60"/>
        <v>837.24</v>
      </c>
      <c r="Y801" s="6">
        <f t="shared" si="61"/>
        <v>698.28</v>
      </c>
      <c r="Z801" s="6">
        <f t="shared" si="62"/>
        <v>138.96000000000004</v>
      </c>
      <c r="AA801" t="s">
        <v>679</v>
      </c>
      <c r="AC801" s="5"/>
      <c r="AE801" t="str">
        <f t="shared" si="63"/>
        <v>2024-05</v>
      </c>
      <c r="AF801" t="str">
        <f t="shared" si="64"/>
        <v>Q2-2024</v>
      </c>
    </row>
    <row r="802" spans="1:32" x14ac:dyDescent="0.3">
      <c r="A802" t="s">
        <v>2095</v>
      </c>
      <c r="B802" s="5">
        <v>2</v>
      </c>
      <c r="C802" s="4">
        <v>45840</v>
      </c>
      <c r="D802" s="4">
        <v>45854</v>
      </c>
      <c r="E802" t="s">
        <v>509</v>
      </c>
      <c r="F802" t="s">
        <v>510</v>
      </c>
      <c r="G802" t="s">
        <v>84</v>
      </c>
      <c r="H802" t="s">
        <v>31</v>
      </c>
      <c r="I802" t="s">
        <v>67</v>
      </c>
      <c r="J802" t="s">
        <v>1207</v>
      </c>
      <c r="K802" t="s">
        <v>1368</v>
      </c>
      <c r="L802" t="s">
        <v>970</v>
      </c>
      <c r="M802" t="s">
        <v>929</v>
      </c>
      <c r="N802" t="s">
        <v>971</v>
      </c>
      <c r="O802" t="s">
        <v>972</v>
      </c>
      <c r="P802" t="s">
        <v>21</v>
      </c>
      <c r="Q802" t="s">
        <v>22</v>
      </c>
      <c r="R802" t="s">
        <v>1088</v>
      </c>
      <c r="S802" t="s">
        <v>1109</v>
      </c>
      <c r="T802" s="5">
        <v>2</v>
      </c>
      <c r="U802" s="6">
        <v>177.68</v>
      </c>
      <c r="V802" s="6">
        <v>121.04</v>
      </c>
      <c r="W802" s="8">
        <v>0</v>
      </c>
      <c r="X802" s="6">
        <f t="shared" si="60"/>
        <v>355.36</v>
      </c>
      <c r="Y802" s="6">
        <f t="shared" si="61"/>
        <v>242.08</v>
      </c>
      <c r="Z802" s="6">
        <f t="shared" si="62"/>
        <v>113.28</v>
      </c>
      <c r="AA802" t="s">
        <v>679</v>
      </c>
      <c r="AC802" s="5">
        <v>2</v>
      </c>
      <c r="AE802" t="str">
        <f t="shared" si="63"/>
        <v>2025-07</v>
      </c>
      <c r="AF802" t="str">
        <f t="shared" si="64"/>
        <v>Q3-2025</v>
      </c>
    </row>
    <row r="803" spans="1:32" x14ac:dyDescent="0.3">
      <c r="A803" t="s">
        <v>2096</v>
      </c>
      <c r="B803" s="5">
        <v>3</v>
      </c>
      <c r="C803" s="4">
        <v>45458</v>
      </c>
      <c r="D803" s="4">
        <v>45469</v>
      </c>
      <c r="E803" t="s">
        <v>538</v>
      </c>
      <c r="F803" t="s">
        <v>539</v>
      </c>
      <c r="G803" t="s">
        <v>74</v>
      </c>
      <c r="H803" t="s">
        <v>31</v>
      </c>
      <c r="I803" t="s">
        <v>160</v>
      </c>
      <c r="J803" t="s">
        <v>1092</v>
      </c>
      <c r="K803" t="s">
        <v>1150</v>
      </c>
      <c r="L803" t="s">
        <v>975</v>
      </c>
      <c r="M803" t="s">
        <v>929</v>
      </c>
      <c r="N803" t="s">
        <v>971</v>
      </c>
      <c r="O803" t="s">
        <v>976</v>
      </c>
      <c r="P803" t="s">
        <v>32</v>
      </c>
      <c r="Q803" t="s">
        <v>33</v>
      </c>
      <c r="R803" t="s">
        <v>1088</v>
      </c>
      <c r="S803" t="s">
        <v>1109</v>
      </c>
      <c r="T803" s="5">
        <v>19</v>
      </c>
      <c r="U803" s="6">
        <v>130.43</v>
      </c>
      <c r="V803" s="6">
        <v>66.319999999999993</v>
      </c>
      <c r="W803" s="8">
        <v>0</v>
      </c>
      <c r="X803" s="6">
        <f t="shared" si="60"/>
        <v>2478.17</v>
      </c>
      <c r="Y803" s="6">
        <f t="shared" si="61"/>
        <v>1260.08</v>
      </c>
      <c r="Z803" s="6">
        <f t="shared" si="62"/>
        <v>1218.0900000000001</v>
      </c>
      <c r="AA803" t="s">
        <v>679</v>
      </c>
      <c r="AC803" s="5"/>
      <c r="AD803" t="s">
        <v>1090</v>
      </c>
      <c r="AE803" t="str">
        <f t="shared" si="63"/>
        <v>2024-06</v>
      </c>
      <c r="AF803" t="str">
        <f t="shared" si="64"/>
        <v>Q2-2024</v>
      </c>
    </row>
    <row r="804" spans="1:32" x14ac:dyDescent="0.3">
      <c r="A804" t="s">
        <v>2097</v>
      </c>
      <c r="B804" s="5">
        <v>3</v>
      </c>
      <c r="C804" s="4">
        <v>45576</v>
      </c>
      <c r="D804" s="4">
        <v>45586</v>
      </c>
      <c r="E804" t="s">
        <v>223</v>
      </c>
      <c r="F804" t="s">
        <v>224</v>
      </c>
      <c r="G804" t="s">
        <v>74</v>
      </c>
      <c r="H804" t="s">
        <v>23</v>
      </c>
      <c r="I804" t="s">
        <v>109</v>
      </c>
      <c r="J804" t="s">
        <v>1138</v>
      </c>
      <c r="K804" t="s">
        <v>1139</v>
      </c>
      <c r="L804" t="s">
        <v>954</v>
      </c>
      <c r="M804" t="s">
        <v>929</v>
      </c>
      <c r="N804" t="s">
        <v>930</v>
      </c>
      <c r="O804" t="s">
        <v>955</v>
      </c>
      <c r="P804" t="s">
        <v>42</v>
      </c>
      <c r="Q804" t="s">
        <v>43</v>
      </c>
      <c r="R804" t="s">
        <v>1088</v>
      </c>
      <c r="S804" t="s">
        <v>1109</v>
      </c>
      <c r="T804" s="5">
        <v>9</v>
      </c>
      <c r="U804" s="6">
        <v>166.69</v>
      </c>
      <c r="V804" s="6">
        <v>99.65</v>
      </c>
      <c r="W804" s="8">
        <v>0</v>
      </c>
      <c r="X804" s="6">
        <f t="shared" si="60"/>
        <v>1500.21</v>
      </c>
      <c r="Y804" s="6">
        <f t="shared" si="61"/>
        <v>896.85</v>
      </c>
      <c r="Z804" s="6">
        <f t="shared" si="62"/>
        <v>603.36</v>
      </c>
      <c r="AA804" t="s">
        <v>679</v>
      </c>
      <c r="AC804" s="5">
        <v>3</v>
      </c>
      <c r="AD804" t="s">
        <v>1136</v>
      </c>
      <c r="AE804" t="str">
        <f t="shared" si="63"/>
        <v>2024-10</v>
      </c>
      <c r="AF804" t="str">
        <f t="shared" si="64"/>
        <v>Q4-2024</v>
      </c>
    </row>
    <row r="805" spans="1:32" x14ac:dyDescent="0.3">
      <c r="A805" t="s">
        <v>2098</v>
      </c>
      <c r="B805" s="5">
        <v>3</v>
      </c>
      <c r="C805" s="4">
        <v>45635</v>
      </c>
      <c r="D805" s="4">
        <v>45641</v>
      </c>
      <c r="E805" t="s">
        <v>243</v>
      </c>
      <c r="F805" t="s">
        <v>244</v>
      </c>
      <c r="G805" t="s">
        <v>74</v>
      </c>
      <c r="H805" t="s">
        <v>20</v>
      </c>
      <c r="I805" t="s">
        <v>71</v>
      </c>
      <c r="J805" t="s">
        <v>1112</v>
      </c>
      <c r="K805" t="s">
        <v>1113</v>
      </c>
      <c r="L805" t="s">
        <v>725</v>
      </c>
      <c r="M805" t="s">
        <v>659</v>
      </c>
      <c r="N805" t="s">
        <v>713</v>
      </c>
      <c r="O805" t="s">
        <v>726</v>
      </c>
      <c r="P805" t="s">
        <v>37</v>
      </c>
      <c r="Q805" t="s">
        <v>38</v>
      </c>
      <c r="R805" t="s">
        <v>1114</v>
      </c>
      <c r="S805" t="s">
        <v>1109</v>
      </c>
      <c r="T805" s="5">
        <v>22</v>
      </c>
      <c r="U805" s="6">
        <v>133.24</v>
      </c>
      <c r="V805" s="6">
        <v>94.07</v>
      </c>
      <c r="W805" s="8">
        <v>0</v>
      </c>
      <c r="X805" s="6">
        <f t="shared" si="60"/>
        <v>2931.28</v>
      </c>
      <c r="Y805" s="6">
        <f t="shared" si="61"/>
        <v>2069.54</v>
      </c>
      <c r="Z805" s="6">
        <f t="shared" si="62"/>
        <v>861.74000000000024</v>
      </c>
      <c r="AA805" t="s">
        <v>679</v>
      </c>
      <c r="AC805" s="5">
        <v>4</v>
      </c>
      <c r="AE805" t="str">
        <f t="shared" si="63"/>
        <v>2024-12</v>
      </c>
      <c r="AF805" t="str">
        <f t="shared" si="64"/>
        <v>Q4-2024</v>
      </c>
    </row>
    <row r="806" spans="1:32" x14ac:dyDescent="0.3">
      <c r="A806" t="s">
        <v>2099</v>
      </c>
      <c r="B806" s="5">
        <v>2</v>
      </c>
      <c r="C806" s="4">
        <v>45728</v>
      </c>
      <c r="D806" s="4">
        <v>45742</v>
      </c>
      <c r="E806" t="s">
        <v>94</v>
      </c>
      <c r="F806" t="s">
        <v>95</v>
      </c>
      <c r="G806" t="s">
        <v>74</v>
      </c>
      <c r="H806" t="s">
        <v>20</v>
      </c>
      <c r="I806" t="s">
        <v>90</v>
      </c>
      <c r="J806" t="s">
        <v>1262</v>
      </c>
      <c r="K806" t="s">
        <v>1274</v>
      </c>
      <c r="L806" t="s">
        <v>853</v>
      </c>
      <c r="M806" t="s">
        <v>795</v>
      </c>
      <c r="N806" t="s">
        <v>837</v>
      </c>
      <c r="O806" t="s">
        <v>854</v>
      </c>
      <c r="P806" t="s">
        <v>39</v>
      </c>
      <c r="Q806" t="s">
        <v>40</v>
      </c>
      <c r="R806" t="s">
        <v>1088</v>
      </c>
      <c r="S806" t="s">
        <v>1109</v>
      </c>
      <c r="T806" s="5">
        <v>3</v>
      </c>
      <c r="U806" s="6">
        <v>162.91</v>
      </c>
      <c r="V806" s="6">
        <v>119.67</v>
      </c>
      <c r="W806" s="8">
        <v>0.33389999999999997</v>
      </c>
      <c r="X806" s="6">
        <f t="shared" si="60"/>
        <v>325.54305300000004</v>
      </c>
      <c r="Y806" s="6">
        <f t="shared" si="61"/>
        <v>359.01</v>
      </c>
      <c r="Z806" s="6">
        <f t="shared" si="62"/>
        <v>-33.466946999999948</v>
      </c>
      <c r="AA806" t="s">
        <v>679</v>
      </c>
      <c r="AC806" s="5">
        <v>4</v>
      </c>
      <c r="AE806" t="str">
        <f t="shared" si="63"/>
        <v>2025-03</v>
      </c>
      <c r="AF806" t="str">
        <f t="shared" si="64"/>
        <v>Q1-2025</v>
      </c>
    </row>
    <row r="807" spans="1:32" x14ac:dyDescent="0.3">
      <c r="A807" t="s">
        <v>2100</v>
      </c>
      <c r="B807" s="5">
        <v>4</v>
      </c>
      <c r="C807" s="4">
        <v>45882</v>
      </c>
      <c r="D807" s="4">
        <v>45882</v>
      </c>
      <c r="E807" t="s">
        <v>263</v>
      </c>
      <c r="F807" t="s">
        <v>264</v>
      </c>
      <c r="G807" t="s">
        <v>74</v>
      </c>
      <c r="H807" t="s">
        <v>31</v>
      </c>
      <c r="I807" t="s">
        <v>127</v>
      </c>
      <c r="J807" t="s">
        <v>1116</v>
      </c>
      <c r="K807" t="s">
        <v>1357</v>
      </c>
      <c r="L807" t="s">
        <v>788</v>
      </c>
      <c r="M807" t="s">
        <v>659</v>
      </c>
      <c r="N807" t="s">
        <v>754</v>
      </c>
      <c r="O807" t="s">
        <v>789</v>
      </c>
      <c r="P807" t="s">
        <v>42</v>
      </c>
      <c r="Q807" t="s">
        <v>43</v>
      </c>
      <c r="R807" t="s">
        <v>1088</v>
      </c>
      <c r="S807" t="s">
        <v>1095</v>
      </c>
      <c r="T807" s="5">
        <v>7</v>
      </c>
      <c r="U807" s="6">
        <v>64.66</v>
      </c>
      <c r="V807" s="6">
        <v>46.29</v>
      </c>
      <c r="W807" s="8">
        <v>0</v>
      </c>
      <c r="X807" s="6">
        <f t="shared" si="60"/>
        <v>452.62</v>
      </c>
      <c r="Y807" s="6">
        <f t="shared" si="61"/>
        <v>324.02999999999997</v>
      </c>
      <c r="Z807" s="6">
        <f t="shared" si="62"/>
        <v>128.59000000000003</v>
      </c>
      <c r="AA807" t="s">
        <v>679</v>
      </c>
      <c r="AC807" s="5">
        <v>4</v>
      </c>
      <c r="AD807" t="s">
        <v>1096</v>
      </c>
      <c r="AE807" t="str">
        <f t="shared" si="63"/>
        <v>2025-08</v>
      </c>
      <c r="AF807" t="str">
        <f t="shared" si="64"/>
        <v>Q3-2025</v>
      </c>
    </row>
    <row r="808" spans="1:32" x14ac:dyDescent="0.3">
      <c r="A808" t="s">
        <v>2101</v>
      </c>
      <c r="B808" s="5">
        <v>5</v>
      </c>
      <c r="C808" s="4">
        <v>45378</v>
      </c>
      <c r="D808" s="4">
        <v>45390</v>
      </c>
      <c r="E808" t="s">
        <v>596</v>
      </c>
      <c r="F808" t="s">
        <v>355</v>
      </c>
      <c r="G808" t="s">
        <v>84</v>
      </c>
      <c r="H808" t="s">
        <v>41</v>
      </c>
      <c r="I808" t="s">
        <v>75</v>
      </c>
      <c r="J808" t="s">
        <v>1142</v>
      </c>
      <c r="K808" t="s">
        <v>1143</v>
      </c>
      <c r="L808" t="s">
        <v>873</v>
      </c>
      <c r="M808" t="s">
        <v>795</v>
      </c>
      <c r="N808" t="s">
        <v>837</v>
      </c>
      <c r="O808" t="s">
        <v>874</v>
      </c>
      <c r="P808" t="s">
        <v>42</v>
      </c>
      <c r="Q808" t="s">
        <v>43</v>
      </c>
      <c r="R808" t="s">
        <v>1088</v>
      </c>
      <c r="S808" t="s">
        <v>1109</v>
      </c>
      <c r="T808" s="5">
        <v>6</v>
      </c>
      <c r="U808" s="6">
        <v>175.56</v>
      </c>
      <c r="V808" s="6">
        <v>121.31</v>
      </c>
      <c r="W808" s="8">
        <v>0.1071</v>
      </c>
      <c r="X808" s="6">
        <f t="shared" si="60"/>
        <v>940.54514400000016</v>
      </c>
      <c r="Y808" s="6">
        <f t="shared" si="61"/>
        <v>727.86</v>
      </c>
      <c r="Z808" s="6">
        <f t="shared" si="62"/>
        <v>212.68514400000015</v>
      </c>
      <c r="AA808" t="s">
        <v>679</v>
      </c>
      <c r="AC808" s="5">
        <v>3</v>
      </c>
      <c r="AD808" t="s">
        <v>1778</v>
      </c>
      <c r="AE808" t="str">
        <f t="shared" si="63"/>
        <v>2024-03</v>
      </c>
      <c r="AF808" t="str">
        <f t="shared" si="64"/>
        <v>Q1-2024</v>
      </c>
    </row>
    <row r="809" spans="1:32" x14ac:dyDescent="0.3">
      <c r="A809" t="s">
        <v>2102</v>
      </c>
      <c r="B809" s="5">
        <v>4</v>
      </c>
      <c r="C809" s="4">
        <v>45782</v>
      </c>
      <c r="D809" s="4">
        <v>45794</v>
      </c>
      <c r="E809" t="s">
        <v>612</v>
      </c>
      <c r="F809" t="s">
        <v>613</v>
      </c>
      <c r="G809" t="s">
        <v>65</v>
      </c>
      <c r="H809" t="s">
        <v>31</v>
      </c>
      <c r="I809" t="s">
        <v>67</v>
      </c>
      <c r="J809" t="s">
        <v>1128</v>
      </c>
      <c r="K809" t="s">
        <v>1339</v>
      </c>
      <c r="L809" t="s">
        <v>712</v>
      </c>
      <c r="M809" t="s">
        <v>659</v>
      </c>
      <c r="N809" t="s">
        <v>713</v>
      </c>
      <c r="O809" t="s">
        <v>714</v>
      </c>
      <c r="P809" t="s">
        <v>42</v>
      </c>
      <c r="Q809" t="s">
        <v>43</v>
      </c>
      <c r="R809" t="s">
        <v>1088</v>
      </c>
      <c r="S809" t="s">
        <v>1109</v>
      </c>
      <c r="T809" s="5">
        <v>10</v>
      </c>
      <c r="U809" s="6">
        <v>7.26</v>
      </c>
      <c r="V809" s="6">
        <v>5</v>
      </c>
      <c r="W809" s="8">
        <v>0.25309999999999999</v>
      </c>
      <c r="X809" s="6">
        <f t="shared" si="60"/>
        <v>54.224939999999997</v>
      </c>
      <c r="Y809" s="6">
        <f t="shared" si="61"/>
        <v>50</v>
      </c>
      <c r="Z809" s="6">
        <f t="shared" si="62"/>
        <v>4.2249399999999966</v>
      </c>
      <c r="AA809" t="s">
        <v>679</v>
      </c>
      <c r="AC809" s="5">
        <v>2</v>
      </c>
      <c r="AD809" t="s">
        <v>1096</v>
      </c>
      <c r="AE809" t="str">
        <f t="shared" si="63"/>
        <v>2025-05</v>
      </c>
      <c r="AF809" t="str">
        <f t="shared" si="64"/>
        <v>Q2-2025</v>
      </c>
    </row>
    <row r="810" spans="1:32" x14ac:dyDescent="0.3">
      <c r="A810" t="s">
        <v>2103</v>
      </c>
      <c r="B810" s="5">
        <v>3</v>
      </c>
      <c r="C810" s="4">
        <v>45337</v>
      </c>
      <c r="D810" s="4">
        <v>45339</v>
      </c>
      <c r="E810" t="s">
        <v>219</v>
      </c>
      <c r="F810" t="s">
        <v>220</v>
      </c>
      <c r="G810" t="s">
        <v>84</v>
      </c>
      <c r="H810" t="s">
        <v>31</v>
      </c>
      <c r="I810" t="s">
        <v>67</v>
      </c>
      <c r="J810" t="s">
        <v>1128</v>
      </c>
      <c r="K810" t="s">
        <v>1129</v>
      </c>
      <c r="L810" t="s">
        <v>902</v>
      </c>
      <c r="M810" t="s">
        <v>795</v>
      </c>
      <c r="N810" t="s">
        <v>898</v>
      </c>
      <c r="O810" t="s">
        <v>903</v>
      </c>
      <c r="P810" t="s">
        <v>34</v>
      </c>
      <c r="Q810" t="s">
        <v>35</v>
      </c>
      <c r="R810" t="s">
        <v>1114</v>
      </c>
      <c r="S810" t="s">
        <v>1156</v>
      </c>
      <c r="T810" s="5">
        <v>5</v>
      </c>
      <c r="U810" s="6">
        <v>8.9</v>
      </c>
      <c r="V810" s="6">
        <v>5</v>
      </c>
      <c r="W810" s="8">
        <v>0</v>
      </c>
      <c r="X810" s="6">
        <f t="shared" si="60"/>
        <v>44.5</v>
      </c>
      <c r="Y810" s="6">
        <f t="shared" si="61"/>
        <v>25</v>
      </c>
      <c r="Z810" s="6">
        <f t="shared" si="62"/>
        <v>19.5</v>
      </c>
      <c r="AA810" t="s">
        <v>679</v>
      </c>
      <c r="AC810" s="5">
        <v>3</v>
      </c>
      <c r="AD810" t="s">
        <v>1553</v>
      </c>
      <c r="AE810" t="str">
        <f t="shared" si="63"/>
        <v>2024-02</v>
      </c>
      <c r="AF810" t="str">
        <f t="shared" si="64"/>
        <v>Q1-2024</v>
      </c>
    </row>
    <row r="811" spans="1:32" x14ac:dyDescent="0.3">
      <c r="A811" t="s">
        <v>2104</v>
      </c>
      <c r="B811" s="5">
        <v>1</v>
      </c>
      <c r="C811" s="4">
        <v>45886</v>
      </c>
      <c r="D811" s="4">
        <v>45887</v>
      </c>
      <c r="E811" t="s">
        <v>63</v>
      </c>
      <c r="F811" t="s">
        <v>64</v>
      </c>
      <c r="G811" t="s">
        <v>65</v>
      </c>
      <c r="H811" t="s">
        <v>23</v>
      </c>
      <c r="I811" t="s">
        <v>109</v>
      </c>
      <c r="J811" t="s">
        <v>1145</v>
      </c>
      <c r="K811" t="s">
        <v>1146</v>
      </c>
      <c r="L811" t="s">
        <v>780</v>
      </c>
      <c r="M811" t="s">
        <v>659</v>
      </c>
      <c r="N811" t="s">
        <v>754</v>
      </c>
      <c r="O811" t="s">
        <v>781</v>
      </c>
      <c r="P811" t="s">
        <v>48</v>
      </c>
      <c r="Q811" t="s">
        <v>49</v>
      </c>
      <c r="R811" t="s">
        <v>1114</v>
      </c>
      <c r="S811" t="s">
        <v>1156</v>
      </c>
      <c r="T811" s="5">
        <v>8</v>
      </c>
      <c r="U811" s="6">
        <v>22.53</v>
      </c>
      <c r="V811" s="6">
        <v>18.48</v>
      </c>
      <c r="W811" s="8">
        <v>0</v>
      </c>
      <c r="X811" s="6">
        <f t="shared" si="60"/>
        <v>180.24</v>
      </c>
      <c r="Y811" s="6">
        <f t="shared" si="61"/>
        <v>147.84</v>
      </c>
      <c r="Z811" s="6">
        <f t="shared" si="62"/>
        <v>32.400000000000006</v>
      </c>
      <c r="AA811" t="s">
        <v>679</v>
      </c>
      <c r="AC811" s="5"/>
      <c r="AD811" t="s">
        <v>1136</v>
      </c>
      <c r="AE811" t="str">
        <f t="shared" si="63"/>
        <v>2025-08</v>
      </c>
      <c r="AF811" t="str">
        <f t="shared" si="64"/>
        <v>Q3-2025</v>
      </c>
    </row>
    <row r="812" spans="1:32" x14ac:dyDescent="0.3">
      <c r="A812" t="s">
        <v>2105</v>
      </c>
      <c r="B812" s="5">
        <v>3</v>
      </c>
      <c r="C812" s="4">
        <v>46003</v>
      </c>
      <c r="D812" s="4">
        <v>46008</v>
      </c>
      <c r="E812" t="s">
        <v>473</v>
      </c>
      <c r="F812" t="s">
        <v>474</v>
      </c>
      <c r="G812" t="s">
        <v>80</v>
      </c>
      <c r="H812" t="s">
        <v>23</v>
      </c>
      <c r="I812" t="s">
        <v>109</v>
      </c>
      <c r="J812" t="s">
        <v>1138</v>
      </c>
      <c r="K812" t="s">
        <v>1371</v>
      </c>
      <c r="L812" t="s">
        <v>960</v>
      </c>
      <c r="M812" t="s">
        <v>929</v>
      </c>
      <c r="N812" t="s">
        <v>930</v>
      </c>
      <c r="O812" t="s">
        <v>961</v>
      </c>
      <c r="P812" t="s">
        <v>46</v>
      </c>
      <c r="Q812" t="s">
        <v>47</v>
      </c>
      <c r="R812" t="s">
        <v>1114</v>
      </c>
      <c r="S812" t="s">
        <v>1109</v>
      </c>
      <c r="T812" s="5">
        <v>15</v>
      </c>
      <c r="U812" s="6">
        <v>189.18</v>
      </c>
      <c r="V812" s="6">
        <v>139.97</v>
      </c>
      <c r="W812" s="8">
        <v>0.25650000000000001</v>
      </c>
      <c r="X812" s="6">
        <f t="shared" si="60"/>
        <v>2109.8299500000003</v>
      </c>
      <c r="Y812" s="6">
        <f t="shared" si="61"/>
        <v>2099.5500000000002</v>
      </c>
      <c r="Z812" s="6">
        <f t="shared" si="62"/>
        <v>10.279950000000099</v>
      </c>
      <c r="AA812" t="s">
        <v>679</v>
      </c>
      <c r="AC812" s="5">
        <v>2</v>
      </c>
      <c r="AD812" t="s">
        <v>1184</v>
      </c>
      <c r="AE812" t="str">
        <f t="shared" si="63"/>
        <v>2025-12</v>
      </c>
      <c r="AF812" t="str">
        <f t="shared" si="64"/>
        <v>Q4-2025</v>
      </c>
    </row>
    <row r="813" spans="1:32" x14ac:dyDescent="0.3">
      <c r="A813" t="s">
        <v>2106</v>
      </c>
      <c r="B813" s="5">
        <v>2</v>
      </c>
      <c r="C813" s="4">
        <v>45428</v>
      </c>
      <c r="D813" s="4">
        <v>45435</v>
      </c>
      <c r="E813" t="s">
        <v>546</v>
      </c>
      <c r="F813" t="s">
        <v>547</v>
      </c>
      <c r="G813" t="s">
        <v>65</v>
      </c>
      <c r="H813" t="s">
        <v>20</v>
      </c>
      <c r="I813" t="s">
        <v>90</v>
      </c>
      <c r="J813" t="s">
        <v>1171</v>
      </c>
      <c r="K813" t="s">
        <v>1183</v>
      </c>
      <c r="L813" t="s">
        <v>1044</v>
      </c>
      <c r="M813" t="s">
        <v>1002</v>
      </c>
      <c r="N813" t="s">
        <v>1034</v>
      </c>
      <c r="O813" t="s">
        <v>1045</v>
      </c>
      <c r="P813" t="s">
        <v>39</v>
      </c>
      <c r="Q813" t="s">
        <v>40</v>
      </c>
      <c r="R813" t="s">
        <v>1114</v>
      </c>
      <c r="S813" t="s">
        <v>1109</v>
      </c>
      <c r="T813" s="5">
        <v>11</v>
      </c>
      <c r="U813" s="6">
        <v>355.45</v>
      </c>
      <c r="V813" s="6">
        <v>175.12</v>
      </c>
      <c r="W813" s="8">
        <v>0</v>
      </c>
      <c r="X813" s="6">
        <f t="shared" si="60"/>
        <v>3909.95</v>
      </c>
      <c r="Y813" s="6">
        <f t="shared" si="61"/>
        <v>1926.3200000000002</v>
      </c>
      <c r="Z813" s="6">
        <f t="shared" si="62"/>
        <v>1983.6299999999997</v>
      </c>
      <c r="AA813" t="s">
        <v>679</v>
      </c>
      <c r="AC813" s="5">
        <v>1</v>
      </c>
      <c r="AD813" t="s">
        <v>1136</v>
      </c>
      <c r="AE813" t="str">
        <f t="shared" si="63"/>
        <v>2024-05</v>
      </c>
      <c r="AF813" t="str">
        <f t="shared" si="64"/>
        <v>Q2-2024</v>
      </c>
    </row>
    <row r="814" spans="1:32" x14ac:dyDescent="0.3">
      <c r="A814" t="s">
        <v>2107</v>
      </c>
      <c r="B814" s="5">
        <v>5</v>
      </c>
      <c r="C814" s="4">
        <v>45608</v>
      </c>
      <c r="D814" s="4">
        <v>45610</v>
      </c>
      <c r="E814" t="s">
        <v>171</v>
      </c>
      <c r="F814" t="s">
        <v>172</v>
      </c>
      <c r="G814" t="s">
        <v>104</v>
      </c>
      <c r="H814" t="s">
        <v>23</v>
      </c>
      <c r="I814" t="s">
        <v>81</v>
      </c>
      <c r="J814" t="s">
        <v>1163</v>
      </c>
      <c r="K814" t="s">
        <v>1407</v>
      </c>
      <c r="L814" t="s">
        <v>818</v>
      </c>
      <c r="M814" t="s">
        <v>795</v>
      </c>
      <c r="N814" t="s">
        <v>796</v>
      </c>
      <c r="O814" t="s">
        <v>819</v>
      </c>
      <c r="P814" t="s">
        <v>46</v>
      </c>
      <c r="Q814" t="s">
        <v>47</v>
      </c>
      <c r="R814" t="s">
        <v>1088</v>
      </c>
      <c r="S814" t="s">
        <v>1089</v>
      </c>
      <c r="T814" s="5">
        <v>7</v>
      </c>
      <c r="U814" s="6">
        <v>293.88</v>
      </c>
      <c r="V814" s="6">
        <v>197.79</v>
      </c>
      <c r="W814" s="8">
        <v>0</v>
      </c>
      <c r="X814" s="6">
        <f t="shared" si="60"/>
        <v>2057.16</v>
      </c>
      <c r="Y814" s="6">
        <f t="shared" si="61"/>
        <v>1384.53</v>
      </c>
      <c r="Z814" s="6">
        <f t="shared" si="62"/>
        <v>672.62999999999988</v>
      </c>
      <c r="AA814" t="s">
        <v>679</v>
      </c>
      <c r="AC814" s="5">
        <v>4</v>
      </c>
      <c r="AD814" t="s">
        <v>1110</v>
      </c>
      <c r="AE814" t="str">
        <f t="shared" si="63"/>
        <v>2024-11</v>
      </c>
      <c r="AF814" t="str">
        <f t="shared" si="64"/>
        <v>Q4-2024</v>
      </c>
    </row>
    <row r="815" spans="1:32" x14ac:dyDescent="0.3">
      <c r="A815" t="s">
        <v>2108</v>
      </c>
      <c r="B815" s="5">
        <v>4</v>
      </c>
      <c r="C815" s="4">
        <v>45460</v>
      </c>
      <c r="D815" s="4">
        <v>45460</v>
      </c>
      <c r="E815" t="s">
        <v>330</v>
      </c>
      <c r="F815" t="s">
        <v>331</v>
      </c>
      <c r="G815" t="s">
        <v>80</v>
      </c>
      <c r="H815" t="s">
        <v>41</v>
      </c>
      <c r="I815" t="s">
        <v>86</v>
      </c>
      <c r="J815" t="s">
        <v>1107</v>
      </c>
      <c r="K815" t="s">
        <v>1108</v>
      </c>
      <c r="L815" t="s">
        <v>873</v>
      </c>
      <c r="M815" t="s">
        <v>795</v>
      </c>
      <c r="N815" t="s">
        <v>837</v>
      </c>
      <c r="O815" t="s">
        <v>874</v>
      </c>
      <c r="P815" t="s">
        <v>53</v>
      </c>
      <c r="Q815" t="s">
        <v>54</v>
      </c>
      <c r="R815" t="s">
        <v>126</v>
      </c>
      <c r="S815" t="s">
        <v>1109</v>
      </c>
      <c r="T815" s="5">
        <v>11</v>
      </c>
      <c r="U815" s="6">
        <v>187.75</v>
      </c>
      <c r="V815" s="6">
        <v>121.31</v>
      </c>
      <c r="W815" s="8">
        <v>0</v>
      </c>
      <c r="X815" s="6">
        <f t="shared" si="60"/>
        <v>2065.25</v>
      </c>
      <c r="Y815" s="6">
        <f t="shared" si="61"/>
        <v>1334.41</v>
      </c>
      <c r="Z815" s="6">
        <f t="shared" si="62"/>
        <v>730.83999999999992</v>
      </c>
      <c r="AA815" t="s">
        <v>679</v>
      </c>
      <c r="AC815" s="5">
        <v>5</v>
      </c>
      <c r="AD815" t="s">
        <v>1096</v>
      </c>
      <c r="AE815" t="str">
        <f t="shared" si="63"/>
        <v>2024-06</v>
      </c>
      <c r="AF815" t="str">
        <f t="shared" si="64"/>
        <v>Q2-2024</v>
      </c>
    </row>
    <row r="816" spans="1:32" x14ac:dyDescent="0.3">
      <c r="A816" t="s">
        <v>2109</v>
      </c>
      <c r="B816" s="5">
        <v>5</v>
      </c>
      <c r="C816" s="4">
        <v>46022</v>
      </c>
      <c r="D816" s="4">
        <v>46026</v>
      </c>
      <c r="E816" t="s">
        <v>163</v>
      </c>
      <c r="F816" t="s">
        <v>164</v>
      </c>
      <c r="G816" t="s">
        <v>74</v>
      </c>
      <c r="H816" t="s">
        <v>31</v>
      </c>
      <c r="I816" t="s">
        <v>160</v>
      </c>
      <c r="J816" t="s">
        <v>1092</v>
      </c>
      <c r="K816" t="s">
        <v>1135</v>
      </c>
      <c r="L816" t="s">
        <v>970</v>
      </c>
      <c r="M816" t="s">
        <v>929</v>
      </c>
      <c r="N816" t="s">
        <v>971</v>
      </c>
      <c r="O816" t="s">
        <v>972</v>
      </c>
      <c r="P816" t="s">
        <v>46</v>
      </c>
      <c r="Q816" t="s">
        <v>47</v>
      </c>
      <c r="R816" t="s">
        <v>1114</v>
      </c>
      <c r="S816" t="s">
        <v>1109</v>
      </c>
      <c r="T816" s="5">
        <v>8</v>
      </c>
      <c r="U816" s="6">
        <v>174.36</v>
      </c>
      <c r="V816" s="6">
        <v>121.04</v>
      </c>
      <c r="W816" s="8">
        <v>0</v>
      </c>
      <c r="X816" s="6">
        <f t="shared" si="60"/>
        <v>1394.88</v>
      </c>
      <c r="Y816" s="6">
        <f t="shared" si="61"/>
        <v>968.32</v>
      </c>
      <c r="Z816" s="6">
        <f t="shared" si="62"/>
        <v>426.56000000000006</v>
      </c>
      <c r="AA816" t="s">
        <v>679</v>
      </c>
      <c r="AC816" s="5"/>
      <c r="AD816" t="s">
        <v>1105</v>
      </c>
      <c r="AE816" t="str">
        <f t="shared" si="63"/>
        <v>2025-12</v>
      </c>
      <c r="AF816" t="str">
        <f t="shared" si="64"/>
        <v>Q4-2025</v>
      </c>
    </row>
    <row r="817" spans="1:32" x14ac:dyDescent="0.3">
      <c r="A817" t="s">
        <v>2110</v>
      </c>
      <c r="B817" s="5">
        <v>2</v>
      </c>
      <c r="C817" s="4">
        <v>45901</v>
      </c>
      <c r="D817" s="4">
        <v>45905</v>
      </c>
      <c r="E817" t="s">
        <v>186</v>
      </c>
      <c r="F817" t="s">
        <v>187</v>
      </c>
      <c r="G817" t="s">
        <v>65</v>
      </c>
      <c r="H817" t="s">
        <v>20</v>
      </c>
      <c r="I817" t="s">
        <v>90</v>
      </c>
      <c r="J817" t="s">
        <v>1171</v>
      </c>
      <c r="K817" t="s">
        <v>1379</v>
      </c>
      <c r="L817" t="s">
        <v>950</v>
      </c>
      <c r="M817" t="s">
        <v>929</v>
      </c>
      <c r="N817" t="s">
        <v>930</v>
      </c>
      <c r="O817" t="s">
        <v>951</v>
      </c>
      <c r="P817" t="s">
        <v>42</v>
      </c>
      <c r="Q817" t="s">
        <v>43</v>
      </c>
      <c r="R817" t="s">
        <v>1114</v>
      </c>
      <c r="S817" t="s">
        <v>1089</v>
      </c>
      <c r="T817" s="5">
        <v>18</v>
      </c>
      <c r="U817" s="6">
        <v>319.16000000000003</v>
      </c>
      <c r="V817" s="6">
        <v>181.98</v>
      </c>
      <c r="W817" s="8">
        <v>4.4200000000000003E-2</v>
      </c>
      <c r="X817" s="6">
        <f t="shared" si="60"/>
        <v>5490.9563040000003</v>
      </c>
      <c r="Y817" s="6">
        <f t="shared" si="61"/>
        <v>3275.64</v>
      </c>
      <c r="Z817" s="6">
        <f t="shared" si="62"/>
        <v>2215.3163040000004</v>
      </c>
      <c r="AA817" t="s">
        <v>679</v>
      </c>
      <c r="AC817" s="5">
        <v>2</v>
      </c>
      <c r="AD817" t="s">
        <v>1110</v>
      </c>
      <c r="AE817" t="str">
        <f t="shared" si="63"/>
        <v>2025-09</v>
      </c>
      <c r="AF817" t="str">
        <f t="shared" si="64"/>
        <v>Q3-2025</v>
      </c>
    </row>
    <row r="818" spans="1:32" x14ac:dyDescent="0.3">
      <c r="A818" t="s">
        <v>2111</v>
      </c>
      <c r="B818" s="5">
        <v>5</v>
      </c>
      <c r="C818" s="4">
        <v>46017</v>
      </c>
      <c r="D818" s="4">
        <v>46031</v>
      </c>
      <c r="E818" t="s">
        <v>572</v>
      </c>
      <c r="F818" t="s">
        <v>573</v>
      </c>
      <c r="G818" t="s">
        <v>80</v>
      </c>
      <c r="H818" t="s">
        <v>31</v>
      </c>
      <c r="I818" t="s">
        <v>67</v>
      </c>
      <c r="J818" t="s">
        <v>1207</v>
      </c>
      <c r="K818" t="s">
        <v>1698</v>
      </c>
      <c r="L818" t="s">
        <v>841</v>
      </c>
      <c r="M818" t="s">
        <v>795</v>
      </c>
      <c r="N818" t="s">
        <v>837</v>
      </c>
      <c r="O818" t="s">
        <v>842</v>
      </c>
      <c r="P818" t="s">
        <v>34</v>
      </c>
      <c r="Q818" t="s">
        <v>35</v>
      </c>
      <c r="R818" t="s">
        <v>1114</v>
      </c>
      <c r="S818" t="s">
        <v>1156</v>
      </c>
      <c r="T818" s="5">
        <v>14</v>
      </c>
      <c r="U818" s="6">
        <v>7.94</v>
      </c>
      <c r="V818" s="6">
        <v>5</v>
      </c>
      <c r="W818" s="8">
        <v>0</v>
      </c>
      <c r="X818" s="6">
        <f t="shared" si="60"/>
        <v>111.16000000000001</v>
      </c>
      <c r="Y818" s="6">
        <f t="shared" si="61"/>
        <v>70</v>
      </c>
      <c r="Z818" s="6">
        <f t="shared" si="62"/>
        <v>41.160000000000011</v>
      </c>
      <c r="AA818" t="s">
        <v>679</v>
      </c>
      <c r="AC818" s="5"/>
      <c r="AD818" t="s">
        <v>1090</v>
      </c>
      <c r="AE818" t="str">
        <f t="shared" si="63"/>
        <v>2025-12</v>
      </c>
      <c r="AF818" t="str">
        <f t="shared" si="64"/>
        <v>Q4-2025</v>
      </c>
    </row>
    <row r="819" spans="1:32" x14ac:dyDescent="0.3">
      <c r="A819" t="s">
        <v>2112</v>
      </c>
      <c r="B819" s="5">
        <v>3</v>
      </c>
      <c r="C819" s="4">
        <v>45366</v>
      </c>
      <c r="D819" s="4">
        <v>45372</v>
      </c>
      <c r="E819" t="s">
        <v>467</v>
      </c>
      <c r="F819" t="s">
        <v>468</v>
      </c>
      <c r="G819" t="s">
        <v>80</v>
      </c>
      <c r="H819" t="s">
        <v>23</v>
      </c>
      <c r="I819" t="s">
        <v>81</v>
      </c>
      <c r="J819" t="s">
        <v>1119</v>
      </c>
      <c r="K819" t="s">
        <v>1291</v>
      </c>
      <c r="L819" t="s">
        <v>1044</v>
      </c>
      <c r="M819" t="s">
        <v>1002</v>
      </c>
      <c r="N819" t="s">
        <v>1034</v>
      </c>
      <c r="O819" t="s">
        <v>1045</v>
      </c>
      <c r="P819" t="s">
        <v>29</v>
      </c>
      <c r="Q819" t="s">
        <v>30</v>
      </c>
      <c r="R819" t="s">
        <v>1094</v>
      </c>
      <c r="S819" t="s">
        <v>1095</v>
      </c>
      <c r="T819" s="5">
        <v>8</v>
      </c>
      <c r="U819" s="6">
        <v>262.32</v>
      </c>
      <c r="V819" s="6">
        <v>175.12</v>
      </c>
      <c r="W819" s="8">
        <v>0</v>
      </c>
      <c r="X819" s="6">
        <f t="shared" si="60"/>
        <v>2098.56</v>
      </c>
      <c r="Y819" s="6">
        <f t="shared" si="61"/>
        <v>1400.96</v>
      </c>
      <c r="Z819" s="6">
        <f t="shared" si="62"/>
        <v>697.59999999999991</v>
      </c>
      <c r="AA819" t="s">
        <v>679</v>
      </c>
      <c r="AC819" s="5">
        <v>4</v>
      </c>
      <c r="AD819" t="s">
        <v>1090</v>
      </c>
      <c r="AE819" t="str">
        <f t="shared" si="63"/>
        <v>2024-03</v>
      </c>
      <c r="AF819" t="str">
        <f t="shared" si="64"/>
        <v>Q1-2024</v>
      </c>
    </row>
    <row r="820" spans="1:32" x14ac:dyDescent="0.3">
      <c r="A820" t="s">
        <v>2113</v>
      </c>
      <c r="B820" s="5">
        <v>4</v>
      </c>
      <c r="C820" s="4">
        <v>45494</v>
      </c>
      <c r="D820" s="4">
        <v>45508</v>
      </c>
      <c r="E820" t="s">
        <v>326</v>
      </c>
      <c r="F820" t="s">
        <v>327</v>
      </c>
      <c r="G820" t="s">
        <v>65</v>
      </c>
      <c r="H820" t="s">
        <v>23</v>
      </c>
      <c r="I820" t="s">
        <v>81</v>
      </c>
      <c r="J820" t="s">
        <v>1163</v>
      </c>
      <c r="K820" t="s">
        <v>1219</v>
      </c>
      <c r="L820" t="s">
        <v>766</v>
      </c>
      <c r="M820" t="s">
        <v>659</v>
      </c>
      <c r="N820" t="s">
        <v>754</v>
      </c>
      <c r="O820" t="s">
        <v>767</v>
      </c>
      <c r="P820" t="s">
        <v>34</v>
      </c>
      <c r="Q820" t="s">
        <v>35</v>
      </c>
      <c r="R820" t="s">
        <v>1114</v>
      </c>
      <c r="S820" t="s">
        <v>1109</v>
      </c>
      <c r="T820" s="5">
        <v>15</v>
      </c>
      <c r="U820" s="6">
        <v>169.42</v>
      </c>
      <c r="V820" s="6">
        <v>97.56</v>
      </c>
      <c r="W820" s="8">
        <v>4.7600000000000003E-2</v>
      </c>
      <c r="X820" s="6">
        <f t="shared" si="60"/>
        <v>2420.33412</v>
      </c>
      <c r="Y820" s="6">
        <f t="shared" si="61"/>
        <v>1463.4</v>
      </c>
      <c r="Z820" s="6">
        <f t="shared" si="62"/>
        <v>956.93411999999989</v>
      </c>
      <c r="AA820" t="s">
        <v>679</v>
      </c>
      <c r="AC820" s="5">
        <v>3</v>
      </c>
      <c r="AD820" t="s">
        <v>1136</v>
      </c>
      <c r="AE820" t="str">
        <f t="shared" si="63"/>
        <v>2024-07</v>
      </c>
      <c r="AF820" t="str">
        <f t="shared" si="64"/>
        <v>Q3-2024</v>
      </c>
    </row>
    <row r="821" spans="1:32" x14ac:dyDescent="0.3">
      <c r="A821" t="s">
        <v>2114</v>
      </c>
      <c r="B821" s="5">
        <v>5</v>
      </c>
      <c r="C821" s="4">
        <v>45713</v>
      </c>
      <c r="D821" s="4">
        <v>45717</v>
      </c>
      <c r="E821" t="s">
        <v>594</v>
      </c>
      <c r="F821" t="s">
        <v>595</v>
      </c>
      <c r="G821" t="s">
        <v>65</v>
      </c>
      <c r="H821" t="s">
        <v>41</v>
      </c>
      <c r="I821" t="s">
        <v>75</v>
      </c>
      <c r="J821" t="s">
        <v>1142</v>
      </c>
      <c r="K821" t="s">
        <v>1198</v>
      </c>
      <c r="L821" t="s">
        <v>920</v>
      </c>
      <c r="M821" t="s">
        <v>795</v>
      </c>
      <c r="N821" t="s">
        <v>898</v>
      </c>
      <c r="O821" t="s">
        <v>921</v>
      </c>
      <c r="P821" t="s">
        <v>32</v>
      </c>
      <c r="Q821" t="s">
        <v>33</v>
      </c>
      <c r="R821" t="s">
        <v>1088</v>
      </c>
      <c r="S821" t="s">
        <v>1100</v>
      </c>
      <c r="T821" s="5">
        <v>133</v>
      </c>
      <c r="U821" s="6">
        <v>100.55</v>
      </c>
      <c r="V821" s="6">
        <v>58.77</v>
      </c>
      <c r="W821" s="8">
        <v>0.19189999999999999</v>
      </c>
      <c r="X821" s="6">
        <f t="shared" si="60"/>
        <v>10806.842515</v>
      </c>
      <c r="Y821" s="6">
        <f t="shared" si="61"/>
        <v>7816.4100000000008</v>
      </c>
      <c r="Z821" s="6">
        <f t="shared" si="62"/>
        <v>2990.4325149999995</v>
      </c>
      <c r="AA821" t="s">
        <v>679</v>
      </c>
      <c r="AC821" s="5">
        <v>3</v>
      </c>
      <c r="AE821" t="str">
        <f t="shared" si="63"/>
        <v>2025-02</v>
      </c>
      <c r="AF821" t="str">
        <f t="shared" si="64"/>
        <v>Q1-2025</v>
      </c>
    </row>
    <row r="822" spans="1:32" x14ac:dyDescent="0.3">
      <c r="A822" t="s">
        <v>2115</v>
      </c>
      <c r="B822" s="5">
        <v>4</v>
      </c>
      <c r="C822" s="4">
        <v>45688</v>
      </c>
      <c r="D822" s="4">
        <v>45693</v>
      </c>
      <c r="E822" t="s">
        <v>192</v>
      </c>
      <c r="F822" t="s">
        <v>193</v>
      </c>
      <c r="G822" t="s">
        <v>80</v>
      </c>
      <c r="H822" t="s">
        <v>20</v>
      </c>
      <c r="I822" t="s">
        <v>90</v>
      </c>
      <c r="J822" t="s">
        <v>1262</v>
      </c>
      <c r="K822" t="s">
        <v>1263</v>
      </c>
      <c r="L822" t="s">
        <v>798</v>
      </c>
      <c r="M822" t="s">
        <v>795</v>
      </c>
      <c r="N822" t="s">
        <v>796</v>
      </c>
      <c r="O822" t="s">
        <v>799</v>
      </c>
      <c r="P822" t="s">
        <v>21</v>
      </c>
      <c r="Q822" t="s">
        <v>22</v>
      </c>
      <c r="R822" t="s">
        <v>1114</v>
      </c>
      <c r="S822" t="s">
        <v>1156</v>
      </c>
      <c r="T822" s="5">
        <v>13</v>
      </c>
      <c r="U822" s="6">
        <v>198.47</v>
      </c>
      <c r="V822" s="6">
        <v>120.52</v>
      </c>
      <c r="W822" s="8">
        <v>0</v>
      </c>
      <c r="X822" s="6">
        <f t="shared" si="60"/>
        <v>2580.11</v>
      </c>
      <c r="Y822" s="6">
        <f t="shared" si="61"/>
        <v>1566.76</v>
      </c>
      <c r="Z822" s="6">
        <f t="shared" si="62"/>
        <v>1013.3500000000001</v>
      </c>
      <c r="AA822" t="s">
        <v>679</v>
      </c>
      <c r="AC822" s="5">
        <v>5</v>
      </c>
      <c r="AD822" t="s">
        <v>1369</v>
      </c>
      <c r="AE822" t="str">
        <f t="shared" si="63"/>
        <v>2025-01</v>
      </c>
      <c r="AF822" t="str">
        <f t="shared" si="64"/>
        <v>Q1-2025</v>
      </c>
    </row>
    <row r="823" spans="1:32" x14ac:dyDescent="0.3">
      <c r="A823" t="s">
        <v>2116</v>
      </c>
      <c r="B823" s="5">
        <v>4</v>
      </c>
      <c r="C823" s="4">
        <v>45339</v>
      </c>
      <c r="D823" s="4">
        <v>45350</v>
      </c>
      <c r="E823" t="s">
        <v>98</v>
      </c>
      <c r="F823" t="s">
        <v>99</v>
      </c>
      <c r="G823" t="s">
        <v>84</v>
      </c>
      <c r="H823" t="s">
        <v>20</v>
      </c>
      <c r="I823" t="s">
        <v>112</v>
      </c>
      <c r="J823" t="s">
        <v>1201</v>
      </c>
      <c r="K823" t="s">
        <v>1202</v>
      </c>
      <c r="L823" t="s">
        <v>989</v>
      </c>
      <c r="M823" t="s">
        <v>929</v>
      </c>
      <c r="N823" t="s">
        <v>971</v>
      </c>
      <c r="O823" t="s">
        <v>990</v>
      </c>
      <c r="P823" t="s">
        <v>29</v>
      </c>
      <c r="Q823" t="s">
        <v>30</v>
      </c>
      <c r="R823" t="s">
        <v>1114</v>
      </c>
      <c r="S823" t="s">
        <v>1109</v>
      </c>
      <c r="T823" s="5">
        <v>11</v>
      </c>
      <c r="U823" s="6">
        <v>321.69</v>
      </c>
      <c r="V823" s="6">
        <v>177.7</v>
      </c>
      <c r="W823" s="8">
        <v>0</v>
      </c>
      <c r="X823" s="6">
        <f t="shared" si="60"/>
        <v>3538.59</v>
      </c>
      <c r="Y823" s="6">
        <f t="shared" si="61"/>
        <v>1954.6999999999998</v>
      </c>
      <c r="Z823" s="6">
        <f t="shared" si="62"/>
        <v>1583.8900000000003</v>
      </c>
      <c r="AA823" t="s">
        <v>679</v>
      </c>
      <c r="AC823" s="5"/>
      <c r="AD823" t="s">
        <v>1140</v>
      </c>
      <c r="AE823" t="str">
        <f t="shared" si="63"/>
        <v>2024-02</v>
      </c>
      <c r="AF823" t="str">
        <f t="shared" si="64"/>
        <v>Q1-2024</v>
      </c>
    </row>
    <row r="824" spans="1:32" x14ac:dyDescent="0.3">
      <c r="A824" t="s">
        <v>2117</v>
      </c>
      <c r="B824" s="5">
        <v>5</v>
      </c>
      <c r="C824" s="4">
        <v>45309</v>
      </c>
      <c r="D824" s="4">
        <v>45318</v>
      </c>
      <c r="E824" t="s">
        <v>150</v>
      </c>
      <c r="F824" t="s">
        <v>151</v>
      </c>
      <c r="G824" t="s">
        <v>84</v>
      </c>
      <c r="H824" t="s">
        <v>41</v>
      </c>
      <c r="I824" t="s">
        <v>75</v>
      </c>
      <c r="J824" t="s">
        <v>1142</v>
      </c>
      <c r="K824" t="s">
        <v>1205</v>
      </c>
      <c r="L824" t="s">
        <v>804</v>
      </c>
      <c r="M824" t="s">
        <v>795</v>
      </c>
      <c r="N824" t="s">
        <v>796</v>
      </c>
      <c r="O824" t="s">
        <v>805</v>
      </c>
      <c r="P824" t="s">
        <v>32</v>
      </c>
      <c r="Q824" t="s">
        <v>33</v>
      </c>
      <c r="R824" t="s">
        <v>126</v>
      </c>
      <c r="S824" t="s">
        <v>1156</v>
      </c>
      <c r="T824" s="5">
        <v>4</v>
      </c>
      <c r="U824" s="6">
        <v>185.8</v>
      </c>
      <c r="V824" s="6">
        <v>129.88</v>
      </c>
      <c r="W824" s="8">
        <v>0</v>
      </c>
      <c r="X824" s="6">
        <f t="shared" si="60"/>
        <v>743.2</v>
      </c>
      <c r="Y824" s="6">
        <f t="shared" si="61"/>
        <v>519.52</v>
      </c>
      <c r="Z824" s="6">
        <f t="shared" si="62"/>
        <v>223.68000000000006</v>
      </c>
      <c r="AA824" t="s">
        <v>662</v>
      </c>
      <c r="AB824" t="s">
        <v>1414</v>
      </c>
      <c r="AC824" s="5">
        <v>3</v>
      </c>
      <c r="AD824" t="s">
        <v>1105</v>
      </c>
      <c r="AE824" t="str">
        <f t="shared" si="63"/>
        <v>2024-01</v>
      </c>
      <c r="AF824" t="str">
        <f t="shared" si="64"/>
        <v>Q1-2024</v>
      </c>
    </row>
    <row r="825" spans="1:32" x14ac:dyDescent="0.3">
      <c r="A825" t="s">
        <v>2118</v>
      </c>
      <c r="B825" s="5">
        <v>5</v>
      </c>
      <c r="C825" s="4">
        <v>45311</v>
      </c>
      <c r="D825" s="4">
        <v>45320</v>
      </c>
      <c r="E825" t="s">
        <v>309</v>
      </c>
      <c r="F825" t="s">
        <v>220</v>
      </c>
      <c r="G825" t="s">
        <v>74</v>
      </c>
      <c r="H825" t="s">
        <v>31</v>
      </c>
      <c r="I825" t="s">
        <v>160</v>
      </c>
      <c r="J825" t="s">
        <v>1125</v>
      </c>
      <c r="K825" t="s">
        <v>1126</v>
      </c>
      <c r="L825" t="s">
        <v>968</v>
      </c>
      <c r="M825" t="s">
        <v>929</v>
      </c>
      <c r="N825" t="s">
        <v>930</v>
      </c>
      <c r="O825" t="s">
        <v>969</v>
      </c>
      <c r="P825" t="s">
        <v>50</v>
      </c>
      <c r="Q825" t="s">
        <v>51</v>
      </c>
      <c r="R825" t="s">
        <v>1114</v>
      </c>
      <c r="S825" t="s">
        <v>1156</v>
      </c>
      <c r="T825" s="5">
        <v>303</v>
      </c>
      <c r="U825" s="6">
        <v>178.92</v>
      </c>
      <c r="V825" s="6">
        <v>133.06</v>
      </c>
      <c r="W825" s="8">
        <v>0</v>
      </c>
      <c r="X825" s="6">
        <f t="shared" si="60"/>
        <v>54212.759999999995</v>
      </c>
      <c r="Y825" s="6">
        <f t="shared" si="61"/>
        <v>40317.18</v>
      </c>
      <c r="Z825" s="6">
        <f t="shared" si="62"/>
        <v>13895.579999999994</v>
      </c>
      <c r="AA825" t="s">
        <v>679</v>
      </c>
      <c r="AC825" s="5">
        <v>3</v>
      </c>
      <c r="AD825" t="s">
        <v>1101</v>
      </c>
      <c r="AE825" t="str">
        <f t="shared" si="63"/>
        <v>2024-01</v>
      </c>
      <c r="AF825" t="str">
        <f t="shared" si="64"/>
        <v>Q1-2024</v>
      </c>
    </row>
    <row r="826" spans="1:32" x14ac:dyDescent="0.3">
      <c r="A826" t="s">
        <v>2119</v>
      </c>
      <c r="B826" s="5">
        <v>3</v>
      </c>
      <c r="C826" s="4">
        <v>45830</v>
      </c>
      <c r="D826" s="4">
        <v>45834</v>
      </c>
      <c r="E826" t="s">
        <v>94</v>
      </c>
      <c r="F826" t="s">
        <v>95</v>
      </c>
      <c r="G826" t="s">
        <v>74</v>
      </c>
      <c r="H826" t="s">
        <v>41</v>
      </c>
      <c r="I826" t="s">
        <v>86</v>
      </c>
      <c r="J826" t="s">
        <v>1107</v>
      </c>
      <c r="K826" t="s">
        <v>1439</v>
      </c>
      <c r="L826" t="s">
        <v>682</v>
      </c>
      <c r="M826" t="s">
        <v>659</v>
      </c>
      <c r="N826" t="s">
        <v>660</v>
      </c>
      <c r="O826" t="s">
        <v>683</v>
      </c>
      <c r="P826" t="s">
        <v>27</v>
      </c>
      <c r="Q826" t="s">
        <v>28</v>
      </c>
      <c r="R826" t="s">
        <v>1088</v>
      </c>
      <c r="S826" t="s">
        <v>1156</v>
      </c>
      <c r="T826" s="5">
        <v>20</v>
      </c>
      <c r="U826" s="6">
        <v>7.42</v>
      </c>
      <c r="V826" s="6">
        <v>5</v>
      </c>
      <c r="W826" s="8">
        <v>0</v>
      </c>
      <c r="X826" s="6">
        <f t="shared" si="60"/>
        <v>148.4</v>
      </c>
      <c r="Y826" s="6">
        <f t="shared" si="61"/>
        <v>100</v>
      </c>
      <c r="Z826" s="6">
        <f t="shared" si="62"/>
        <v>48.400000000000006</v>
      </c>
      <c r="AA826" t="s">
        <v>679</v>
      </c>
      <c r="AC826" s="5">
        <v>3</v>
      </c>
      <c r="AD826" t="s">
        <v>1123</v>
      </c>
      <c r="AE826" t="str">
        <f t="shared" si="63"/>
        <v>2025-06</v>
      </c>
      <c r="AF826" t="str">
        <f t="shared" si="64"/>
        <v>Q2-2025</v>
      </c>
    </row>
    <row r="827" spans="1:32" x14ac:dyDescent="0.3">
      <c r="A827" t="s">
        <v>2120</v>
      </c>
      <c r="B827" s="5">
        <v>3</v>
      </c>
      <c r="C827" s="4">
        <v>46000</v>
      </c>
      <c r="D827" s="4">
        <v>46008</v>
      </c>
      <c r="E827" t="s">
        <v>287</v>
      </c>
      <c r="F827" t="s">
        <v>288</v>
      </c>
      <c r="G827" t="s">
        <v>104</v>
      </c>
      <c r="H827" t="s">
        <v>23</v>
      </c>
      <c r="I827" t="s">
        <v>81</v>
      </c>
      <c r="J827" t="s">
        <v>1119</v>
      </c>
      <c r="K827" t="s">
        <v>1291</v>
      </c>
      <c r="L827" t="s">
        <v>828</v>
      </c>
      <c r="M827" t="s">
        <v>795</v>
      </c>
      <c r="N827" t="s">
        <v>796</v>
      </c>
      <c r="O827" t="s">
        <v>829</v>
      </c>
      <c r="P827" t="s">
        <v>48</v>
      </c>
      <c r="Q827" t="s">
        <v>49</v>
      </c>
      <c r="R827" t="s">
        <v>1114</v>
      </c>
      <c r="S827" t="s">
        <v>1089</v>
      </c>
      <c r="T827" s="5">
        <v>22</v>
      </c>
      <c r="U827" s="6">
        <v>184.21</v>
      </c>
      <c r="V827" s="6">
        <v>151.4</v>
      </c>
      <c r="W827" s="8">
        <v>0</v>
      </c>
      <c r="X827" s="6">
        <f t="shared" si="60"/>
        <v>4052.6200000000003</v>
      </c>
      <c r="Y827" s="6">
        <f t="shared" si="61"/>
        <v>3330.8</v>
      </c>
      <c r="Z827" s="6">
        <f t="shared" si="62"/>
        <v>721.82000000000016</v>
      </c>
      <c r="AA827" t="s">
        <v>679</v>
      </c>
      <c r="AC827" s="5">
        <v>1</v>
      </c>
      <c r="AD827" t="s">
        <v>1136</v>
      </c>
      <c r="AE827" t="str">
        <f t="shared" si="63"/>
        <v>2025-12</v>
      </c>
      <c r="AF827" t="str">
        <f t="shared" si="64"/>
        <v>Q4-2025</v>
      </c>
    </row>
    <row r="828" spans="1:32" x14ac:dyDescent="0.3">
      <c r="A828" t="s">
        <v>2121</v>
      </c>
      <c r="B828" s="5">
        <v>5</v>
      </c>
      <c r="C828" s="4">
        <v>45583</v>
      </c>
      <c r="D828" s="4">
        <v>45585</v>
      </c>
      <c r="E828" t="s">
        <v>558</v>
      </c>
      <c r="F828" t="s">
        <v>559</v>
      </c>
      <c r="G828" t="s">
        <v>74</v>
      </c>
      <c r="H828" t="s">
        <v>31</v>
      </c>
      <c r="I828" t="s">
        <v>160</v>
      </c>
      <c r="J828" t="s">
        <v>1125</v>
      </c>
      <c r="K828" t="s">
        <v>1386</v>
      </c>
      <c r="L828" t="s">
        <v>893</v>
      </c>
      <c r="M828" t="s">
        <v>795</v>
      </c>
      <c r="N828" t="s">
        <v>837</v>
      </c>
      <c r="O828" t="s">
        <v>894</v>
      </c>
      <c r="P828" t="s">
        <v>27</v>
      </c>
      <c r="Q828" t="s">
        <v>28</v>
      </c>
      <c r="R828" t="s">
        <v>1114</v>
      </c>
      <c r="S828" t="s">
        <v>1095</v>
      </c>
      <c r="T828" s="5">
        <v>5</v>
      </c>
      <c r="U828" s="6">
        <v>168.35</v>
      </c>
      <c r="V828" s="6">
        <v>95.07</v>
      </c>
      <c r="W828" s="8">
        <v>0</v>
      </c>
      <c r="X828" s="6">
        <f t="shared" si="60"/>
        <v>841.75</v>
      </c>
      <c r="Y828" s="6">
        <f t="shared" si="61"/>
        <v>475.34999999999997</v>
      </c>
      <c r="Z828" s="6">
        <f t="shared" si="62"/>
        <v>366.40000000000003</v>
      </c>
      <c r="AA828" t="s">
        <v>679</v>
      </c>
      <c r="AC828" s="5">
        <v>5</v>
      </c>
      <c r="AD828" t="s">
        <v>1123</v>
      </c>
      <c r="AE828" t="str">
        <f t="shared" si="63"/>
        <v>2024-10</v>
      </c>
      <c r="AF828" t="str">
        <f t="shared" si="64"/>
        <v>Q4-2024</v>
      </c>
    </row>
    <row r="829" spans="1:32" x14ac:dyDescent="0.3">
      <c r="A829" t="s">
        <v>2122</v>
      </c>
      <c r="B829" s="5">
        <v>3</v>
      </c>
      <c r="C829" s="4">
        <v>45447</v>
      </c>
      <c r="D829" s="4">
        <v>45461</v>
      </c>
      <c r="E829" t="s">
        <v>447</v>
      </c>
      <c r="F829" t="s">
        <v>448</v>
      </c>
      <c r="G829" t="s">
        <v>74</v>
      </c>
      <c r="H829" t="s">
        <v>31</v>
      </c>
      <c r="I829" t="s">
        <v>160</v>
      </c>
      <c r="J829" t="s">
        <v>1092</v>
      </c>
      <c r="K829" t="s">
        <v>1093</v>
      </c>
      <c r="L829" t="s">
        <v>989</v>
      </c>
      <c r="M829" t="s">
        <v>929</v>
      </c>
      <c r="N829" t="s">
        <v>971</v>
      </c>
      <c r="O829" t="s">
        <v>990</v>
      </c>
      <c r="P829" t="s">
        <v>39</v>
      </c>
      <c r="Q829" t="s">
        <v>40</v>
      </c>
      <c r="R829" t="s">
        <v>1094</v>
      </c>
      <c r="S829" t="s">
        <v>1109</v>
      </c>
      <c r="T829" s="5">
        <v>11</v>
      </c>
      <c r="U829" s="6">
        <v>322.89999999999998</v>
      </c>
      <c r="V829" s="6">
        <v>177.7</v>
      </c>
      <c r="W829" s="8">
        <v>0.17630000000000001</v>
      </c>
      <c r="X829" s="6">
        <f t="shared" si="60"/>
        <v>2925.7000299999995</v>
      </c>
      <c r="Y829" s="6">
        <f t="shared" si="61"/>
        <v>1954.6999999999998</v>
      </c>
      <c r="Z829" s="6">
        <f t="shared" si="62"/>
        <v>971.0000299999997</v>
      </c>
      <c r="AA829" t="s">
        <v>679</v>
      </c>
      <c r="AC829" s="5">
        <v>1</v>
      </c>
      <c r="AD829" t="s">
        <v>1110</v>
      </c>
      <c r="AE829" t="str">
        <f t="shared" si="63"/>
        <v>2024-06</v>
      </c>
      <c r="AF829" t="str">
        <f t="shared" si="64"/>
        <v>Q2-2024</v>
      </c>
    </row>
    <row r="830" spans="1:32" x14ac:dyDescent="0.3">
      <c r="A830" t="s">
        <v>2123</v>
      </c>
      <c r="B830" s="5">
        <v>5</v>
      </c>
      <c r="C830" s="4">
        <v>45354</v>
      </c>
      <c r="D830" s="4">
        <v>45354</v>
      </c>
      <c r="E830" t="s">
        <v>509</v>
      </c>
      <c r="F830" t="s">
        <v>2124</v>
      </c>
      <c r="G830" t="s">
        <v>84</v>
      </c>
      <c r="H830" t="s">
        <v>31</v>
      </c>
      <c r="I830" t="s">
        <v>127</v>
      </c>
      <c r="J830" t="s">
        <v>1098</v>
      </c>
      <c r="K830" t="s">
        <v>1161</v>
      </c>
      <c r="L830" t="s">
        <v>1015</v>
      </c>
      <c r="M830" t="s">
        <v>1002</v>
      </c>
      <c r="N830" t="s">
        <v>1003</v>
      </c>
      <c r="O830" t="s">
        <v>1016</v>
      </c>
      <c r="P830" t="s">
        <v>53</v>
      </c>
      <c r="Q830" t="s">
        <v>54</v>
      </c>
      <c r="R830" t="s">
        <v>1094</v>
      </c>
      <c r="S830" t="s">
        <v>1089</v>
      </c>
      <c r="T830" s="5">
        <v>30</v>
      </c>
      <c r="U830" s="6">
        <v>159.83000000000001</v>
      </c>
      <c r="V830" s="6">
        <v>109.81</v>
      </c>
      <c r="W830" s="8">
        <v>0</v>
      </c>
      <c r="X830" s="6">
        <f t="shared" si="60"/>
        <v>4794.9000000000005</v>
      </c>
      <c r="Y830" s="6">
        <f t="shared" si="61"/>
        <v>3294.3</v>
      </c>
      <c r="Z830" s="6">
        <f t="shared" si="62"/>
        <v>1500.6000000000004</v>
      </c>
      <c r="AA830" t="s">
        <v>679</v>
      </c>
      <c r="AC830" s="5">
        <v>5</v>
      </c>
      <c r="AD830" t="s">
        <v>1101</v>
      </c>
      <c r="AE830" t="str">
        <f t="shared" si="63"/>
        <v>2024-03</v>
      </c>
      <c r="AF830" t="str">
        <f t="shared" si="64"/>
        <v>Q1-2024</v>
      </c>
    </row>
    <row r="831" spans="1:32" x14ac:dyDescent="0.3">
      <c r="A831" t="s">
        <v>2125</v>
      </c>
      <c r="B831" s="5">
        <v>2</v>
      </c>
      <c r="C831" s="4">
        <v>45770</v>
      </c>
      <c r="D831" s="4">
        <v>45778</v>
      </c>
      <c r="E831" t="s">
        <v>647</v>
      </c>
      <c r="F831" t="s">
        <v>648</v>
      </c>
      <c r="G831" t="s">
        <v>74</v>
      </c>
      <c r="H831" t="s">
        <v>23</v>
      </c>
      <c r="I831" t="s">
        <v>109</v>
      </c>
      <c r="J831" t="s">
        <v>1138</v>
      </c>
      <c r="K831" t="s">
        <v>1139</v>
      </c>
      <c r="L831" t="s">
        <v>690</v>
      </c>
      <c r="M831" t="s">
        <v>659</v>
      </c>
      <c r="N831" t="s">
        <v>660</v>
      </c>
      <c r="O831" t="s">
        <v>691</v>
      </c>
      <c r="P831" t="s">
        <v>39</v>
      </c>
      <c r="Q831" t="s">
        <v>40</v>
      </c>
      <c r="R831" t="s">
        <v>1094</v>
      </c>
      <c r="S831" t="s">
        <v>1095</v>
      </c>
      <c r="T831" s="5">
        <v>18</v>
      </c>
      <c r="U831" s="6">
        <v>86.11</v>
      </c>
      <c r="V831" s="6">
        <v>57.12</v>
      </c>
      <c r="W831" s="8">
        <v>0.18890000000000001</v>
      </c>
      <c r="X831" s="6">
        <f t="shared" si="60"/>
        <v>1257.188778</v>
      </c>
      <c r="Y831" s="6">
        <f t="shared" si="61"/>
        <v>1028.1599999999999</v>
      </c>
      <c r="Z831" s="6">
        <f t="shared" si="62"/>
        <v>229.0287780000001</v>
      </c>
      <c r="AA831" t="s">
        <v>662</v>
      </c>
      <c r="AB831" t="s">
        <v>1414</v>
      </c>
      <c r="AC831" s="5">
        <v>1</v>
      </c>
      <c r="AD831" t="s">
        <v>1090</v>
      </c>
      <c r="AE831" t="str">
        <f t="shared" si="63"/>
        <v>2025-04</v>
      </c>
      <c r="AF831" t="str">
        <f t="shared" si="64"/>
        <v>Q2-2025</v>
      </c>
    </row>
    <row r="832" spans="1:32" x14ac:dyDescent="0.3">
      <c r="A832" t="s">
        <v>2126</v>
      </c>
      <c r="B832" s="5">
        <v>5</v>
      </c>
      <c r="C832" s="4">
        <v>45705</v>
      </c>
      <c r="D832" s="4">
        <v>45715</v>
      </c>
      <c r="E832" t="s">
        <v>199</v>
      </c>
      <c r="F832" t="s">
        <v>200</v>
      </c>
      <c r="G832" t="s">
        <v>74</v>
      </c>
      <c r="H832" t="s">
        <v>23</v>
      </c>
      <c r="I832" t="s">
        <v>81</v>
      </c>
      <c r="J832" t="s">
        <v>1163</v>
      </c>
      <c r="K832" t="s">
        <v>1407</v>
      </c>
      <c r="L832" t="s">
        <v>706</v>
      </c>
      <c r="M832" t="s">
        <v>659</v>
      </c>
      <c r="N832" t="s">
        <v>660</v>
      </c>
      <c r="O832" t="s">
        <v>707</v>
      </c>
      <c r="P832" t="s">
        <v>39</v>
      </c>
      <c r="Q832" t="s">
        <v>40</v>
      </c>
      <c r="R832" t="s">
        <v>1114</v>
      </c>
      <c r="S832" t="s">
        <v>1156</v>
      </c>
      <c r="T832" s="5">
        <v>5</v>
      </c>
      <c r="U832" s="6">
        <v>73.66</v>
      </c>
      <c r="V832" s="6">
        <v>51.44</v>
      </c>
      <c r="W832" s="8">
        <v>0.19259999999999999</v>
      </c>
      <c r="X832" s="6">
        <f t="shared" si="60"/>
        <v>297.36541999999997</v>
      </c>
      <c r="Y832" s="6">
        <f t="shared" si="61"/>
        <v>257.2</v>
      </c>
      <c r="Z832" s="6">
        <f t="shared" si="62"/>
        <v>40.165419999999983</v>
      </c>
      <c r="AA832" t="s">
        <v>679</v>
      </c>
      <c r="AC832" s="5">
        <v>1</v>
      </c>
      <c r="AD832" t="s">
        <v>1101</v>
      </c>
      <c r="AE832" t="str">
        <f t="shared" si="63"/>
        <v>2025-02</v>
      </c>
      <c r="AF832" t="str">
        <f t="shared" si="64"/>
        <v>Q1-2025</v>
      </c>
    </row>
    <row r="833" spans="1:32" x14ac:dyDescent="0.3">
      <c r="A833" t="s">
        <v>2127</v>
      </c>
      <c r="B833" s="5">
        <v>1</v>
      </c>
      <c r="C833" s="4">
        <v>45961</v>
      </c>
      <c r="D833" s="4">
        <v>45974</v>
      </c>
      <c r="E833" t="s">
        <v>485</v>
      </c>
      <c r="F833" t="s">
        <v>486</v>
      </c>
      <c r="G833" t="s">
        <v>74</v>
      </c>
      <c r="H833" t="s">
        <v>41</v>
      </c>
      <c r="I833" t="s">
        <v>86</v>
      </c>
      <c r="J833" t="s">
        <v>1086</v>
      </c>
      <c r="K833" t="s">
        <v>1234</v>
      </c>
      <c r="L833" t="s">
        <v>900</v>
      </c>
      <c r="M833" t="s">
        <v>795</v>
      </c>
      <c r="N833" t="s">
        <v>898</v>
      </c>
      <c r="O833" t="s">
        <v>901</v>
      </c>
      <c r="P833" t="s">
        <v>42</v>
      </c>
      <c r="Q833" t="s">
        <v>43</v>
      </c>
      <c r="R833" t="s">
        <v>1088</v>
      </c>
      <c r="S833" t="s">
        <v>1095</v>
      </c>
      <c r="T833" s="5">
        <v>5</v>
      </c>
      <c r="U833" s="6">
        <v>180.31</v>
      </c>
      <c r="V833" s="6">
        <v>103.83</v>
      </c>
      <c r="W833" s="8">
        <v>0.11070000000000001</v>
      </c>
      <c r="X833" s="6">
        <f t="shared" si="60"/>
        <v>801.74841499999991</v>
      </c>
      <c r="Y833" s="6">
        <f t="shared" si="61"/>
        <v>519.15</v>
      </c>
      <c r="Z833" s="6">
        <f t="shared" si="62"/>
        <v>282.59841499999993</v>
      </c>
      <c r="AA833" t="s">
        <v>679</v>
      </c>
      <c r="AC833" s="5">
        <v>4</v>
      </c>
      <c r="AE833" t="str">
        <f t="shared" si="63"/>
        <v>2025-10</v>
      </c>
      <c r="AF833" t="str">
        <f t="shared" si="64"/>
        <v>Q4-2025</v>
      </c>
    </row>
    <row r="834" spans="1:32" x14ac:dyDescent="0.3">
      <c r="A834" t="s">
        <v>2128</v>
      </c>
      <c r="B834" s="5">
        <v>3</v>
      </c>
      <c r="C834" s="4">
        <v>45342</v>
      </c>
      <c r="D834" s="4">
        <v>45348</v>
      </c>
      <c r="E834" t="s">
        <v>538</v>
      </c>
      <c r="F834" t="s">
        <v>539</v>
      </c>
      <c r="G834" t="s">
        <v>74</v>
      </c>
      <c r="H834" t="s">
        <v>41</v>
      </c>
      <c r="I834" t="s">
        <v>86</v>
      </c>
      <c r="J834" t="s">
        <v>1086</v>
      </c>
      <c r="K834" t="s">
        <v>1087</v>
      </c>
      <c r="L834" t="s">
        <v>847</v>
      </c>
      <c r="M834" t="s">
        <v>795</v>
      </c>
      <c r="N834" t="s">
        <v>837</v>
      </c>
      <c r="O834" t="s">
        <v>848</v>
      </c>
      <c r="P834" t="s">
        <v>46</v>
      </c>
      <c r="Q834" t="s">
        <v>47</v>
      </c>
      <c r="R834" t="s">
        <v>1094</v>
      </c>
      <c r="S834" t="s">
        <v>1089</v>
      </c>
      <c r="T834" s="5">
        <v>12</v>
      </c>
      <c r="U834" s="6">
        <v>233.97</v>
      </c>
      <c r="V834" s="6">
        <v>188.86</v>
      </c>
      <c r="W834" s="8">
        <v>0</v>
      </c>
      <c r="X834" s="6">
        <f t="shared" ref="X834:X897" si="65">T834*U834*(1-IF(ISBLANK(W834),0,W834))</f>
        <v>2807.64</v>
      </c>
      <c r="Y834" s="6">
        <f t="shared" ref="Y834:Y897" si="66">T834*V834</f>
        <v>2266.3200000000002</v>
      </c>
      <c r="Z834" s="6">
        <f t="shared" ref="Z834:Z897" si="67">X834-Y834</f>
        <v>541.31999999999971</v>
      </c>
      <c r="AA834" t="s">
        <v>679</v>
      </c>
      <c r="AC834" s="5"/>
      <c r="AE834" t="str">
        <f t="shared" ref="AE834:AE897" si="68">TEXT(C834,"yyyy-mm")</f>
        <v>2024-02</v>
      </c>
      <c r="AF834" t="str">
        <f t="shared" ref="AF834:AF897" si="69">"Q"&amp;ROUNDUP(MONTH(C834)/3,0)&amp;"-"&amp;YEAR(C834)</f>
        <v>Q1-2024</v>
      </c>
    </row>
    <row r="835" spans="1:32" x14ac:dyDescent="0.3">
      <c r="A835" t="s">
        <v>2129</v>
      </c>
      <c r="B835" s="5">
        <v>3</v>
      </c>
      <c r="C835" s="4">
        <v>45747</v>
      </c>
      <c r="D835" s="4">
        <v>45757</v>
      </c>
      <c r="E835" t="s">
        <v>443</v>
      </c>
      <c r="F835" t="s">
        <v>444</v>
      </c>
      <c r="G835" t="s">
        <v>84</v>
      </c>
      <c r="H835" t="s">
        <v>20</v>
      </c>
      <c r="I835" t="s">
        <v>71</v>
      </c>
      <c r="J835" t="s">
        <v>1166</v>
      </c>
      <c r="K835" t="s">
        <v>1167</v>
      </c>
      <c r="L835" t="s">
        <v>912</v>
      </c>
      <c r="M835" t="s">
        <v>795</v>
      </c>
      <c r="N835" t="s">
        <v>898</v>
      </c>
      <c r="O835" t="s">
        <v>913</v>
      </c>
      <c r="P835" t="s">
        <v>42</v>
      </c>
      <c r="Q835" t="s">
        <v>43</v>
      </c>
      <c r="R835" t="s">
        <v>1114</v>
      </c>
      <c r="S835" t="s">
        <v>1089</v>
      </c>
      <c r="T835" s="5">
        <v>6</v>
      </c>
      <c r="U835" s="6">
        <v>226.86</v>
      </c>
      <c r="V835" s="6">
        <v>136.19999999999999</v>
      </c>
      <c r="W835" s="8">
        <v>0</v>
      </c>
      <c r="X835" s="6">
        <f t="shared" si="65"/>
        <v>1361.16</v>
      </c>
      <c r="Y835" s="6">
        <f t="shared" si="66"/>
        <v>817.19999999999993</v>
      </c>
      <c r="Z835" s="6">
        <f t="shared" si="67"/>
        <v>543.96000000000015</v>
      </c>
      <c r="AA835" t="s">
        <v>679</v>
      </c>
      <c r="AC835" s="5">
        <v>1</v>
      </c>
      <c r="AD835" t="s">
        <v>1140</v>
      </c>
      <c r="AE835" t="str">
        <f t="shared" si="68"/>
        <v>2025-03</v>
      </c>
      <c r="AF835" t="str">
        <f t="shared" si="69"/>
        <v>Q1-2025</v>
      </c>
    </row>
    <row r="836" spans="1:32" x14ac:dyDescent="0.3">
      <c r="A836" t="s">
        <v>2130</v>
      </c>
      <c r="B836" s="5">
        <v>1</v>
      </c>
      <c r="C836" s="4">
        <v>45453</v>
      </c>
      <c r="D836" s="4">
        <v>45467</v>
      </c>
      <c r="E836" t="s">
        <v>408</v>
      </c>
      <c r="F836" t="s">
        <v>409</v>
      </c>
      <c r="G836" t="s">
        <v>84</v>
      </c>
      <c r="H836" t="s">
        <v>23</v>
      </c>
      <c r="I836" t="s">
        <v>93</v>
      </c>
      <c r="J836" t="s">
        <v>1192</v>
      </c>
      <c r="K836" t="s">
        <v>1193</v>
      </c>
      <c r="L836" t="s">
        <v>893</v>
      </c>
      <c r="M836" t="s">
        <v>795</v>
      </c>
      <c r="N836" t="s">
        <v>837</v>
      </c>
      <c r="O836" t="s">
        <v>894</v>
      </c>
      <c r="P836" t="s">
        <v>21</v>
      </c>
      <c r="Q836" t="s">
        <v>22</v>
      </c>
      <c r="R836" t="s">
        <v>1088</v>
      </c>
      <c r="S836" t="s">
        <v>1089</v>
      </c>
      <c r="T836" s="5">
        <v>33</v>
      </c>
      <c r="U836" s="6">
        <v>183.65</v>
      </c>
      <c r="V836" s="6">
        <v>95.07</v>
      </c>
      <c r="W836" s="8">
        <v>0.26540000000000002</v>
      </c>
      <c r="X836" s="6">
        <f t="shared" si="65"/>
        <v>4452.0065699999996</v>
      </c>
      <c r="Y836" s="6">
        <f t="shared" si="66"/>
        <v>3137.31</v>
      </c>
      <c r="Z836" s="6">
        <f t="shared" si="67"/>
        <v>1314.6965699999996</v>
      </c>
      <c r="AA836" t="s">
        <v>679</v>
      </c>
      <c r="AC836" s="5">
        <v>4</v>
      </c>
      <c r="AD836" t="s">
        <v>1905</v>
      </c>
      <c r="AE836" t="str">
        <f t="shared" si="68"/>
        <v>2024-06</v>
      </c>
      <c r="AF836" t="str">
        <f t="shared" si="69"/>
        <v>Q2-2024</v>
      </c>
    </row>
    <row r="837" spans="1:32" x14ac:dyDescent="0.3">
      <c r="A837" t="s">
        <v>2131</v>
      </c>
      <c r="B837" s="5">
        <v>3</v>
      </c>
      <c r="C837" s="4">
        <v>45939</v>
      </c>
      <c r="D837" s="4">
        <v>45943</v>
      </c>
      <c r="E837" t="s">
        <v>586</v>
      </c>
      <c r="F837" t="s">
        <v>587</v>
      </c>
      <c r="G837" t="s">
        <v>80</v>
      </c>
      <c r="H837" t="s">
        <v>31</v>
      </c>
      <c r="I837" t="s">
        <v>127</v>
      </c>
      <c r="J837" t="s">
        <v>1098</v>
      </c>
      <c r="K837" t="s">
        <v>1099</v>
      </c>
      <c r="L837" t="s">
        <v>964</v>
      </c>
      <c r="M837" t="s">
        <v>929</v>
      </c>
      <c r="N837" t="s">
        <v>930</v>
      </c>
      <c r="O837" t="s">
        <v>965</v>
      </c>
      <c r="P837" t="s">
        <v>48</v>
      </c>
      <c r="Q837" t="s">
        <v>49</v>
      </c>
      <c r="R837" t="s">
        <v>1088</v>
      </c>
      <c r="S837" t="s">
        <v>1089</v>
      </c>
      <c r="T837" s="5">
        <v>11</v>
      </c>
      <c r="U837" s="6">
        <v>182.86</v>
      </c>
      <c r="V837" s="6">
        <v>101.47</v>
      </c>
      <c r="W837" s="8">
        <v>0</v>
      </c>
      <c r="X837" s="6">
        <f t="shared" si="65"/>
        <v>2011.46</v>
      </c>
      <c r="Y837" s="6">
        <f t="shared" si="66"/>
        <v>1116.17</v>
      </c>
      <c r="Z837" s="6">
        <f t="shared" si="67"/>
        <v>895.29</v>
      </c>
      <c r="AA837" t="s">
        <v>679</v>
      </c>
      <c r="AC837" s="5"/>
      <c r="AD837" t="s">
        <v>1090</v>
      </c>
      <c r="AE837" t="str">
        <f t="shared" si="68"/>
        <v>2025-10</v>
      </c>
      <c r="AF837" t="str">
        <f t="shared" si="69"/>
        <v>Q4-2025</v>
      </c>
    </row>
    <row r="838" spans="1:32" x14ac:dyDescent="0.3">
      <c r="A838" t="s">
        <v>2132</v>
      </c>
      <c r="B838" s="5">
        <v>1</v>
      </c>
      <c r="C838" s="4">
        <v>45660</v>
      </c>
      <c r="D838" s="4">
        <v>45669</v>
      </c>
      <c r="E838" t="s">
        <v>450</v>
      </c>
      <c r="F838" t="s">
        <v>292</v>
      </c>
      <c r="G838" t="s">
        <v>65</v>
      </c>
      <c r="H838" t="s">
        <v>41</v>
      </c>
      <c r="I838" t="s">
        <v>86</v>
      </c>
      <c r="J838" t="s">
        <v>1086</v>
      </c>
      <c r="K838" t="s">
        <v>1175</v>
      </c>
      <c r="L838" t="s">
        <v>891</v>
      </c>
      <c r="M838" t="s">
        <v>795</v>
      </c>
      <c r="N838" t="s">
        <v>837</v>
      </c>
      <c r="O838" t="s">
        <v>892</v>
      </c>
      <c r="P838" t="s">
        <v>27</v>
      </c>
      <c r="Q838" t="s">
        <v>28</v>
      </c>
      <c r="R838" t="s">
        <v>1088</v>
      </c>
      <c r="S838" t="s">
        <v>1095</v>
      </c>
      <c r="T838" s="5">
        <v>16</v>
      </c>
      <c r="U838" s="6">
        <v>181.14</v>
      </c>
      <c r="V838" s="6">
        <v>101.69</v>
      </c>
      <c r="W838" s="8">
        <v>0</v>
      </c>
      <c r="X838" s="6">
        <f t="shared" si="65"/>
        <v>2898.24</v>
      </c>
      <c r="Y838" s="6">
        <f t="shared" si="66"/>
        <v>1627.04</v>
      </c>
      <c r="Z838" s="6">
        <f t="shared" si="67"/>
        <v>1271.1999999999998</v>
      </c>
      <c r="AA838" t="s">
        <v>679</v>
      </c>
      <c r="AC838" s="5"/>
      <c r="AD838" t="s">
        <v>1140</v>
      </c>
      <c r="AE838" t="str">
        <f t="shared" si="68"/>
        <v>2025-01</v>
      </c>
      <c r="AF838" t="str">
        <f t="shared" si="69"/>
        <v>Q1-2025</v>
      </c>
    </row>
    <row r="839" spans="1:32" x14ac:dyDescent="0.3">
      <c r="A839" t="s">
        <v>2133</v>
      </c>
      <c r="B839" s="5">
        <v>2</v>
      </c>
      <c r="C839" s="4">
        <v>45529</v>
      </c>
      <c r="D839" s="4">
        <v>45531</v>
      </c>
      <c r="E839" t="s">
        <v>459</v>
      </c>
      <c r="F839" t="s">
        <v>460</v>
      </c>
      <c r="G839" t="s">
        <v>74</v>
      </c>
      <c r="H839" t="s">
        <v>31</v>
      </c>
      <c r="I839" t="s">
        <v>67</v>
      </c>
      <c r="J839" t="s">
        <v>1207</v>
      </c>
      <c r="K839" t="s">
        <v>1208</v>
      </c>
      <c r="L839" t="s">
        <v>991</v>
      </c>
      <c r="M839" t="s">
        <v>929</v>
      </c>
      <c r="N839" t="s">
        <v>971</v>
      </c>
      <c r="O839" t="s">
        <v>992</v>
      </c>
      <c r="P839" t="s">
        <v>46</v>
      </c>
      <c r="Q839" t="s">
        <v>47</v>
      </c>
      <c r="R839" t="s">
        <v>1088</v>
      </c>
      <c r="S839" t="s">
        <v>1109</v>
      </c>
      <c r="T839" s="5">
        <v>11</v>
      </c>
      <c r="U839" s="6">
        <v>305.52</v>
      </c>
      <c r="V839" s="6">
        <v>156.82</v>
      </c>
      <c r="W839" s="8">
        <v>0.2823</v>
      </c>
      <c r="X839" s="6">
        <f t="shared" si="65"/>
        <v>2411.9887439999998</v>
      </c>
      <c r="Y839" s="6">
        <f t="shared" si="66"/>
        <v>1725.02</v>
      </c>
      <c r="Z839" s="6">
        <f t="shared" si="67"/>
        <v>686.96874399999979</v>
      </c>
      <c r="AA839" t="s">
        <v>679</v>
      </c>
      <c r="AC839" s="5"/>
      <c r="AD839" t="s">
        <v>1123</v>
      </c>
      <c r="AE839" t="str">
        <f t="shared" si="68"/>
        <v>2024-08</v>
      </c>
      <c r="AF839" t="str">
        <f t="shared" si="69"/>
        <v>Q3-2024</v>
      </c>
    </row>
    <row r="840" spans="1:32" x14ac:dyDescent="0.3">
      <c r="A840" t="s">
        <v>2134</v>
      </c>
      <c r="B840" s="5">
        <v>3</v>
      </c>
      <c r="C840" s="4">
        <v>45854</v>
      </c>
      <c r="D840" s="4">
        <v>45858</v>
      </c>
      <c r="E840" t="s">
        <v>563</v>
      </c>
      <c r="F840" t="s">
        <v>564</v>
      </c>
      <c r="G840" t="s">
        <v>84</v>
      </c>
      <c r="H840" t="s">
        <v>31</v>
      </c>
      <c r="I840" t="s">
        <v>160</v>
      </c>
      <c r="J840" t="s">
        <v>1125</v>
      </c>
      <c r="K840" t="s">
        <v>1126</v>
      </c>
      <c r="L840" t="s">
        <v>694</v>
      </c>
      <c r="M840" t="s">
        <v>659</v>
      </c>
      <c r="N840" t="s">
        <v>660</v>
      </c>
      <c r="O840" t="s">
        <v>695</v>
      </c>
      <c r="P840" t="s">
        <v>37</v>
      </c>
      <c r="Q840" t="s">
        <v>38</v>
      </c>
      <c r="R840" t="s">
        <v>1088</v>
      </c>
      <c r="S840" t="s">
        <v>1109</v>
      </c>
      <c r="T840" s="5">
        <v>5</v>
      </c>
      <c r="U840" s="6">
        <v>172.25</v>
      </c>
      <c r="V840" s="6">
        <v>105.86</v>
      </c>
      <c r="W840" s="8">
        <v>0</v>
      </c>
      <c r="X840" s="6">
        <f t="shared" si="65"/>
        <v>861.25</v>
      </c>
      <c r="Y840" s="6">
        <f t="shared" si="66"/>
        <v>529.29999999999995</v>
      </c>
      <c r="Z840" s="6">
        <f t="shared" si="67"/>
        <v>331.95000000000005</v>
      </c>
      <c r="AA840" t="s">
        <v>679</v>
      </c>
      <c r="AC840" s="5">
        <v>1</v>
      </c>
      <c r="AD840" t="s">
        <v>1148</v>
      </c>
      <c r="AE840" t="str">
        <f t="shared" si="68"/>
        <v>2025-07</v>
      </c>
      <c r="AF840" t="str">
        <f t="shared" si="69"/>
        <v>Q3-2025</v>
      </c>
    </row>
    <row r="841" spans="1:32" x14ac:dyDescent="0.3">
      <c r="A841" t="s">
        <v>2135</v>
      </c>
      <c r="B841" s="5">
        <v>3</v>
      </c>
      <c r="C841" s="4">
        <v>45980</v>
      </c>
      <c r="D841" s="4">
        <v>45987</v>
      </c>
      <c r="E841" t="s">
        <v>142</v>
      </c>
      <c r="F841" t="s">
        <v>143</v>
      </c>
      <c r="G841" t="s">
        <v>74</v>
      </c>
      <c r="H841" t="s">
        <v>31</v>
      </c>
      <c r="I841" t="s">
        <v>160</v>
      </c>
      <c r="J841" t="s">
        <v>1125</v>
      </c>
      <c r="K841" t="s">
        <v>1132</v>
      </c>
      <c r="L841" t="s">
        <v>916</v>
      </c>
      <c r="M841" t="s">
        <v>795</v>
      </c>
      <c r="N841" t="s">
        <v>898</v>
      </c>
      <c r="O841" t="s">
        <v>917</v>
      </c>
      <c r="P841" t="s">
        <v>48</v>
      </c>
      <c r="Q841" t="s">
        <v>49</v>
      </c>
      <c r="R841" t="s">
        <v>1094</v>
      </c>
      <c r="S841" t="s">
        <v>1109</v>
      </c>
      <c r="T841" s="5">
        <v>11</v>
      </c>
      <c r="U841" s="6">
        <v>170.49</v>
      </c>
      <c r="V841" s="6">
        <v>116.38</v>
      </c>
      <c r="W841" s="8">
        <v>0</v>
      </c>
      <c r="X841" s="6">
        <f t="shared" si="65"/>
        <v>1875.39</v>
      </c>
      <c r="Y841" s="6">
        <f t="shared" si="66"/>
        <v>1280.1799999999998</v>
      </c>
      <c r="Z841" s="6">
        <f t="shared" si="67"/>
        <v>595.21000000000026</v>
      </c>
      <c r="AA841" t="s">
        <v>679</v>
      </c>
      <c r="AC841" s="5">
        <v>3</v>
      </c>
      <c r="AE841" t="str">
        <f t="shared" si="68"/>
        <v>2025-11</v>
      </c>
      <c r="AF841" t="str">
        <f t="shared" si="69"/>
        <v>Q4-2025</v>
      </c>
    </row>
    <row r="842" spans="1:32" x14ac:dyDescent="0.3">
      <c r="A842" t="s">
        <v>2136</v>
      </c>
      <c r="B842" s="5">
        <v>5</v>
      </c>
      <c r="C842" s="4">
        <v>45690</v>
      </c>
      <c r="D842" s="4">
        <v>45701</v>
      </c>
      <c r="E842" t="s">
        <v>201</v>
      </c>
      <c r="F842" t="s">
        <v>202</v>
      </c>
      <c r="G842" t="s">
        <v>65</v>
      </c>
      <c r="H842" t="s">
        <v>20</v>
      </c>
      <c r="I842" t="s">
        <v>112</v>
      </c>
      <c r="J842" t="s">
        <v>1158</v>
      </c>
      <c r="K842" t="s">
        <v>1320</v>
      </c>
      <c r="L842" t="s">
        <v>902</v>
      </c>
      <c r="M842" t="s">
        <v>795</v>
      </c>
      <c r="N842" t="s">
        <v>898</v>
      </c>
      <c r="O842" t="s">
        <v>903</v>
      </c>
      <c r="P842" t="s">
        <v>21</v>
      </c>
      <c r="Q842" t="s">
        <v>22</v>
      </c>
      <c r="R842" t="s">
        <v>1094</v>
      </c>
      <c r="S842" t="s">
        <v>1095</v>
      </c>
      <c r="T842" s="5">
        <v>11</v>
      </c>
      <c r="U842" s="6">
        <v>9</v>
      </c>
      <c r="V842" s="6">
        <v>5</v>
      </c>
      <c r="W842" s="8">
        <v>0</v>
      </c>
      <c r="X842" s="6">
        <f t="shared" si="65"/>
        <v>99</v>
      </c>
      <c r="Y842" s="6">
        <f t="shared" si="66"/>
        <v>55</v>
      </c>
      <c r="Z842" s="6">
        <f t="shared" si="67"/>
        <v>44</v>
      </c>
      <c r="AA842" t="s">
        <v>679</v>
      </c>
      <c r="AC842" s="5">
        <v>3</v>
      </c>
      <c r="AD842" t="s">
        <v>1110</v>
      </c>
      <c r="AE842" t="str">
        <f t="shared" si="68"/>
        <v>2025-02</v>
      </c>
      <c r="AF842" t="str">
        <f t="shared" si="69"/>
        <v>Q1-2025</v>
      </c>
    </row>
    <row r="843" spans="1:32" x14ac:dyDescent="0.3">
      <c r="A843" t="s">
        <v>2137</v>
      </c>
      <c r="B843" s="5">
        <v>2</v>
      </c>
      <c r="C843" s="4">
        <v>45428</v>
      </c>
      <c r="D843" s="4">
        <v>45430</v>
      </c>
      <c r="E843" t="s">
        <v>305</v>
      </c>
      <c r="F843" t="s">
        <v>2138</v>
      </c>
      <c r="G843" t="s">
        <v>80</v>
      </c>
      <c r="H843" t="s">
        <v>31</v>
      </c>
      <c r="I843" t="s">
        <v>160</v>
      </c>
      <c r="J843" t="s">
        <v>1125</v>
      </c>
      <c r="K843" t="s">
        <v>1386</v>
      </c>
      <c r="L843" t="s">
        <v>770</v>
      </c>
      <c r="M843" t="s">
        <v>659</v>
      </c>
      <c r="N843" t="s">
        <v>754</v>
      </c>
      <c r="O843" t="s">
        <v>771</v>
      </c>
      <c r="P843" t="s">
        <v>46</v>
      </c>
      <c r="Q843" t="s">
        <v>47</v>
      </c>
      <c r="R843" t="s">
        <v>1094</v>
      </c>
      <c r="S843" t="s">
        <v>1095</v>
      </c>
      <c r="T843" s="5">
        <v>6</v>
      </c>
      <c r="U843" s="6">
        <v>32.950000000000003</v>
      </c>
      <c r="V843" s="6">
        <v>25.38</v>
      </c>
      <c r="W843" s="8">
        <v>0</v>
      </c>
      <c r="X843" s="6">
        <f t="shared" si="65"/>
        <v>197.70000000000002</v>
      </c>
      <c r="Y843" s="6">
        <f t="shared" si="66"/>
        <v>152.28</v>
      </c>
      <c r="Z843" s="6">
        <f t="shared" si="67"/>
        <v>45.420000000000016</v>
      </c>
      <c r="AA843" t="s">
        <v>679</v>
      </c>
      <c r="AC843" s="5">
        <v>3</v>
      </c>
      <c r="AD843" t="s">
        <v>1746</v>
      </c>
      <c r="AE843" t="str">
        <f t="shared" si="68"/>
        <v>2024-05</v>
      </c>
      <c r="AF843" t="str">
        <f t="shared" si="69"/>
        <v>Q2-2024</v>
      </c>
    </row>
    <row r="844" spans="1:32" x14ac:dyDescent="0.3">
      <c r="A844" t="s">
        <v>2139</v>
      </c>
      <c r="B844" s="5">
        <v>2</v>
      </c>
      <c r="C844" s="4">
        <v>45548</v>
      </c>
      <c r="D844" s="4">
        <v>45560</v>
      </c>
      <c r="E844" t="s">
        <v>148</v>
      </c>
      <c r="F844" t="s">
        <v>149</v>
      </c>
      <c r="G844" t="s">
        <v>65</v>
      </c>
      <c r="H844" t="s">
        <v>41</v>
      </c>
      <c r="I844" t="s">
        <v>75</v>
      </c>
      <c r="J844" t="s">
        <v>1142</v>
      </c>
      <c r="K844" t="s">
        <v>1198</v>
      </c>
      <c r="L844" t="s">
        <v>889</v>
      </c>
      <c r="M844" t="s">
        <v>795</v>
      </c>
      <c r="N844" t="s">
        <v>837</v>
      </c>
      <c r="O844" t="s">
        <v>890</v>
      </c>
      <c r="P844" t="s">
        <v>53</v>
      </c>
      <c r="Q844" t="s">
        <v>54</v>
      </c>
      <c r="R844" t="s">
        <v>1088</v>
      </c>
      <c r="S844" t="s">
        <v>1089</v>
      </c>
      <c r="T844" s="5">
        <v>10</v>
      </c>
      <c r="U844" s="6">
        <v>242.37</v>
      </c>
      <c r="V844" s="6">
        <v>145.66</v>
      </c>
      <c r="W844" s="8">
        <v>0</v>
      </c>
      <c r="X844" s="6">
        <f t="shared" si="65"/>
        <v>2423.6999999999998</v>
      </c>
      <c r="Y844" s="6">
        <f t="shared" si="66"/>
        <v>1456.6</v>
      </c>
      <c r="Z844" s="6">
        <f t="shared" si="67"/>
        <v>967.09999999999991</v>
      </c>
      <c r="AA844" t="s">
        <v>679</v>
      </c>
      <c r="AC844" s="5">
        <v>5</v>
      </c>
      <c r="AD844" t="s">
        <v>1136</v>
      </c>
      <c r="AE844" t="str">
        <f t="shared" si="68"/>
        <v>2024-09</v>
      </c>
      <c r="AF844" t="str">
        <f t="shared" si="69"/>
        <v>Q3-2024</v>
      </c>
    </row>
    <row r="845" spans="1:32" x14ac:dyDescent="0.3">
      <c r="A845" t="s">
        <v>2140</v>
      </c>
      <c r="B845" s="5">
        <v>5</v>
      </c>
      <c r="C845" s="4">
        <v>45945</v>
      </c>
      <c r="D845" s="4">
        <v>45950</v>
      </c>
      <c r="E845" t="s">
        <v>243</v>
      </c>
      <c r="F845" t="s">
        <v>244</v>
      </c>
      <c r="G845" t="s">
        <v>74</v>
      </c>
      <c r="H845" t="s">
        <v>20</v>
      </c>
      <c r="I845" t="s">
        <v>112</v>
      </c>
      <c r="J845" t="s">
        <v>1158</v>
      </c>
      <c r="K845" t="s">
        <v>1320</v>
      </c>
      <c r="L845" t="s">
        <v>800</v>
      </c>
      <c r="M845" t="s">
        <v>795</v>
      </c>
      <c r="N845" t="s">
        <v>796</v>
      </c>
      <c r="O845" t="s">
        <v>801</v>
      </c>
      <c r="P845" t="s">
        <v>48</v>
      </c>
      <c r="Q845" t="s">
        <v>49</v>
      </c>
      <c r="R845" t="s">
        <v>1088</v>
      </c>
      <c r="S845" t="s">
        <v>1156</v>
      </c>
      <c r="T845" s="5">
        <v>1</v>
      </c>
      <c r="U845" s="6">
        <v>255.31</v>
      </c>
      <c r="V845" s="6">
        <v>166.88</v>
      </c>
      <c r="W845" s="8">
        <v>0</v>
      </c>
      <c r="X845" s="6">
        <f t="shared" si="65"/>
        <v>255.31</v>
      </c>
      <c r="Y845" s="6">
        <f t="shared" si="66"/>
        <v>166.88</v>
      </c>
      <c r="Z845" s="6">
        <f t="shared" si="67"/>
        <v>88.43</v>
      </c>
      <c r="AA845" t="s">
        <v>679</v>
      </c>
      <c r="AC845" s="5">
        <v>1</v>
      </c>
      <c r="AD845" t="s">
        <v>1148</v>
      </c>
      <c r="AE845" t="str">
        <f t="shared" si="68"/>
        <v>2025-10</v>
      </c>
      <c r="AF845" t="str">
        <f t="shared" si="69"/>
        <v>Q4-2025</v>
      </c>
    </row>
    <row r="846" spans="1:32" x14ac:dyDescent="0.3">
      <c r="A846" t="s">
        <v>2141</v>
      </c>
      <c r="B846" s="5">
        <v>3</v>
      </c>
      <c r="C846" s="4">
        <v>45592</v>
      </c>
      <c r="D846" s="4">
        <v>45606</v>
      </c>
      <c r="E846" t="s">
        <v>618</v>
      </c>
      <c r="F846" t="s">
        <v>122</v>
      </c>
      <c r="G846" t="s">
        <v>74</v>
      </c>
      <c r="H846" t="s">
        <v>41</v>
      </c>
      <c r="I846" t="s">
        <v>75</v>
      </c>
      <c r="J846" t="s">
        <v>1142</v>
      </c>
      <c r="K846" t="s">
        <v>1205</v>
      </c>
      <c r="L846" t="s">
        <v>942</v>
      </c>
      <c r="M846" t="s">
        <v>929</v>
      </c>
      <c r="N846" t="s">
        <v>930</v>
      </c>
      <c r="O846" t="s">
        <v>943</v>
      </c>
      <c r="P846" t="s">
        <v>53</v>
      </c>
      <c r="Q846" t="s">
        <v>54</v>
      </c>
      <c r="R846" t="s">
        <v>1094</v>
      </c>
      <c r="S846" t="s">
        <v>1156</v>
      </c>
      <c r="T846" s="5">
        <v>8</v>
      </c>
      <c r="U846" s="6">
        <v>221.74</v>
      </c>
      <c r="V846" s="6">
        <v>173.45</v>
      </c>
      <c r="W846" s="8">
        <v>0</v>
      </c>
      <c r="X846" s="6">
        <f t="shared" si="65"/>
        <v>1773.92</v>
      </c>
      <c r="Y846" s="6">
        <f t="shared" si="66"/>
        <v>1387.6</v>
      </c>
      <c r="Z846" s="6">
        <f t="shared" si="67"/>
        <v>386.32000000000016</v>
      </c>
      <c r="AA846" t="s">
        <v>679</v>
      </c>
      <c r="AC846" s="5"/>
      <c r="AD846" t="s">
        <v>1123</v>
      </c>
      <c r="AE846" t="str">
        <f t="shared" si="68"/>
        <v>2024-10</v>
      </c>
      <c r="AF846" t="str">
        <f t="shared" si="69"/>
        <v>Q4-2024</v>
      </c>
    </row>
    <row r="847" spans="1:32" x14ac:dyDescent="0.3">
      <c r="A847" t="s">
        <v>2142</v>
      </c>
      <c r="B847" s="5">
        <v>5</v>
      </c>
      <c r="C847" s="4">
        <v>45499</v>
      </c>
      <c r="D847" s="4">
        <v>45501</v>
      </c>
      <c r="E847" t="s">
        <v>199</v>
      </c>
      <c r="F847" t="s">
        <v>200</v>
      </c>
      <c r="G847" t="s">
        <v>74</v>
      </c>
      <c r="H847" t="s">
        <v>31</v>
      </c>
      <c r="I847" t="s">
        <v>160</v>
      </c>
      <c r="J847" t="s">
        <v>1092</v>
      </c>
      <c r="K847" t="s">
        <v>1150</v>
      </c>
      <c r="L847" t="s">
        <v>934</v>
      </c>
      <c r="M847" t="s">
        <v>929</v>
      </c>
      <c r="N847" t="s">
        <v>930</v>
      </c>
      <c r="O847" t="s">
        <v>935</v>
      </c>
      <c r="P847" t="s">
        <v>37</v>
      </c>
      <c r="Q847" t="s">
        <v>38</v>
      </c>
      <c r="R847" t="s">
        <v>1094</v>
      </c>
      <c r="S847" t="s">
        <v>1109</v>
      </c>
      <c r="T847" s="5">
        <v>123</v>
      </c>
      <c r="U847" s="6">
        <v>204.91</v>
      </c>
      <c r="V847" s="6">
        <v>147.27000000000001</v>
      </c>
      <c r="W847" s="8">
        <v>0.16550000000000001</v>
      </c>
      <c r="X847" s="6">
        <f t="shared" si="65"/>
        <v>21032.679585000002</v>
      </c>
      <c r="Y847" s="6">
        <f t="shared" si="66"/>
        <v>18114.210000000003</v>
      </c>
      <c r="Z847" s="6">
        <f t="shared" si="67"/>
        <v>2918.4695849999989</v>
      </c>
      <c r="AA847" t="s">
        <v>679</v>
      </c>
      <c r="AC847" s="5">
        <v>1</v>
      </c>
      <c r="AD847" t="s">
        <v>1101</v>
      </c>
      <c r="AE847" t="str">
        <f t="shared" si="68"/>
        <v>2024-07</v>
      </c>
      <c r="AF847" t="str">
        <f t="shared" si="69"/>
        <v>Q3-2024</v>
      </c>
    </row>
    <row r="848" spans="1:32" x14ac:dyDescent="0.3">
      <c r="A848" t="s">
        <v>2143</v>
      </c>
      <c r="B848" s="5">
        <v>1</v>
      </c>
      <c r="C848" s="4">
        <v>45399</v>
      </c>
      <c r="D848" s="4">
        <v>45410</v>
      </c>
      <c r="E848" t="s">
        <v>556</v>
      </c>
      <c r="F848" t="s">
        <v>557</v>
      </c>
      <c r="G848" t="s">
        <v>80</v>
      </c>
      <c r="H848" t="s">
        <v>20</v>
      </c>
      <c r="I848" t="s">
        <v>90</v>
      </c>
      <c r="J848" t="s">
        <v>1262</v>
      </c>
      <c r="K848" t="s">
        <v>1274</v>
      </c>
      <c r="L848" t="s">
        <v>968</v>
      </c>
      <c r="M848" t="s">
        <v>929</v>
      </c>
      <c r="N848" t="s">
        <v>930</v>
      </c>
      <c r="O848" t="s">
        <v>969</v>
      </c>
      <c r="P848" t="s">
        <v>21</v>
      </c>
      <c r="Q848" t="s">
        <v>22</v>
      </c>
      <c r="R848" t="s">
        <v>1088</v>
      </c>
      <c r="S848" t="s">
        <v>1100</v>
      </c>
      <c r="T848" s="5">
        <v>7</v>
      </c>
      <c r="U848" s="6">
        <v>181.62</v>
      </c>
      <c r="V848" s="6">
        <v>133.06</v>
      </c>
      <c r="W848" s="8">
        <v>0</v>
      </c>
      <c r="X848" s="6">
        <f t="shared" si="65"/>
        <v>1271.3400000000001</v>
      </c>
      <c r="Y848" s="6">
        <f t="shared" si="66"/>
        <v>931.42000000000007</v>
      </c>
      <c r="Z848" s="6">
        <f t="shared" si="67"/>
        <v>339.92000000000007</v>
      </c>
      <c r="AA848" t="s">
        <v>662</v>
      </c>
      <c r="AB848" t="s">
        <v>1240</v>
      </c>
      <c r="AC848" s="5">
        <v>1</v>
      </c>
      <c r="AD848" t="s">
        <v>1101</v>
      </c>
      <c r="AE848" t="str">
        <f t="shared" si="68"/>
        <v>2024-04</v>
      </c>
      <c r="AF848" t="str">
        <f t="shared" si="69"/>
        <v>Q2-2024</v>
      </c>
    </row>
    <row r="849" spans="1:32" x14ac:dyDescent="0.3">
      <c r="A849" t="s">
        <v>2144</v>
      </c>
      <c r="B849" s="5">
        <v>4</v>
      </c>
      <c r="C849" s="4">
        <v>45943</v>
      </c>
      <c r="D849" s="4">
        <v>45951</v>
      </c>
      <c r="E849" t="s">
        <v>387</v>
      </c>
      <c r="F849" t="s">
        <v>2145</v>
      </c>
      <c r="G849" t="s">
        <v>65</v>
      </c>
      <c r="H849" t="s">
        <v>20</v>
      </c>
      <c r="I849" t="s">
        <v>112</v>
      </c>
      <c r="J849" t="s">
        <v>1158</v>
      </c>
      <c r="K849" t="s">
        <v>1159</v>
      </c>
      <c r="L849" t="s">
        <v>875</v>
      </c>
      <c r="M849" t="s">
        <v>795</v>
      </c>
      <c r="N849" t="s">
        <v>837</v>
      </c>
      <c r="O849" t="s">
        <v>876</v>
      </c>
      <c r="P849" t="s">
        <v>44</v>
      </c>
      <c r="Q849" t="s">
        <v>45</v>
      </c>
      <c r="R849" t="s">
        <v>1094</v>
      </c>
      <c r="S849" t="s">
        <v>1089</v>
      </c>
      <c r="T849" s="5">
        <v>4</v>
      </c>
      <c r="U849" s="6">
        <v>209.72</v>
      </c>
      <c r="V849" s="6">
        <v>149.16999999999999</v>
      </c>
      <c r="W849" s="8">
        <v>0</v>
      </c>
      <c r="X849" s="6">
        <f t="shared" si="65"/>
        <v>838.88</v>
      </c>
      <c r="Y849" s="6">
        <f t="shared" si="66"/>
        <v>596.67999999999995</v>
      </c>
      <c r="Z849" s="6">
        <f t="shared" si="67"/>
        <v>242.20000000000005</v>
      </c>
      <c r="AA849" t="s">
        <v>679</v>
      </c>
      <c r="AC849" s="5"/>
      <c r="AD849" t="s">
        <v>1148</v>
      </c>
      <c r="AE849" t="str">
        <f t="shared" si="68"/>
        <v>2025-10</v>
      </c>
      <c r="AF849" t="str">
        <f t="shared" si="69"/>
        <v>Q4-2025</v>
      </c>
    </row>
    <row r="850" spans="1:32" x14ac:dyDescent="0.3">
      <c r="A850" t="s">
        <v>2146</v>
      </c>
      <c r="B850" s="5">
        <v>1</v>
      </c>
      <c r="C850" s="4">
        <v>45486</v>
      </c>
      <c r="D850" s="4">
        <v>45494</v>
      </c>
      <c r="E850" t="s">
        <v>420</v>
      </c>
      <c r="F850" t="s">
        <v>421</v>
      </c>
      <c r="G850" t="s">
        <v>84</v>
      </c>
      <c r="H850" t="s">
        <v>31</v>
      </c>
      <c r="I850" t="s">
        <v>160</v>
      </c>
      <c r="J850" t="s">
        <v>1125</v>
      </c>
      <c r="K850" t="s">
        <v>1132</v>
      </c>
      <c r="L850" t="s">
        <v>832</v>
      </c>
      <c r="M850" t="s">
        <v>795</v>
      </c>
      <c r="N850" t="s">
        <v>796</v>
      </c>
      <c r="O850" t="s">
        <v>833</v>
      </c>
      <c r="P850" t="s">
        <v>53</v>
      </c>
      <c r="Q850" t="s">
        <v>54</v>
      </c>
      <c r="R850" t="s">
        <v>1114</v>
      </c>
      <c r="S850" t="s">
        <v>1109</v>
      </c>
      <c r="T850" s="5">
        <v>11</v>
      </c>
      <c r="U850" s="6">
        <v>244.02</v>
      </c>
      <c r="V850" s="6">
        <v>161.80000000000001</v>
      </c>
      <c r="W850" s="8"/>
      <c r="X850" s="6">
        <f t="shared" si="65"/>
        <v>2684.2200000000003</v>
      </c>
      <c r="Y850" s="6">
        <f t="shared" si="66"/>
        <v>1779.8000000000002</v>
      </c>
      <c r="Z850" s="6">
        <f t="shared" si="67"/>
        <v>904.42000000000007</v>
      </c>
      <c r="AA850" t="s">
        <v>679</v>
      </c>
      <c r="AC850" s="5">
        <v>4</v>
      </c>
      <c r="AD850" t="s">
        <v>1105</v>
      </c>
      <c r="AE850" t="str">
        <f t="shared" si="68"/>
        <v>2024-07</v>
      </c>
      <c r="AF850" t="str">
        <f t="shared" si="69"/>
        <v>Q3-2024</v>
      </c>
    </row>
    <row r="851" spans="1:32" x14ac:dyDescent="0.3">
      <c r="A851" t="s">
        <v>2147</v>
      </c>
      <c r="B851" s="5">
        <v>5</v>
      </c>
      <c r="C851" s="4">
        <v>45441</v>
      </c>
      <c r="D851" s="4">
        <v>45443</v>
      </c>
      <c r="E851" t="s">
        <v>221</v>
      </c>
      <c r="F851" t="s">
        <v>2148</v>
      </c>
      <c r="G851" t="s">
        <v>74</v>
      </c>
      <c r="H851" t="s">
        <v>31</v>
      </c>
      <c r="I851" t="s">
        <v>67</v>
      </c>
      <c r="J851" t="s">
        <v>1128</v>
      </c>
      <c r="K851" t="s">
        <v>1129</v>
      </c>
      <c r="L851" t="s">
        <v>782</v>
      </c>
      <c r="M851" t="s">
        <v>659</v>
      </c>
      <c r="N851" t="s">
        <v>754</v>
      </c>
      <c r="O851" t="s">
        <v>783</v>
      </c>
      <c r="P851" t="s">
        <v>50</v>
      </c>
      <c r="Q851" t="s">
        <v>51</v>
      </c>
      <c r="R851" t="s">
        <v>126</v>
      </c>
      <c r="S851" t="s">
        <v>1109</v>
      </c>
      <c r="T851" s="5">
        <v>10</v>
      </c>
      <c r="U851" s="6">
        <v>115.4</v>
      </c>
      <c r="V851" s="6">
        <v>71.25</v>
      </c>
      <c r="W851" s="8">
        <v>0</v>
      </c>
      <c r="X851" s="6">
        <f t="shared" si="65"/>
        <v>1154</v>
      </c>
      <c r="Y851" s="6">
        <f t="shared" si="66"/>
        <v>712.5</v>
      </c>
      <c r="Z851" s="6">
        <f t="shared" si="67"/>
        <v>441.5</v>
      </c>
      <c r="AA851" t="s">
        <v>679</v>
      </c>
      <c r="AC851" s="5">
        <v>5</v>
      </c>
      <c r="AD851" t="s">
        <v>1154</v>
      </c>
      <c r="AE851" t="str">
        <f t="shared" si="68"/>
        <v>2024-05</v>
      </c>
      <c r="AF851" t="str">
        <f t="shared" si="69"/>
        <v>Q2-2024</v>
      </c>
    </row>
    <row r="852" spans="1:32" x14ac:dyDescent="0.3">
      <c r="A852" t="s">
        <v>2149</v>
      </c>
      <c r="B852" s="5">
        <v>2</v>
      </c>
      <c r="C852" s="4">
        <v>45669</v>
      </c>
      <c r="D852" s="4">
        <v>45671</v>
      </c>
      <c r="E852" t="s">
        <v>201</v>
      </c>
      <c r="F852" t="s">
        <v>2150</v>
      </c>
      <c r="G852" t="s">
        <v>65</v>
      </c>
      <c r="H852" t="s">
        <v>20</v>
      </c>
      <c r="I852" t="s">
        <v>90</v>
      </c>
      <c r="J852" t="s">
        <v>1171</v>
      </c>
      <c r="K852" t="s">
        <v>1379</v>
      </c>
      <c r="L852" t="s">
        <v>977</v>
      </c>
      <c r="M852" t="s">
        <v>929</v>
      </c>
      <c r="N852" t="s">
        <v>971</v>
      </c>
      <c r="O852" t="s">
        <v>978</v>
      </c>
      <c r="P852" t="s">
        <v>29</v>
      </c>
      <c r="Q852" t="s">
        <v>30</v>
      </c>
      <c r="R852" t="s">
        <v>1088</v>
      </c>
      <c r="S852" t="s">
        <v>1089</v>
      </c>
      <c r="T852" s="5">
        <v>21</v>
      </c>
      <c r="U852" s="6">
        <v>117.01</v>
      </c>
      <c r="V852" s="6">
        <v>86.07</v>
      </c>
      <c r="W852" s="8">
        <v>8.1299999999999997E-2</v>
      </c>
      <c r="X852" s="6">
        <f t="shared" si="65"/>
        <v>2257.4388269999999</v>
      </c>
      <c r="Y852" s="6">
        <f t="shared" si="66"/>
        <v>1807.4699999999998</v>
      </c>
      <c r="Z852" s="6">
        <f t="shared" si="67"/>
        <v>449.96882700000015</v>
      </c>
      <c r="AA852" t="s">
        <v>679</v>
      </c>
      <c r="AC852" s="5">
        <v>5</v>
      </c>
      <c r="AD852" t="s">
        <v>1090</v>
      </c>
      <c r="AE852" t="str">
        <f t="shared" si="68"/>
        <v>2025-01</v>
      </c>
      <c r="AF852" t="str">
        <f t="shared" si="69"/>
        <v>Q1-2025</v>
      </c>
    </row>
    <row r="853" spans="1:32" x14ac:dyDescent="0.3">
      <c r="A853" t="s">
        <v>2151</v>
      </c>
      <c r="B853" s="5">
        <v>5</v>
      </c>
      <c r="C853" s="4">
        <v>45821</v>
      </c>
      <c r="D853" s="4">
        <v>45827</v>
      </c>
      <c r="E853" t="s">
        <v>354</v>
      </c>
      <c r="F853" t="s">
        <v>355</v>
      </c>
      <c r="G853" t="s">
        <v>84</v>
      </c>
      <c r="H853" t="s">
        <v>20</v>
      </c>
      <c r="I853" t="s">
        <v>71</v>
      </c>
      <c r="J853" t="s">
        <v>1166</v>
      </c>
      <c r="K853" t="s">
        <v>1167</v>
      </c>
      <c r="L853" t="s">
        <v>968</v>
      </c>
      <c r="M853" t="s">
        <v>929</v>
      </c>
      <c r="N853" t="s">
        <v>930</v>
      </c>
      <c r="O853" t="s">
        <v>969</v>
      </c>
      <c r="P853" t="s">
        <v>32</v>
      </c>
      <c r="Q853" t="s">
        <v>33</v>
      </c>
      <c r="R853" t="s">
        <v>1088</v>
      </c>
      <c r="S853" t="s">
        <v>1089</v>
      </c>
      <c r="T853" s="5">
        <v>19</v>
      </c>
      <c r="U853" s="6">
        <v>192.98</v>
      </c>
      <c r="V853" s="6">
        <v>133.06</v>
      </c>
      <c r="W853" s="8">
        <v>0</v>
      </c>
      <c r="X853" s="6">
        <f t="shared" si="65"/>
        <v>3666.62</v>
      </c>
      <c r="Y853" s="6">
        <f t="shared" si="66"/>
        <v>2528.14</v>
      </c>
      <c r="Z853" s="6">
        <f t="shared" si="67"/>
        <v>1138.48</v>
      </c>
      <c r="AA853" t="s">
        <v>679</v>
      </c>
      <c r="AC853" s="5">
        <v>2</v>
      </c>
      <c r="AD853" t="s">
        <v>1136</v>
      </c>
      <c r="AE853" t="str">
        <f t="shared" si="68"/>
        <v>2025-06</v>
      </c>
      <c r="AF853" t="str">
        <f t="shared" si="69"/>
        <v>Q2-2025</v>
      </c>
    </row>
    <row r="854" spans="1:32" x14ac:dyDescent="0.3">
      <c r="A854" t="s">
        <v>2152</v>
      </c>
      <c r="B854" s="5">
        <v>3</v>
      </c>
      <c r="C854" s="4">
        <v>46001</v>
      </c>
      <c r="D854" s="4">
        <v>46003</v>
      </c>
      <c r="E854" t="s">
        <v>487</v>
      </c>
      <c r="F854" t="s">
        <v>108</v>
      </c>
      <c r="G854" t="s">
        <v>74</v>
      </c>
      <c r="H854" t="s">
        <v>31</v>
      </c>
      <c r="I854" t="s">
        <v>127</v>
      </c>
      <c r="J854" t="s">
        <v>1116</v>
      </c>
      <c r="K854" t="s">
        <v>1117</v>
      </c>
      <c r="L854" t="s">
        <v>916</v>
      </c>
      <c r="M854" t="s">
        <v>795</v>
      </c>
      <c r="N854" t="s">
        <v>898</v>
      </c>
      <c r="O854" t="s">
        <v>917</v>
      </c>
      <c r="P854" t="s">
        <v>48</v>
      </c>
      <c r="Q854" t="s">
        <v>49</v>
      </c>
      <c r="R854" t="s">
        <v>1114</v>
      </c>
      <c r="S854" t="s">
        <v>1100</v>
      </c>
      <c r="T854" s="5">
        <v>10</v>
      </c>
      <c r="U854" s="6">
        <v>141.47999999999999</v>
      </c>
      <c r="V854" s="6">
        <v>116.38</v>
      </c>
      <c r="W854" s="8">
        <v>0.04</v>
      </c>
      <c r="X854" s="6">
        <f t="shared" si="65"/>
        <v>1358.2079999999999</v>
      </c>
      <c r="Y854" s="6">
        <f t="shared" si="66"/>
        <v>1163.8</v>
      </c>
      <c r="Z854" s="6">
        <f t="shared" si="67"/>
        <v>194.4079999999999</v>
      </c>
      <c r="AA854" t="s">
        <v>679</v>
      </c>
      <c r="AC854" s="5">
        <v>4</v>
      </c>
      <c r="AD854" t="s">
        <v>1252</v>
      </c>
      <c r="AE854" t="str">
        <f t="shared" si="68"/>
        <v>2025-12</v>
      </c>
      <c r="AF854" t="str">
        <f t="shared" si="69"/>
        <v>Q4-2025</v>
      </c>
    </row>
    <row r="855" spans="1:32" x14ac:dyDescent="0.3">
      <c r="A855" t="s">
        <v>2153</v>
      </c>
      <c r="B855" s="5">
        <v>3</v>
      </c>
      <c r="C855" s="4">
        <v>45460</v>
      </c>
      <c r="D855" s="4">
        <v>45464</v>
      </c>
      <c r="E855" t="s">
        <v>356</v>
      </c>
      <c r="F855" t="s">
        <v>357</v>
      </c>
      <c r="G855" t="s">
        <v>65</v>
      </c>
      <c r="H855" t="s">
        <v>41</v>
      </c>
      <c r="I855" t="s">
        <v>75</v>
      </c>
      <c r="J855" t="s">
        <v>1142</v>
      </c>
      <c r="K855" t="s">
        <v>1143</v>
      </c>
      <c r="L855" t="s">
        <v>782</v>
      </c>
      <c r="M855" t="s">
        <v>659</v>
      </c>
      <c r="N855" t="s">
        <v>754</v>
      </c>
      <c r="O855" t="s">
        <v>783</v>
      </c>
      <c r="P855" t="s">
        <v>32</v>
      </c>
      <c r="Q855" t="s">
        <v>33</v>
      </c>
      <c r="R855" t="s">
        <v>1088</v>
      </c>
      <c r="S855" t="s">
        <v>1156</v>
      </c>
      <c r="T855" s="5">
        <v>22</v>
      </c>
      <c r="U855" s="6">
        <v>111.27</v>
      </c>
      <c r="V855" s="6">
        <v>71.25</v>
      </c>
      <c r="W855" s="8">
        <v>0</v>
      </c>
      <c r="X855" s="6">
        <f t="shared" si="65"/>
        <v>2447.94</v>
      </c>
      <c r="Y855" s="6">
        <f t="shared" si="66"/>
        <v>1567.5</v>
      </c>
      <c r="Z855" s="6">
        <f t="shared" si="67"/>
        <v>880.44</v>
      </c>
      <c r="AA855" t="s">
        <v>679</v>
      </c>
      <c r="AC855" s="5">
        <v>2</v>
      </c>
      <c r="AD855" t="s">
        <v>1105</v>
      </c>
      <c r="AE855" t="str">
        <f t="shared" si="68"/>
        <v>2024-06</v>
      </c>
      <c r="AF855" t="str">
        <f t="shared" si="69"/>
        <v>Q2-2024</v>
      </c>
    </row>
    <row r="856" spans="1:32" x14ac:dyDescent="0.3">
      <c r="A856" t="s">
        <v>2154</v>
      </c>
      <c r="B856" s="5">
        <v>3</v>
      </c>
      <c r="C856" s="4">
        <v>45402</v>
      </c>
      <c r="D856" s="4">
        <v>45407</v>
      </c>
      <c r="E856" t="s">
        <v>243</v>
      </c>
      <c r="F856" t="s">
        <v>244</v>
      </c>
      <c r="G856" t="s">
        <v>74</v>
      </c>
      <c r="H856" t="s">
        <v>41</v>
      </c>
      <c r="I856" t="s">
        <v>75</v>
      </c>
      <c r="J856" t="s">
        <v>1142</v>
      </c>
      <c r="K856" t="s">
        <v>1143</v>
      </c>
      <c r="L856" t="s">
        <v>991</v>
      </c>
      <c r="M856" t="s">
        <v>929</v>
      </c>
      <c r="N856" t="s">
        <v>971</v>
      </c>
      <c r="O856" t="s">
        <v>992</v>
      </c>
      <c r="P856" t="s">
        <v>39</v>
      </c>
      <c r="Q856" t="s">
        <v>40</v>
      </c>
      <c r="R856" t="s">
        <v>126</v>
      </c>
      <c r="S856" t="s">
        <v>1109</v>
      </c>
      <c r="T856" s="5">
        <v>6</v>
      </c>
      <c r="U856" s="6">
        <v>259.66000000000003</v>
      </c>
      <c r="V856" s="6">
        <v>156.82</v>
      </c>
      <c r="W856" s="8">
        <v>0.12839999999999999</v>
      </c>
      <c r="X856" s="6">
        <f t="shared" si="65"/>
        <v>1357.9179360000001</v>
      </c>
      <c r="Y856" s="6">
        <f t="shared" si="66"/>
        <v>940.92</v>
      </c>
      <c r="Z856" s="6">
        <f t="shared" si="67"/>
        <v>416.9979360000001</v>
      </c>
      <c r="AA856" t="s">
        <v>679</v>
      </c>
      <c r="AC856" s="5">
        <v>4</v>
      </c>
      <c r="AD856" t="s">
        <v>1123</v>
      </c>
      <c r="AE856" t="str">
        <f t="shared" si="68"/>
        <v>2024-04</v>
      </c>
      <c r="AF856" t="str">
        <f t="shared" si="69"/>
        <v>Q2-2024</v>
      </c>
    </row>
    <row r="857" spans="1:32" x14ac:dyDescent="0.3">
      <c r="A857" t="s">
        <v>2155</v>
      </c>
      <c r="B857" s="5">
        <v>3</v>
      </c>
      <c r="C857" s="4">
        <v>45876</v>
      </c>
      <c r="D857" s="4">
        <v>45883</v>
      </c>
      <c r="E857" t="s">
        <v>322</v>
      </c>
      <c r="F857" t="s">
        <v>323</v>
      </c>
      <c r="G857" t="s">
        <v>104</v>
      </c>
      <c r="H857" t="s">
        <v>23</v>
      </c>
      <c r="I857" t="s">
        <v>109</v>
      </c>
      <c r="J857" t="s">
        <v>1300</v>
      </c>
      <c r="K857" t="s">
        <v>1429</v>
      </c>
      <c r="L857" t="s">
        <v>778</v>
      </c>
      <c r="M857" t="s">
        <v>659</v>
      </c>
      <c r="N857" t="s">
        <v>754</v>
      </c>
      <c r="O857" t="s">
        <v>779</v>
      </c>
      <c r="P857" t="s">
        <v>44</v>
      </c>
      <c r="Q857" t="s">
        <v>45</v>
      </c>
      <c r="R857" t="s">
        <v>126</v>
      </c>
      <c r="S857" t="s">
        <v>1109</v>
      </c>
      <c r="T857" s="5">
        <v>10</v>
      </c>
      <c r="U857" s="6">
        <v>121.74</v>
      </c>
      <c r="V857" s="6">
        <v>73.75</v>
      </c>
      <c r="W857" s="8">
        <v>0.1008</v>
      </c>
      <c r="X857" s="6">
        <f t="shared" si="65"/>
        <v>1094.6860799999999</v>
      </c>
      <c r="Y857" s="6">
        <f t="shared" si="66"/>
        <v>737.5</v>
      </c>
      <c r="Z857" s="6">
        <f t="shared" si="67"/>
        <v>357.18607999999995</v>
      </c>
      <c r="AA857" t="s">
        <v>679</v>
      </c>
      <c r="AC857" s="5">
        <v>4</v>
      </c>
      <c r="AE857" t="str">
        <f t="shared" si="68"/>
        <v>2025-08</v>
      </c>
      <c r="AF857" t="str">
        <f t="shared" si="69"/>
        <v>Q3-2025</v>
      </c>
    </row>
    <row r="858" spans="1:32" x14ac:dyDescent="0.3">
      <c r="A858" t="s">
        <v>2156</v>
      </c>
      <c r="B858" s="5">
        <v>2</v>
      </c>
      <c r="C858" s="4">
        <v>45301</v>
      </c>
      <c r="D858" s="4">
        <v>45302</v>
      </c>
      <c r="E858" t="s">
        <v>505</v>
      </c>
      <c r="F858" t="s">
        <v>506</v>
      </c>
      <c r="G858" t="s">
        <v>74</v>
      </c>
      <c r="H858" t="s">
        <v>41</v>
      </c>
      <c r="I858" t="s">
        <v>86</v>
      </c>
      <c r="J858" t="s">
        <v>1086</v>
      </c>
      <c r="K858" t="s">
        <v>1087</v>
      </c>
      <c r="L858" t="s">
        <v>1048</v>
      </c>
      <c r="M858" t="s">
        <v>1002</v>
      </c>
      <c r="N858" t="s">
        <v>1034</v>
      </c>
      <c r="O858" t="s">
        <v>1049</v>
      </c>
      <c r="P858" t="s">
        <v>29</v>
      </c>
      <c r="Q858" t="s">
        <v>30</v>
      </c>
      <c r="R858" t="s">
        <v>1094</v>
      </c>
      <c r="S858" t="s">
        <v>1109</v>
      </c>
      <c r="T858" s="5">
        <v>11</v>
      </c>
      <c r="U858" s="6">
        <v>307.51</v>
      </c>
      <c r="V858" s="6">
        <v>208.54</v>
      </c>
      <c r="W858" s="8">
        <v>0.27839999999999998</v>
      </c>
      <c r="X858" s="6">
        <f t="shared" si="65"/>
        <v>2440.891376</v>
      </c>
      <c r="Y858" s="6">
        <f t="shared" si="66"/>
        <v>2293.94</v>
      </c>
      <c r="Z858" s="6">
        <f t="shared" si="67"/>
        <v>146.95137599999998</v>
      </c>
      <c r="AA858" t="s">
        <v>679</v>
      </c>
      <c r="AC858" s="5">
        <v>3</v>
      </c>
      <c r="AD858" t="s">
        <v>1110</v>
      </c>
      <c r="AE858" t="str">
        <f t="shared" si="68"/>
        <v>2024-01</v>
      </c>
      <c r="AF858" t="str">
        <f t="shared" si="69"/>
        <v>Q1-2024</v>
      </c>
    </row>
    <row r="859" spans="1:32" x14ac:dyDescent="0.3">
      <c r="A859" t="s">
        <v>2157</v>
      </c>
      <c r="B859" s="5">
        <v>2</v>
      </c>
      <c r="C859" s="4">
        <v>45694</v>
      </c>
      <c r="D859" s="4">
        <v>45707</v>
      </c>
      <c r="E859" t="s">
        <v>430</v>
      </c>
      <c r="F859" t="s">
        <v>431</v>
      </c>
      <c r="G859" t="s">
        <v>74</v>
      </c>
      <c r="H859" t="s">
        <v>41</v>
      </c>
      <c r="I859" t="s">
        <v>86</v>
      </c>
      <c r="J859" t="s">
        <v>1086</v>
      </c>
      <c r="K859" t="s">
        <v>1175</v>
      </c>
      <c r="L859" t="s">
        <v>717</v>
      </c>
      <c r="M859" t="s">
        <v>659</v>
      </c>
      <c r="N859" t="s">
        <v>713</v>
      </c>
      <c r="O859" t="s">
        <v>718</v>
      </c>
      <c r="P859" t="s">
        <v>37</v>
      </c>
      <c r="Q859" t="s">
        <v>38</v>
      </c>
      <c r="R859" t="s">
        <v>1088</v>
      </c>
      <c r="S859" t="s">
        <v>1100</v>
      </c>
      <c r="T859" s="5">
        <v>40</v>
      </c>
      <c r="U859" s="6">
        <v>7.92</v>
      </c>
      <c r="V859" s="6">
        <v>5</v>
      </c>
      <c r="W859" s="8">
        <v>0</v>
      </c>
      <c r="X859" s="6">
        <f t="shared" si="65"/>
        <v>316.8</v>
      </c>
      <c r="Y859" s="6">
        <f t="shared" si="66"/>
        <v>200</v>
      </c>
      <c r="Z859" s="6">
        <f t="shared" si="67"/>
        <v>116.80000000000001</v>
      </c>
      <c r="AA859" t="s">
        <v>679</v>
      </c>
      <c r="AC859" s="5"/>
      <c r="AD859" t="s">
        <v>1105</v>
      </c>
      <c r="AE859" t="str">
        <f t="shared" si="68"/>
        <v>2025-02</v>
      </c>
      <c r="AF859" t="str">
        <f t="shared" si="69"/>
        <v>Q1-2025</v>
      </c>
    </row>
    <row r="860" spans="1:32" x14ac:dyDescent="0.3">
      <c r="A860" t="s">
        <v>2158</v>
      </c>
      <c r="B860" s="5">
        <v>3</v>
      </c>
      <c r="C860" s="4">
        <v>45877</v>
      </c>
      <c r="D860" s="4">
        <v>45884</v>
      </c>
      <c r="E860" t="s">
        <v>492</v>
      </c>
      <c r="F860" t="s">
        <v>493</v>
      </c>
      <c r="G860" t="s">
        <v>74</v>
      </c>
      <c r="H860" t="s">
        <v>41</v>
      </c>
      <c r="I860" t="s">
        <v>86</v>
      </c>
      <c r="J860" t="s">
        <v>1107</v>
      </c>
      <c r="K860" t="s">
        <v>1108</v>
      </c>
      <c r="L860" t="s">
        <v>950</v>
      </c>
      <c r="M860" t="s">
        <v>929</v>
      </c>
      <c r="N860" t="s">
        <v>930</v>
      </c>
      <c r="O860" t="s">
        <v>951</v>
      </c>
      <c r="P860" t="s">
        <v>27</v>
      </c>
      <c r="Q860" t="s">
        <v>28</v>
      </c>
      <c r="R860" t="s">
        <v>1088</v>
      </c>
      <c r="S860" t="s">
        <v>1109</v>
      </c>
      <c r="T860" s="5">
        <v>4</v>
      </c>
      <c r="U860" s="6">
        <v>321</v>
      </c>
      <c r="V860" s="6">
        <v>181.98</v>
      </c>
      <c r="W860" s="8">
        <v>0</v>
      </c>
      <c r="X860" s="6">
        <f t="shared" si="65"/>
        <v>1284</v>
      </c>
      <c r="Y860" s="6">
        <f t="shared" si="66"/>
        <v>727.92</v>
      </c>
      <c r="Z860" s="6">
        <f t="shared" si="67"/>
        <v>556.08000000000004</v>
      </c>
      <c r="AA860" t="s">
        <v>679</v>
      </c>
      <c r="AC860" s="5">
        <v>2</v>
      </c>
      <c r="AD860" t="s">
        <v>1096</v>
      </c>
      <c r="AE860" t="str">
        <f t="shared" si="68"/>
        <v>2025-08</v>
      </c>
      <c r="AF860" t="str">
        <f t="shared" si="69"/>
        <v>Q3-2025</v>
      </c>
    </row>
    <row r="861" spans="1:32" x14ac:dyDescent="0.3">
      <c r="A861" t="s">
        <v>2159</v>
      </c>
      <c r="B861" s="5">
        <v>1</v>
      </c>
      <c r="C861" s="4">
        <v>45380</v>
      </c>
      <c r="D861" s="4">
        <v>45383</v>
      </c>
      <c r="E861" t="s">
        <v>358</v>
      </c>
      <c r="F861" t="s">
        <v>2160</v>
      </c>
      <c r="G861" t="s">
        <v>104</v>
      </c>
      <c r="H861" t="s">
        <v>31</v>
      </c>
      <c r="I861" t="s">
        <v>67</v>
      </c>
      <c r="J861" t="s">
        <v>1304</v>
      </c>
      <c r="K861" t="s">
        <v>1342</v>
      </c>
      <c r="L861" t="s">
        <v>881</v>
      </c>
      <c r="M861" t="s">
        <v>795</v>
      </c>
      <c r="N861" t="s">
        <v>837</v>
      </c>
      <c r="O861" t="s">
        <v>882</v>
      </c>
      <c r="P861" t="s">
        <v>50</v>
      </c>
      <c r="Q861" t="s">
        <v>51</v>
      </c>
      <c r="R861" t="s">
        <v>1094</v>
      </c>
      <c r="S861" t="s">
        <v>1089</v>
      </c>
      <c r="T861" s="5">
        <v>34</v>
      </c>
      <c r="U861" s="6">
        <v>227.31</v>
      </c>
      <c r="V861" s="6">
        <v>129.41999999999999</v>
      </c>
      <c r="W861" s="8">
        <v>4.3499999999999997E-2</v>
      </c>
      <c r="X861" s="6">
        <f t="shared" si="65"/>
        <v>7392.3485099999998</v>
      </c>
      <c r="Y861" s="6">
        <f t="shared" si="66"/>
        <v>4400.28</v>
      </c>
      <c r="Z861" s="6">
        <f t="shared" si="67"/>
        <v>2992.0685100000001</v>
      </c>
      <c r="AA861" t="s">
        <v>679</v>
      </c>
      <c r="AC861" s="5">
        <v>1</v>
      </c>
      <c r="AD861" t="s">
        <v>1140</v>
      </c>
      <c r="AE861" t="str">
        <f t="shared" si="68"/>
        <v>2024-03</v>
      </c>
      <c r="AF861" t="str">
        <f t="shared" si="69"/>
        <v>Q1-2024</v>
      </c>
    </row>
    <row r="862" spans="1:32" x14ac:dyDescent="0.3">
      <c r="A862" t="s">
        <v>2161</v>
      </c>
      <c r="B862" s="5">
        <v>1</v>
      </c>
      <c r="C862" s="4">
        <v>45586</v>
      </c>
      <c r="D862" s="4">
        <v>45595</v>
      </c>
      <c r="E862" t="s">
        <v>169</v>
      </c>
      <c r="F862" t="s">
        <v>170</v>
      </c>
      <c r="G862" t="s">
        <v>65</v>
      </c>
      <c r="H862" t="s">
        <v>23</v>
      </c>
      <c r="I862" t="s">
        <v>93</v>
      </c>
      <c r="J862" t="s">
        <v>1103</v>
      </c>
      <c r="K862" t="s">
        <v>1613</v>
      </c>
      <c r="L862" t="s">
        <v>745</v>
      </c>
      <c r="M862" t="s">
        <v>659</v>
      </c>
      <c r="N862" t="s">
        <v>713</v>
      </c>
      <c r="O862" t="s">
        <v>746</v>
      </c>
      <c r="P862" t="s">
        <v>53</v>
      </c>
      <c r="Q862" t="s">
        <v>54</v>
      </c>
      <c r="R862" t="s">
        <v>126</v>
      </c>
      <c r="S862" t="s">
        <v>1109</v>
      </c>
      <c r="T862" s="5">
        <v>16</v>
      </c>
      <c r="U862" s="6">
        <v>146.91</v>
      </c>
      <c r="V862" s="6">
        <v>91.12</v>
      </c>
      <c r="W862" s="8">
        <v>0.32550000000000001</v>
      </c>
      <c r="X862" s="6">
        <f t="shared" si="65"/>
        <v>1585.45272</v>
      </c>
      <c r="Y862" s="6">
        <f t="shared" si="66"/>
        <v>1457.92</v>
      </c>
      <c r="Z862" s="6">
        <f t="shared" si="67"/>
        <v>127.53271999999993</v>
      </c>
      <c r="AA862" t="s">
        <v>679</v>
      </c>
      <c r="AC862" s="5"/>
      <c r="AD862" t="s">
        <v>1123</v>
      </c>
      <c r="AE862" t="str">
        <f t="shared" si="68"/>
        <v>2024-10</v>
      </c>
      <c r="AF862" t="str">
        <f t="shared" si="69"/>
        <v>Q4-2024</v>
      </c>
    </row>
    <row r="863" spans="1:32" x14ac:dyDescent="0.3">
      <c r="A863" t="s">
        <v>2162</v>
      </c>
      <c r="B863" s="5">
        <v>2</v>
      </c>
      <c r="C863" s="4">
        <v>45595</v>
      </c>
      <c r="D863" s="4">
        <v>45597</v>
      </c>
      <c r="E863" t="s">
        <v>285</v>
      </c>
      <c r="F863" t="s">
        <v>286</v>
      </c>
      <c r="G863" t="s">
        <v>74</v>
      </c>
      <c r="H863" t="s">
        <v>31</v>
      </c>
      <c r="I863" t="s">
        <v>160</v>
      </c>
      <c r="J863" t="s">
        <v>1092</v>
      </c>
      <c r="K863" t="s">
        <v>1093</v>
      </c>
      <c r="L863" t="s">
        <v>952</v>
      </c>
      <c r="M863" t="s">
        <v>929</v>
      </c>
      <c r="N863" t="s">
        <v>930</v>
      </c>
      <c r="O863" t="s">
        <v>953</v>
      </c>
      <c r="P863" t="s">
        <v>29</v>
      </c>
      <c r="Q863" t="s">
        <v>30</v>
      </c>
      <c r="R863" t="s">
        <v>1114</v>
      </c>
      <c r="S863" t="s">
        <v>1100</v>
      </c>
      <c r="T863" s="5">
        <v>6</v>
      </c>
      <c r="U863" s="6">
        <v>198.14</v>
      </c>
      <c r="V863" s="6">
        <v>139.97999999999999</v>
      </c>
      <c r="W863" s="8">
        <v>0.24149999999999999</v>
      </c>
      <c r="X863" s="6">
        <f t="shared" si="65"/>
        <v>901.73513999999989</v>
      </c>
      <c r="Y863" s="6">
        <f t="shared" si="66"/>
        <v>839.87999999999988</v>
      </c>
      <c r="Z863" s="6">
        <f t="shared" si="67"/>
        <v>61.855140000000006</v>
      </c>
      <c r="AA863" t="s">
        <v>679</v>
      </c>
      <c r="AC863" s="5">
        <v>1</v>
      </c>
      <c r="AD863" t="s">
        <v>1148</v>
      </c>
      <c r="AE863" t="str">
        <f t="shared" si="68"/>
        <v>2024-10</v>
      </c>
      <c r="AF863" t="str">
        <f t="shared" si="69"/>
        <v>Q4-2024</v>
      </c>
    </row>
    <row r="864" spans="1:32" x14ac:dyDescent="0.3">
      <c r="A864" t="s">
        <v>2163</v>
      </c>
      <c r="B864" s="5">
        <v>1</v>
      </c>
      <c r="C864" s="4">
        <v>45628</v>
      </c>
      <c r="D864" s="4">
        <v>45640</v>
      </c>
      <c r="E864" t="s">
        <v>173</v>
      </c>
      <c r="F864" t="s">
        <v>174</v>
      </c>
      <c r="G864" t="s">
        <v>65</v>
      </c>
      <c r="H864" t="s">
        <v>41</v>
      </c>
      <c r="I864" t="s">
        <v>86</v>
      </c>
      <c r="J864" t="s">
        <v>1086</v>
      </c>
      <c r="K864" t="s">
        <v>1234</v>
      </c>
      <c r="L864" t="s">
        <v>1033</v>
      </c>
      <c r="M864" t="s">
        <v>1002</v>
      </c>
      <c r="N864" t="s">
        <v>1034</v>
      </c>
      <c r="O864" t="s">
        <v>1035</v>
      </c>
      <c r="P864" t="s">
        <v>21</v>
      </c>
      <c r="Q864" t="s">
        <v>22</v>
      </c>
      <c r="R864" t="s">
        <v>1094</v>
      </c>
      <c r="S864" t="s">
        <v>1109</v>
      </c>
      <c r="T864" s="5">
        <v>4</v>
      </c>
      <c r="U864" s="6">
        <v>168.03</v>
      </c>
      <c r="V864" s="6">
        <v>113.68</v>
      </c>
      <c r="W864" s="8">
        <v>0</v>
      </c>
      <c r="X864" s="6">
        <f t="shared" si="65"/>
        <v>672.12</v>
      </c>
      <c r="Y864" s="6">
        <f t="shared" si="66"/>
        <v>454.72</v>
      </c>
      <c r="Z864" s="6">
        <f t="shared" si="67"/>
        <v>217.39999999999998</v>
      </c>
      <c r="AA864" t="s">
        <v>679</v>
      </c>
      <c r="AC864" s="5"/>
      <c r="AD864" t="s">
        <v>1101</v>
      </c>
      <c r="AE864" t="str">
        <f t="shared" si="68"/>
        <v>2024-12</v>
      </c>
      <c r="AF864" t="str">
        <f t="shared" si="69"/>
        <v>Q4-2024</v>
      </c>
    </row>
    <row r="865" spans="1:32" x14ac:dyDescent="0.3">
      <c r="A865" t="s">
        <v>2164</v>
      </c>
      <c r="B865" s="5">
        <v>3</v>
      </c>
      <c r="C865" s="4">
        <v>45436</v>
      </c>
      <c r="D865" s="4">
        <v>45450</v>
      </c>
      <c r="E865" t="s">
        <v>161</v>
      </c>
      <c r="F865" t="s">
        <v>162</v>
      </c>
      <c r="G865" t="s">
        <v>65</v>
      </c>
      <c r="H865" t="s">
        <v>20</v>
      </c>
      <c r="I865" t="s">
        <v>112</v>
      </c>
      <c r="J865" t="s">
        <v>1158</v>
      </c>
      <c r="K865" t="s">
        <v>1416</v>
      </c>
      <c r="L865" t="s">
        <v>855</v>
      </c>
      <c r="M865" t="s">
        <v>795</v>
      </c>
      <c r="N865" t="s">
        <v>837</v>
      </c>
      <c r="O865" t="s">
        <v>856</v>
      </c>
      <c r="P865" t="s">
        <v>37</v>
      </c>
      <c r="Q865" t="s">
        <v>38</v>
      </c>
      <c r="R865" t="s">
        <v>1088</v>
      </c>
      <c r="S865" t="s">
        <v>1089</v>
      </c>
      <c r="T865" s="5">
        <v>6</v>
      </c>
      <c r="U865" s="6">
        <v>254.31</v>
      </c>
      <c r="V865" s="6">
        <v>134.72</v>
      </c>
      <c r="W865" s="8">
        <v>0</v>
      </c>
      <c r="X865" s="6">
        <f t="shared" si="65"/>
        <v>1525.8600000000001</v>
      </c>
      <c r="Y865" s="6">
        <f t="shared" si="66"/>
        <v>808.31999999999994</v>
      </c>
      <c r="Z865" s="6">
        <f t="shared" si="67"/>
        <v>717.54000000000019</v>
      </c>
      <c r="AA865" t="s">
        <v>679</v>
      </c>
      <c r="AC865" s="5">
        <v>4</v>
      </c>
      <c r="AD865" t="s">
        <v>1123</v>
      </c>
      <c r="AE865" t="str">
        <f t="shared" si="68"/>
        <v>2024-05</v>
      </c>
      <c r="AF865" t="str">
        <f t="shared" si="69"/>
        <v>Q2-2024</v>
      </c>
    </row>
    <row r="866" spans="1:32" x14ac:dyDescent="0.3">
      <c r="A866" t="s">
        <v>2165</v>
      </c>
      <c r="B866" s="5">
        <v>2</v>
      </c>
      <c r="C866" s="4">
        <v>45552</v>
      </c>
      <c r="D866" s="4">
        <v>45562</v>
      </c>
      <c r="E866" t="s">
        <v>434</v>
      </c>
      <c r="F866" t="s">
        <v>435</v>
      </c>
      <c r="G866" t="s">
        <v>80</v>
      </c>
      <c r="H866" t="s">
        <v>31</v>
      </c>
      <c r="I866" t="s">
        <v>67</v>
      </c>
      <c r="J866" t="s">
        <v>1128</v>
      </c>
      <c r="K866" t="s">
        <v>1339</v>
      </c>
      <c r="L866" t="s">
        <v>784</v>
      </c>
      <c r="M866" t="s">
        <v>659</v>
      </c>
      <c r="N866" t="s">
        <v>754</v>
      </c>
      <c r="O866" t="s">
        <v>785</v>
      </c>
      <c r="P866" t="s">
        <v>21</v>
      </c>
      <c r="Q866" t="s">
        <v>22</v>
      </c>
      <c r="R866" t="s">
        <v>126</v>
      </c>
      <c r="S866" t="s">
        <v>1109</v>
      </c>
      <c r="T866" s="5">
        <v>2</v>
      </c>
      <c r="U866" s="6">
        <v>78.81</v>
      </c>
      <c r="V866" s="6">
        <v>51.78</v>
      </c>
      <c r="W866" s="8">
        <v>0.2384</v>
      </c>
      <c r="X866" s="6">
        <f t="shared" si="65"/>
        <v>120.04339200000001</v>
      </c>
      <c r="Y866" s="6">
        <f t="shared" si="66"/>
        <v>103.56</v>
      </c>
      <c r="Z866" s="6">
        <f t="shared" si="67"/>
        <v>16.483392000000009</v>
      </c>
      <c r="AA866" t="s">
        <v>679</v>
      </c>
      <c r="AC866" s="5"/>
      <c r="AD866" t="s">
        <v>1136</v>
      </c>
      <c r="AE866" t="str">
        <f t="shared" si="68"/>
        <v>2024-09</v>
      </c>
      <c r="AF866" t="str">
        <f t="shared" si="69"/>
        <v>Q3-2024</v>
      </c>
    </row>
    <row r="867" spans="1:32" x14ac:dyDescent="0.3">
      <c r="A867" t="s">
        <v>2166</v>
      </c>
      <c r="B867" s="5">
        <v>2</v>
      </c>
      <c r="C867" s="4">
        <v>45968</v>
      </c>
      <c r="D867" s="4">
        <v>45975</v>
      </c>
      <c r="E867" t="s">
        <v>161</v>
      </c>
      <c r="F867" t="s">
        <v>162</v>
      </c>
      <c r="G867" t="s">
        <v>65</v>
      </c>
      <c r="H867" t="s">
        <v>23</v>
      </c>
      <c r="I867" t="s">
        <v>93</v>
      </c>
      <c r="J867" t="s">
        <v>1103</v>
      </c>
      <c r="K867" t="s">
        <v>1239</v>
      </c>
      <c r="L867" t="s">
        <v>916</v>
      </c>
      <c r="M867" t="s">
        <v>795</v>
      </c>
      <c r="N867" t="s">
        <v>898</v>
      </c>
      <c r="O867" t="s">
        <v>917</v>
      </c>
      <c r="P867" t="s">
        <v>46</v>
      </c>
      <c r="Q867" t="s">
        <v>47</v>
      </c>
      <c r="R867" t="s">
        <v>1114</v>
      </c>
      <c r="S867" t="s">
        <v>1100</v>
      </c>
      <c r="T867" s="5">
        <v>12</v>
      </c>
      <c r="U867" s="6">
        <v>147.83000000000001</v>
      </c>
      <c r="V867" s="6">
        <v>116.38</v>
      </c>
      <c r="W867" s="8">
        <v>0.32019999999999998</v>
      </c>
      <c r="X867" s="6">
        <f t="shared" si="65"/>
        <v>1205.9380079999999</v>
      </c>
      <c r="Y867" s="6">
        <f t="shared" si="66"/>
        <v>1396.56</v>
      </c>
      <c r="Z867" s="6">
        <f t="shared" si="67"/>
        <v>-190.62199200000009</v>
      </c>
      <c r="AA867" t="s">
        <v>679</v>
      </c>
      <c r="AC867" s="5">
        <v>5</v>
      </c>
      <c r="AD867" t="s">
        <v>1096</v>
      </c>
      <c r="AE867" t="str">
        <f t="shared" si="68"/>
        <v>2025-11</v>
      </c>
      <c r="AF867" t="str">
        <f t="shared" si="69"/>
        <v>Q4-2025</v>
      </c>
    </row>
    <row r="868" spans="1:32" x14ac:dyDescent="0.3">
      <c r="A868" t="s">
        <v>2167</v>
      </c>
      <c r="B868" s="5">
        <v>5</v>
      </c>
      <c r="C868" s="4">
        <v>45940</v>
      </c>
      <c r="D868" s="4">
        <v>45951</v>
      </c>
      <c r="E868" t="s">
        <v>512</v>
      </c>
      <c r="F868" t="s">
        <v>1152</v>
      </c>
      <c r="G868" t="s">
        <v>65</v>
      </c>
      <c r="H868" t="s">
        <v>41</v>
      </c>
      <c r="I868" t="s">
        <v>75</v>
      </c>
      <c r="J868" t="s">
        <v>1142</v>
      </c>
      <c r="K868" t="s">
        <v>1205</v>
      </c>
      <c r="L868" t="s">
        <v>853</v>
      </c>
      <c r="M868" t="s">
        <v>795</v>
      </c>
      <c r="N868" t="s">
        <v>837</v>
      </c>
      <c r="O868" t="s">
        <v>854</v>
      </c>
      <c r="P868" t="s">
        <v>32</v>
      </c>
      <c r="Q868" t="s">
        <v>33</v>
      </c>
      <c r="R868" t="s">
        <v>1114</v>
      </c>
      <c r="S868" t="s">
        <v>1109</v>
      </c>
      <c r="T868" s="5">
        <v>5</v>
      </c>
      <c r="U868" s="6">
        <v>184.99</v>
      </c>
      <c r="V868" s="6">
        <v>119.67</v>
      </c>
      <c r="W868" s="8">
        <v>0.2591</v>
      </c>
      <c r="X868" s="6">
        <f t="shared" si="65"/>
        <v>685.29545500000006</v>
      </c>
      <c r="Y868" s="6">
        <f t="shared" si="66"/>
        <v>598.35</v>
      </c>
      <c r="Z868" s="6">
        <f t="shared" si="67"/>
        <v>86.945455000000038</v>
      </c>
      <c r="AA868" t="s">
        <v>679</v>
      </c>
      <c r="AC868" s="5"/>
      <c r="AD868" t="s">
        <v>1136</v>
      </c>
      <c r="AE868" t="str">
        <f t="shared" si="68"/>
        <v>2025-10</v>
      </c>
      <c r="AF868" t="str">
        <f t="shared" si="69"/>
        <v>Q4-2025</v>
      </c>
    </row>
    <row r="869" spans="1:32" x14ac:dyDescent="0.3">
      <c r="A869" t="s">
        <v>2168</v>
      </c>
      <c r="B869" s="5">
        <v>1</v>
      </c>
      <c r="C869" s="4">
        <v>45784</v>
      </c>
      <c r="D869" s="4">
        <v>45784</v>
      </c>
      <c r="E869" t="s">
        <v>169</v>
      </c>
      <c r="F869" t="s">
        <v>170</v>
      </c>
      <c r="G869" t="s">
        <v>65</v>
      </c>
      <c r="H869" t="s">
        <v>31</v>
      </c>
      <c r="I869" t="s">
        <v>160</v>
      </c>
      <c r="J869" t="s">
        <v>1092</v>
      </c>
      <c r="K869" t="s">
        <v>1135</v>
      </c>
      <c r="L869" t="s">
        <v>776</v>
      </c>
      <c r="M869" t="s">
        <v>659</v>
      </c>
      <c r="N869" t="s">
        <v>754</v>
      </c>
      <c r="O869" t="s">
        <v>777</v>
      </c>
      <c r="P869" t="s">
        <v>17</v>
      </c>
      <c r="Q869" t="s">
        <v>18</v>
      </c>
      <c r="R869" t="s">
        <v>126</v>
      </c>
      <c r="S869" t="s">
        <v>1095</v>
      </c>
      <c r="T869" s="5">
        <v>19</v>
      </c>
      <c r="U869" s="6">
        <v>54.49</v>
      </c>
      <c r="V869" s="6">
        <v>38.229999999999997</v>
      </c>
      <c r="W869" s="8">
        <v>0</v>
      </c>
      <c r="X869" s="6">
        <f t="shared" si="65"/>
        <v>1035.31</v>
      </c>
      <c r="Y869" s="6">
        <f t="shared" si="66"/>
        <v>726.36999999999989</v>
      </c>
      <c r="Z869" s="6">
        <f t="shared" si="67"/>
        <v>308.94000000000005</v>
      </c>
      <c r="AA869" t="s">
        <v>662</v>
      </c>
      <c r="AB869" t="s">
        <v>1122</v>
      </c>
      <c r="AC869" s="5"/>
      <c r="AD869" t="s">
        <v>1105</v>
      </c>
      <c r="AE869" t="str">
        <f t="shared" si="68"/>
        <v>2025-05</v>
      </c>
      <c r="AF869" t="str">
        <f t="shared" si="69"/>
        <v>Q2-2025</v>
      </c>
    </row>
    <row r="870" spans="1:32" x14ac:dyDescent="0.3">
      <c r="A870" t="s">
        <v>2169</v>
      </c>
      <c r="B870" s="5">
        <v>3</v>
      </c>
      <c r="C870" s="4">
        <v>45399</v>
      </c>
      <c r="D870" s="4">
        <v>45406</v>
      </c>
      <c r="E870" t="s">
        <v>227</v>
      </c>
      <c r="F870" t="s">
        <v>228</v>
      </c>
      <c r="G870" t="s">
        <v>80</v>
      </c>
      <c r="H870" t="s">
        <v>23</v>
      </c>
      <c r="I870" t="s">
        <v>109</v>
      </c>
      <c r="J870" t="s">
        <v>1138</v>
      </c>
      <c r="K870" t="s">
        <v>1255</v>
      </c>
      <c r="L870" t="s">
        <v>762</v>
      </c>
      <c r="M870" t="s">
        <v>659</v>
      </c>
      <c r="N870" t="s">
        <v>754</v>
      </c>
      <c r="O870" t="s">
        <v>763</v>
      </c>
      <c r="P870" t="s">
        <v>39</v>
      </c>
      <c r="Q870" t="s">
        <v>40</v>
      </c>
      <c r="R870" t="s">
        <v>1114</v>
      </c>
      <c r="S870" t="s">
        <v>1109</v>
      </c>
      <c r="T870" s="5">
        <v>41</v>
      </c>
      <c r="U870" s="6">
        <v>7.94</v>
      </c>
      <c r="V870" s="6">
        <v>5</v>
      </c>
      <c r="W870" s="8">
        <v>0</v>
      </c>
      <c r="X870" s="6">
        <f t="shared" si="65"/>
        <v>325.54000000000002</v>
      </c>
      <c r="Y870" s="6">
        <f t="shared" si="66"/>
        <v>205</v>
      </c>
      <c r="Z870" s="6">
        <f t="shared" si="67"/>
        <v>120.54000000000002</v>
      </c>
      <c r="AA870" t="s">
        <v>679</v>
      </c>
      <c r="AC870" s="5">
        <v>3</v>
      </c>
      <c r="AE870" t="str">
        <f t="shared" si="68"/>
        <v>2024-04</v>
      </c>
      <c r="AF870" t="str">
        <f t="shared" si="69"/>
        <v>Q2-2024</v>
      </c>
    </row>
    <row r="871" spans="1:32" x14ac:dyDescent="0.3">
      <c r="A871" t="s">
        <v>2170</v>
      </c>
      <c r="B871" s="5">
        <v>4</v>
      </c>
      <c r="C871" s="4">
        <v>45631</v>
      </c>
      <c r="D871" s="4">
        <v>45644</v>
      </c>
      <c r="E871" t="s">
        <v>277</v>
      </c>
      <c r="F871" t="s">
        <v>278</v>
      </c>
      <c r="G871" t="s">
        <v>84</v>
      </c>
      <c r="H871" t="s">
        <v>31</v>
      </c>
      <c r="I871" t="s">
        <v>160</v>
      </c>
      <c r="J871" t="s">
        <v>1092</v>
      </c>
      <c r="K871" t="s">
        <v>1135</v>
      </c>
      <c r="L871" t="s">
        <v>658</v>
      </c>
      <c r="M871" t="s">
        <v>659</v>
      </c>
      <c r="N871" t="s">
        <v>660</v>
      </c>
      <c r="O871" t="s">
        <v>661</v>
      </c>
      <c r="P871" t="s">
        <v>29</v>
      </c>
      <c r="Q871" t="s">
        <v>30</v>
      </c>
      <c r="R871" t="s">
        <v>1088</v>
      </c>
      <c r="S871" t="s">
        <v>1156</v>
      </c>
      <c r="T871" s="5">
        <v>15</v>
      </c>
      <c r="U871" s="6">
        <v>25.06</v>
      </c>
      <c r="V871" s="6">
        <v>15.75</v>
      </c>
      <c r="W871" s="8">
        <v>0</v>
      </c>
      <c r="X871" s="6">
        <f t="shared" si="65"/>
        <v>375.9</v>
      </c>
      <c r="Y871" s="6">
        <f t="shared" si="66"/>
        <v>236.25</v>
      </c>
      <c r="Z871" s="6">
        <f t="shared" si="67"/>
        <v>139.64999999999998</v>
      </c>
      <c r="AA871" t="s">
        <v>679</v>
      </c>
      <c r="AC871" s="5">
        <v>1</v>
      </c>
      <c r="AD871" t="s">
        <v>1252</v>
      </c>
      <c r="AE871" t="str">
        <f t="shared" si="68"/>
        <v>2024-12</v>
      </c>
      <c r="AF871" t="str">
        <f t="shared" si="69"/>
        <v>Q4-2024</v>
      </c>
    </row>
    <row r="872" spans="1:32" x14ac:dyDescent="0.3">
      <c r="A872" t="s">
        <v>2171</v>
      </c>
      <c r="B872" s="5">
        <v>2</v>
      </c>
      <c r="C872" s="4">
        <v>45955</v>
      </c>
      <c r="D872" s="4">
        <v>45963</v>
      </c>
      <c r="E872" t="s">
        <v>76</v>
      </c>
      <c r="F872" t="s">
        <v>77</v>
      </c>
      <c r="G872" t="s">
        <v>74</v>
      </c>
      <c r="H872" t="s">
        <v>41</v>
      </c>
      <c r="I872" t="s">
        <v>75</v>
      </c>
      <c r="J872" t="s">
        <v>1142</v>
      </c>
      <c r="K872" t="s">
        <v>1143</v>
      </c>
      <c r="L872" t="s">
        <v>1031</v>
      </c>
      <c r="M872" t="s">
        <v>1002</v>
      </c>
      <c r="N872" t="s">
        <v>1003</v>
      </c>
      <c r="O872" t="s">
        <v>1032</v>
      </c>
      <c r="P872" t="s">
        <v>53</v>
      </c>
      <c r="Q872" t="s">
        <v>54</v>
      </c>
      <c r="R872" t="s">
        <v>1114</v>
      </c>
      <c r="S872" t="s">
        <v>1100</v>
      </c>
      <c r="T872" s="5">
        <v>15</v>
      </c>
      <c r="U872" s="6">
        <v>315.32</v>
      </c>
      <c r="V872" s="6">
        <v>178.33</v>
      </c>
      <c r="W872" s="8">
        <v>0</v>
      </c>
      <c r="X872" s="6">
        <f t="shared" si="65"/>
        <v>4729.8</v>
      </c>
      <c r="Y872" s="6">
        <f t="shared" si="66"/>
        <v>2674.9500000000003</v>
      </c>
      <c r="Z872" s="6">
        <f t="shared" si="67"/>
        <v>2054.85</v>
      </c>
      <c r="AA872" t="s">
        <v>679</v>
      </c>
      <c r="AC872" s="5"/>
      <c r="AD872" t="s">
        <v>1335</v>
      </c>
      <c r="AE872" t="str">
        <f t="shared" si="68"/>
        <v>2025-10</v>
      </c>
      <c r="AF872" t="str">
        <f t="shared" si="69"/>
        <v>Q4-2025</v>
      </c>
    </row>
    <row r="873" spans="1:32" x14ac:dyDescent="0.3">
      <c r="A873" t="s">
        <v>2172</v>
      </c>
      <c r="B873" s="5">
        <v>3</v>
      </c>
      <c r="C873" s="4">
        <v>45545</v>
      </c>
      <c r="D873" s="4">
        <v>45549</v>
      </c>
      <c r="E873" t="s">
        <v>418</v>
      </c>
      <c r="F873" t="s">
        <v>419</v>
      </c>
      <c r="G873" t="s">
        <v>74</v>
      </c>
      <c r="H873" t="s">
        <v>20</v>
      </c>
      <c r="I873" t="s">
        <v>71</v>
      </c>
      <c r="J873" t="s">
        <v>1166</v>
      </c>
      <c r="K873" t="s">
        <v>1167</v>
      </c>
      <c r="L873" t="s">
        <v>800</v>
      </c>
      <c r="M873" t="s">
        <v>795</v>
      </c>
      <c r="N873" t="s">
        <v>796</v>
      </c>
      <c r="O873" t="s">
        <v>801</v>
      </c>
      <c r="P873" t="s">
        <v>29</v>
      </c>
      <c r="Q873" t="s">
        <v>30</v>
      </c>
      <c r="R873" t="s">
        <v>1094</v>
      </c>
      <c r="S873" t="s">
        <v>1095</v>
      </c>
      <c r="T873" s="5">
        <v>12</v>
      </c>
      <c r="U873" s="6">
        <v>223.58</v>
      </c>
      <c r="V873" s="6">
        <v>166.88</v>
      </c>
      <c r="W873" s="8">
        <v>0</v>
      </c>
      <c r="X873" s="6">
        <f t="shared" si="65"/>
        <v>2682.96</v>
      </c>
      <c r="Y873" s="6">
        <f t="shared" si="66"/>
        <v>2002.56</v>
      </c>
      <c r="Z873" s="6">
        <f t="shared" si="67"/>
        <v>680.40000000000009</v>
      </c>
      <c r="AA873" t="s">
        <v>679</v>
      </c>
      <c r="AC873" s="5">
        <v>3</v>
      </c>
      <c r="AD873" t="s">
        <v>1090</v>
      </c>
      <c r="AE873" t="str">
        <f t="shared" si="68"/>
        <v>2024-09</v>
      </c>
      <c r="AF873" t="str">
        <f t="shared" si="69"/>
        <v>Q3-2024</v>
      </c>
    </row>
    <row r="874" spans="1:32" x14ac:dyDescent="0.3">
      <c r="A874" t="s">
        <v>2173</v>
      </c>
      <c r="B874" s="5">
        <v>1</v>
      </c>
      <c r="C874" s="4">
        <v>45986</v>
      </c>
      <c r="D874" s="4">
        <v>45989</v>
      </c>
      <c r="E874" t="s">
        <v>649</v>
      </c>
      <c r="F874" t="s">
        <v>650</v>
      </c>
      <c r="G874" t="s">
        <v>84</v>
      </c>
      <c r="H874" t="s">
        <v>23</v>
      </c>
      <c r="I874" t="s">
        <v>81</v>
      </c>
      <c r="J874" t="s">
        <v>1119</v>
      </c>
      <c r="K874" t="s">
        <v>1120</v>
      </c>
      <c r="L874" t="s">
        <v>776</v>
      </c>
      <c r="M874" t="s">
        <v>659</v>
      </c>
      <c r="N874" t="s">
        <v>754</v>
      </c>
      <c r="O874" t="s">
        <v>777</v>
      </c>
      <c r="P874" t="s">
        <v>50</v>
      </c>
      <c r="Q874" t="s">
        <v>51</v>
      </c>
      <c r="R874" t="s">
        <v>1114</v>
      </c>
      <c r="S874" t="s">
        <v>1156</v>
      </c>
      <c r="T874" s="5">
        <v>24</v>
      </c>
      <c r="U874" s="6">
        <v>54.16</v>
      </c>
      <c r="V874" s="6">
        <v>38.229999999999997</v>
      </c>
      <c r="W874" s="8">
        <v>9.9099999999999994E-2</v>
      </c>
      <c r="X874" s="6">
        <f t="shared" si="65"/>
        <v>1171.025856</v>
      </c>
      <c r="Y874" s="6">
        <f t="shared" si="66"/>
        <v>917.52</v>
      </c>
      <c r="Z874" s="6">
        <f t="shared" si="67"/>
        <v>253.50585599999999</v>
      </c>
      <c r="AA874" t="s">
        <v>662</v>
      </c>
      <c r="AB874" t="s">
        <v>1327</v>
      </c>
      <c r="AC874" s="5">
        <v>5</v>
      </c>
      <c r="AD874" t="s">
        <v>1136</v>
      </c>
      <c r="AE874" t="str">
        <f t="shared" si="68"/>
        <v>2025-11</v>
      </c>
      <c r="AF874" t="str">
        <f t="shared" si="69"/>
        <v>Q4-2025</v>
      </c>
    </row>
    <row r="875" spans="1:32" x14ac:dyDescent="0.3">
      <c r="A875" t="s">
        <v>2174</v>
      </c>
      <c r="B875" s="5">
        <v>3</v>
      </c>
      <c r="C875" s="4">
        <v>45903</v>
      </c>
      <c r="D875" s="4">
        <v>45912</v>
      </c>
      <c r="E875" t="s">
        <v>98</v>
      </c>
      <c r="F875" t="s">
        <v>99</v>
      </c>
      <c r="G875" t="s">
        <v>84</v>
      </c>
      <c r="H875" t="s">
        <v>31</v>
      </c>
      <c r="I875" t="s">
        <v>67</v>
      </c>
      <c r="J875" t="s">
        <v>1207</v>
      </c>
      <c r="K875" t="s">
        <v>1368</v>
      </c>
      <c r="L875" t="s">
        <v>658</v>
      </c>
      <c r="M875" t="s">
        <v>659</v>
      </c>
      <c r="N875" t="s">
        <v>660</v>
      </c>
      <c r="O875" t="s">
        <v>661</v>
      </c>
      <c r="P875" t="s">
        <v>50</v>
      </c>
      <c r="Q875" t="s">
        <v>51</v>
      </c>
      <c r="R875" t="s">
        <v>1094</v>
      </c>
      <c r="S875" t="s">
        <v>1100</v>
      </c>
      <c r="T875" s="5">
        <v>16</v>
      </c>
      <c r="U875" s="6">
        <v>26.37</v>
      </c>
      <c r="V875" s="6">
        <v>15.75</v>
      </c>
      <c r="W875" s="8"/>
      <c r="X875" s="6">
        <f t="shared" si="65"/>
        <v>421.92</v>
      </c>
      <c r="Y875" s="6">
        <f t="shared" si="66"/>
        <v>252</v>
      </c>
      <c r="Z875" s="6">
        <f t="shared" si="67"/>
        <v>169.92000000000002</v>
      </c>
      <c r="AA875" t="s">
        <v>679</v>
      </c>
      <c r="AC875" s="5">
        <v>1</v>
      </c>
      <c r="AD875" t="s">
        <v>1105</v>
      </c>
      <c r="AE875" t="str">
        <f t="shared" si="68"/>
        <v>2025-09</v>
      </c>
      <c r="AF875" t="str">
        <f t="shared" si="69"/>
        <v>Q3-2025</v>
      </c>
    </row>
    <row r="876" spans="1:32" x14ac:dyDescent="0.3">
      <c r="A876" t="s">
        <v>2175</v>
      </c>
      <c r="B876" s="5">
        <v>2</v>
      </c>
      <c r="C876" s="4">
        <v>45760</v>
      </c>
      <c r="D876" s="4">
        <v>45772</v>
      </c>
      <c r="E876" t="s">
        <v>523</v>
      </c>
      <c r="F876" t="s">
        <v>524</v>
      </c>
      <c r="G876" t="s">
        <v>74</v>
      </c>
      <c r="H876" t="s">
        <v>23</v>
      </c>
      <c r="I876" t="s">
        <v>93</v>
      </c>
      <c r="J876" t="s">
        <v>1192</v>
      </c>
      <c r="K876" t="s">
        <v>1680</v>
      </c>
      <c r="L876" t="s">
        <v>735</v>
      </c>
      <c r="M876" t="s">
        <v>659</v>
      </c>
      <c r="N876" t="s">
        <v>713</v>
      </c>
      <c r="O876" t="s">
        <v>736</v>
      </c>
      <c r="P876" t="s">
        <v>37</v>
      </c>
      <c r="Q876" t="s">
        <v>38</v>
      </c>
      <c r="R876" t="s">
        <v>1094</v>
      </c>
      <c r="S876" t="s">
        <v>1100</v>
      </c>
      <c r="T876" s="5">
        <v>11</v>
      </c>
      <c r="U876" s="6">
        <v>113.2</v>
      </c>
      <c r="V876" s="6">
        <v>77.63</v>
      </c>
      <c r="W876" s="8">
        <v>0</v>
      </c>
      <c r="X876" s="6">
        <f t="shared" si="65"/>
        <v>1245.2</v>
      </c>
      <c r="Y876" s="6">
        <f t="shared" si="66"/>
        <v>853.93</v>
      </c>
      <c r="Z876" s="6">
        <f t="shared" si="67"/>
        <v>391.2700000000001</v>
      </c>
      <c r="AA876" t="s">
        <v>679</v>
      </c>
      <c r="AC876" s="5">
        <v>1</v>
      </c>
      <c r="AD876" t="s">
        <v>1101</v>
      </c>
      <c r="AE876" t="str">
        <f t="shared" si="68"/>
        <v>2025-04</v>
      </c>
      <c r="AF876" t="str">
        <f t="shared" si="69"/>
        <v>Q2-2025</v>
      </c>
    </row>
    <row r="877" spans="1:32" x14ac:dyDescent="0.3">
      <c r="A877" t="s">
        <v>2176</v>
      </c>
      <c r="B877" s="5">
        <v>4</v>
      </c>
      <c r="C877" s="4">
        <v>45927</v>
      </c>
      <c r="D877" s="4">
        <v>45936</v>
      </c>
      <c r="E877" t="s">
        <v>481</v>
      </c>
      <c r="F877" t="s">
        <v>482</v>
      </c>
      <c r="G877" t="s">
        <v>104</v>
      </c>
      <c r="H877" t="s">
        <v>31</v>
      </c>
      <c r="I877" t="s">
        <v>127</v>
      </c>
      <c r="J877" t="s">
        <v>1098</v>
      </c>
      <c r="K877" t="s">
        <v>1099</v>
      </c>
      <c r="L877" t="s">
        <v>922</v>
      </c>
      <c r="M877" t="s">
        <v>795</v>
      </c>
      <c r="N877" t="s">
        <v>898</v>
      </c>
      <c r="O877" t="s">
        <v>923</v>
      </c>
      <c r="P877" t="s">
        <v>50</v>
      </c>
      <c r="Q877" t="s">
        <v>51</v>
      </c>
      <c r="R877" t="s">
        <v>126</v>
      </c>
      <c r="S877" t="s">
        <v>1109</v>
      </c>
      <c r="T877" s="5">
        <v>8</v>
      </c>
      <c r="U877" s="6">
        <v>278.73</v>
      </c>
      <c r="V877" s="6">
        <v>173.34</v>
      </c>
      <c r="W877" s="8">
        <v>0</v>
      </c>
      <c r="X877" s="6">
        <f t="shared" si="65"/>
        <v>2229.84</v>
      </c>
      <c r="Y877" s="6">
        <f t="shared" si="66"/>
        <v>1386.72</v>
      </c>
      <c r="Z877" s="6">
        <f t="shared" si="67"/>
        <v>843.12000000000012</v>
      </c>
      <c r="AA877" t="s">
        <v>679</v>
      </c>
      <c r="AC877" s="5">
        <v>4</v>
      </c>
      <c r="AD877" t="s">
        <v>1110</v>
      </c>
      <c r="AE877" t="str">
        <f t="shared" si="68"/>
        <v>2025-09</v>
      </c>
      <c r="AF877" t="str">
        <f t="shared" si="69"/>
        <v>Q3-2025</v>
      </c>
    </row>
    <row r="878" spans="1:32" x14ac:dyDescent="0.3">
      <c r="A878" t="s">
        <v>2177</v>
      </c>
      <c r="B878" s="5">
        <v>3</v>
      </c>
      <c r="C878" s="4">
        <v>45549</v>
      </c>
      <c r="D878" s="4">
        <v>45562</v>
      </c>
      <c r="E878" t="s">
        <v>194</v>
      </c>
      <c r="F878" t="s">
        <v>195</v>
      </c>
      <c r="G878" t="s">
        <v>84</v>
      </c>
      <c r="H878" t="s">
        <v>31</v>
      </c>
      <c r="I878" t="s">
        <v>160</v>
      </c>
      <c r="J878" t="s">
        <v>1092</v>
      </c>
      <c r="K878" t="s">
        <v>1093</v>
      </c>
      <c r="L878" t="s">
        <v>902</v>
      </c>
      <c r="M878" t="s">
        <v>795</v>
      </c>
      <c r="N878" t="s">
        <v>898</v>
      </c>
      <c r="O878" t="s">
        <v>903</v>
      </c>
      <c r="P878" t="s">
        <v>29</v>
      </c>
      <c r="Q878" t="s">
        <v>30</v>
      </c>
      <c r="R878" t="s">
        <v>1114</v>
      </c>
      <c r="S878" t="s">
        <v>1156</v>
      </c>
      <c r="T878" s="5">
        <v>1</v>
      </c>
      <c r="U878" s="6">
        <v>8.9600000000000009</v>
      </c>
      <c r="V878" s="6">
        <v>5</v>
      </c>
      <c r="W878" s="8">
        <v>0</v>
      </c>
      <c r="X878" s="6">
        <f t="shared" si="65"/>
        <v>8.9600000000000009</v>
      </c>
      <c r="Y878" s="6">
        <f t="shared" si="66"/>
        <v>5</v>
      </c>
      <c r="Z878" s="6">
        <f t="shared" si="67"/>
        <v>3.9600000000000009</v>
      </c>
      <c r="AA878" t="s">
        <v>679</v>
      </c>
      <c r="AC878" s="5">
        <v>4</v>
      </c>
      <c r="AE878" t="str">
        <f t="shared" si="68"/>
        <v>2024-09</v>
      </c>
      <c r="AF878" t="str">
        <f t="shared" si="69"/>
        <v>Q3-2024</v>
      </c>
    </row>
    <row r="879" spans="1:32" x14ac:dyDescent="0.3">
      <c r="A879" t="s">
        <v>2178</v>
      </c>
      <c r="B879" s="5">
        <v>2</v>
      </c>
      <c r="C879" s="4">
        <v>45523</v>
      </c>
      <c r="D879" s="4">
        <v>45533</v>
      </c>
      <c r="E879" t="s">
        <v>424</v>
      </c>
      <c r="F879" t="s">
        <v>425</v>
      </c>
      <c r="G879" t="s">
        <v>74</v>
      </c>
      <c r="H879" t="s">
        <v>31</v>
      </c>
      <c r="I879" t="s">
        <v>127</v>
      </c>
      <c r="J879" t="s">
        <v>1116</v>
      </c>
      <c r="K879" t="s">
        <v>1357</v>
      </c>
      <c r="L879" t="s">
        <v>704</v>
      </c>
      <c r="M879" t="s">
        <v>659</v>
      </c>
      <c r="N879" t="s">
        <v>660</v>
      </c>
      <c r="O879" t="s">
        <v>705</v>
      </c>
      <c r="P879" t="s">
        <v>32</v>
      </c>
      <c r="Q879" t="s">
        <v>33</v>
      </c>
      <c r="R879" t="s">
        <v>1114</v>
      </c>
      <c r="S879" t="s">
        <v>1100</v>
      </c>
      <c r="T879" s="5">
        <v>4</v>
      </c>
      <c r="U879" s="6">
        <v>185.24</v>
      </c>
      <c r="V879" s="6">
        <v>88.5</v>
      </c>
      <c r="W879" s="8">
        <v>0.21970000000000001</v>
      </c>
      <c r="X879" s="6">
        <f t="shared" si="65"/>
        <v>578.17108800000005</v>
      </c>
      <c r="Y879" s="6">
        <f t="shared" si="66"/>
        <v>354</v>
      </c>
      <c r="Z879" s="6">
        <f t="shared" si="67"/>
        <v>224.17108800000005</v>
      </c>
      <c r="AA879" t="s">
        <v>679</v>
      </c>
      <c r="AC879" s="5">
        <v>5</v>
      </c>
      <c r="AD879" t="s">
        <v>1535</v>
      </c>
      <c r="AE879" t="str">
        <f t="shared" si="68"/>
        <v>2024-08</v>
      </c>
      <c r="AF879" t="str">
        <f t="shared" si="69"/>
        <v>Q3-2024</v>
      </c>
    </row>
    <row r="880" spans="1:32" x14ac:dyDescent="0.3">
      <c r="A880" t="s">
        <v>2179</v>
      </c>
      <c r="B880" s="5">
        <v>2</v>
      </c>
      <c r="C880" s="4">
        <v>45911</v>
      </c>
      <c r="D880" s="4">
        <v>45913</v>
      </c>
      <c r="E880" t="s">
        <v>105</v>
      </c>
      <c r="F880" t="s">
        <v>106</v>
      </c>
      <c r="G880" t="s">
        <v>74</v>
      </c>
      <c r="H880" t="s">
        <v>31</v>
      </c>
      <c r="I880" t="s">
        <v>67</v>
      </c>
      <c r="J880" t="s">
        <v>1304</v>
      </c>
      <c r="K880" t="s">
        <v>1363</v>
      </c>
      <c r="L880" t="s">
        <v>946</v>
      </c>
      <c r="M880" t="s">
        <v>929</v>
      </c>
      <c r="N880" t="s">
        <v>930</v>
      </c>
      <c r="O880" t="s">
        <v>947</v>
      </c>
      <c r="P880" t="s">
        <v>53</v>
      </c>
      <c r="Q880" t="s">
        <v>54</v>
      </c>
      <c r="R880" t="s">
        <v>1114</v>
      </c>
      <c r="S880" t="s">
        <v>1089</v>
      </c>
      <c r="T880" s="5">
        <v>10</v>
      </c>
      <c r="U880" s="6">
        <v>161.59</v>
      </c>
      <c r="V880" s="6">
        <v>93.94</v>
      </c>
      <c r="W880" s="8">
        <v>0</v>
      </c>
      <c r="X880" s="6">
        <f t="shared" si="65"/>
        <v>1615.9</v>
      </c>
      <c r="Y880" s="6">
        <f t="shared" si="66"/>
        <v>939.4</v>
      </c>
      <c r="Z880" s="6">
        <f t="shared" si="67"/>
        <v>676.50000000000011</v>
      </c>
      <c r="AA880" t="s">
        <v>679</v>
      </c>
      <c r="AC880" s="5">
        <v>1</v>
      </c>
      <c r="AD880" t="s">
        <v>1369</v>
      </c>
      <c r="AE880" t="str">
        <f t="shared" si="68"/>
        <v>2025-09</v>
      </c>
      <c r="AF880" t="str">
        <f t="shared" si="69"/>
        <v>Q3-2025</v>
      </c>
    </row>
    <row r="881" spans="1:32" x14ac:dyDescent="0.3">
      <c r="A881" t="s">
        <v>2180</v>
      </c>
      <c r="B881" s="5">
        <v>1</v>
      </c>
      <c r="C881" s="4">
        <v>45517</v>
      </c>
      <c r="D881" s="4">
        <v>45518</v>
      </c>
      <c r="E881" t="s">
        <v>243</v>
      </c>
      <c r="F881" t="s">
        <v>244</v>
      </c>
      <c r="G881" t="s">
        <v>74</v>
      </c>
      <c r="H881" t="s">
        <v>23</v>
      </c>
      <c r="I881" t="s">
        <v>109</v>
      </c>
      <c r="J881" t="s">
        <v>1145</v>
      </c>
      <c r="K881" t="s">
        <v>1211</v>
      </c>
      <c r="L881" t="s">
        <v>663</v>
      </c>
      <c r="M881" t="s">
        <v>659</v>
      </c>
      <c r="N881" t="s">
        <v>660</v>
      </c>
      <c r="O881" t="s">
        <v>664</v>
      </c>
      <c r="P881" t="s">
        <v>24</v>
      </c>
      <c r="Q881" t="s">
        <v>25</v>
      </c>
      <c r="R881" t="s">
        <v>1088</v>
      </c>
      <c r="S881" t="s">
        <v>1095</v>
      </c>
      <c r="T881" s="5">
        <v>16</v>
      </c>
      <c r="U881" s="6">
        <v>122.69</v>
      </c>
      <c r="V881" s="6">
        <v>92.23</v>
      </c>
      <c r="W881" s="8"/>
      <c r="X881" s="6">
        <f t="shared" si="65"/>
        <v>1963.04</v>
      </c>
      <c r="Y881" s="6">
        <f t="shared" si="66"/>
        <v>1475.68</v>
      </c>
      <c r="Z881" s="6">
        <f t="shared" si="67"/>
        <v>487.3599999999999</v>
      </c>
      <c r="AA881" t="s">
        <v>679</v>
      </c>
      <c r="AC881" s="5">
        <v>2</v>
      </c>
      <c r="AD881" t="s">
        <v>1096</v>
      </c>
      <c r="AE881" t="str">
        <f t="shared" si="68"/>
        <v>2024-08</v>
      </c>
      <c r="AF881" t="str">
        <f t="shared" si="69"/>
        <v>Q3-2024</v>
      </c>
    </row>
    <row r="882" spans="1:32" x14ac:dyDescent="0.3">
      <c r="A882" t="s">
        <v>2181</v>
      </c>
      <c r="B882" s="5">
        <v>4</v>
      </c>
      <c r="C882" s="4">
        <v>45446</v>
      </c>
      <c r="D882" s="4">
        <v>45448</v>
      </c>
      <c r="E882" t="s">
        <v>459</v>
      </c>
      <c r="F882" t="s">
        <v>460</v>
      </c>
      <c r="G882" t="s">
        <v>74</v>
      </c>
      <c r="H882" t="s">
        <v>31</v>
      </c>
      <c r="I882" t="s">
        <v>160</v>
      </c>
      <c r="J882" t="s">
        <v>1092</v>
      </c>
      <c r="K882" t="s">
        <v>1135</v>
      </c>
      <c r="L882" t="s">
        <v>932</v>
      </c>
      <c r="M882" t="s">
        <v>929</v>
      </c>
      <c r="N882" t="s">
        <v>930</v>
      </c>
      <c r="O882" t="s">
        <v>933</v>
      </c>
      <c r="P882" t="s">
        <v>46</v>
      </c>
      <c r="Q882" t="s">
        <v>47</v>
      </c>
      <c r="R882" t="s">
        <v>1088</v>
      </c>
      <c r="S882" t="s">
        <v>1100</v>
      </c>
      <c r="T882" s="5">
        <v>8</v>
      </c>
      <c r="U882" s="6">
        <v>184.58</v>
      </c>
      <c r="V882" s="6">
        <v>136.69</v>
      </c>
      <c r="W882" s="8">
        <v>0</v>
      </c>
      <c r="X882" s="6">
        <f t="shared" si="65"/>
        <v>1476.64</v>
      </c>
      <c r="Y882" s="6">
        <f t="shared" si="66"/>
        <v>1093.52</v>
      </c>
      <c r="Z882" s="6">
        <f t="shared" si="67"/>
        <v>383.12000000000012</v>
      </c>
      <c r="AA882" t="s">
        <v>679</v>
      </c>
      <c r="AC882" s="5"/>
      <c r="AD882" t="s">
        <v>1136</v>
      </c>
      <c r="AE882" t="str">
        <f t="shared" si="68"/>
        <v>2024-06</v>
      </c>
      <c r="AF882" t="str">
        <f t="shared" si="69"/>
        <v>Q2-2024</v>
      </c>
    </row>
    <row r="883" spans="1:32" x14ac:dyDescent="0.3">
      <c r="A883" t="s">
        <v>2182</v>
      </c>
      <c r="B883" s="5">
        <v>2</v>
      </c>
      <c r="C883" s="4">
        <v>45536</v>
      </c>
      <c r="D883" s="4">
        <v>45537</v>
      </c>
      <c r="E883" t="s">
        <v>546</v>
      </c>
      <c r="F883" t="s">
        <v>547</v>
      </c>
      <c r="G883" t="s">
        <v>65</v>
      </c>
      <c r="H883" t="s">
        <v>41</v>
      </c>
      <c r="I883" t="s">
        <v>86</v>
      </c>
      <c r="J883" t="s">
        <v>1107</v>
      </c>
      <c r="K883" t="s">
        <v>1230</v>
      </c>
      <c r="L883" t="s">
        <v>859</v>
      </c>
      <c r="M883" t="s">
        <v>795</v>
      </c>
      <c r="N883" t="s">
        <v>837</v>
      </c>
      <c r="O883" t="s">
        <v>860</v>
      </c>
      <c r="P883" t="s">
        <v>29</v>
      </c>
      <c r="Q883" t="s">
        <v>30</v>
      </c>
      <c r="R883" t="s">
        <v>1094</v>
      </c>
      <c r="S883" t="s">
        <v>1109</v>
      </c>
      <c r="T883" s="5">
        <v>25</v>
      </c>
      <c r="U883" s="6">
        <v>100.23</v>
      </c>
      <c r="V883" s="6">
        <v>61.5</v>
      </c>
      <c r="W883" s="8">
        <v>0</v>
      </c>
      <c r="X883" s="6">
        <f t="shared" si="65"/>
        <v>2505.75</v>
      </c>
      <c r="Y883" s="6">
        <f t="shared" si="66"/>
        <v>1537.5</v>
      </c>
      <c r="Z883" s="6">
        <f t="shared" si="67"/>
        <v>968.25</v>
      </c>
      <c r="AA883" t="s">
        <v>679</v>
      </c>
      <c r="AC883" s="5">
        <v>4</v>
      </c>
      <c r="AD883" t="s">
        <v>1105</v>
      </c>
      <c r="AE883" t="str">
        <f t="shared" si="68"/>
        <v>2024-09</v>
      </c>
      <c r="AF883" t="str">
        <f t="shared" si="69"/>
        <v>Q3-2024</v>
      </c>
    </row>
    <row r="884" spans="1:32" x14ac:dyDescent="0.3">
      <c r="A884" t="s">
        <v>2183</v>
      </c>
      <c r="B884" s="5">
        <v>3</v>
      </c>
      <c r="C884" s="4">
        <v>45356</v>
      </c>
      <c r="D884" s="4">
        <v>45361</v>
      </c>
      <c r="E884" t="s">
        <v>549</v>
      </c>
      <c r="F884" t="s">
        <v>550</v>
      </c>
      <c r="G884" t="s">
        <v>84</v>
      </c>
      <c r="H884" t="s">
        <v>41</v>
      </c>
      <c r="I884" t="s">
        <v>86</v>
      </c>
      <c r="J884" t="s">
        <v>1086</v>
      </c>
      <c r="K884" t="s">
        <v>1234</v>
      </c>
      <c r="L884" t="s">
        <v>964</v>
      </c>
      <c r="M884" t="s">
        <v>929</v>
      </c>
      <c r="N884" t="s">
        <v>930</v>
      </c>
      <c r="O884" t="s">
        <v>965</v>
      </c>
      <c r="P884" t="s">
        <v>24</v>
      </c>
      <c r="Q884" t="s">
        <v>25</v>
      </c>
      <c r="R884" t="s">
        <v>1094</v>
      </c>
      <c r="S884" t="s">
        <v>1089</v>
      </c>
      <c r="T884" s="5">
        <v>19</v>
      </c>
      <c r="U884" s="6">
        <v>198.13</v>
      </c>
      <c r="V884" s="6">
        <v>101.47</v>
      </c>
      <c r="W884" s="8">
        <v>0</v>
      </c>
      <c r="X884" s="6">
        <f t="shared" si="65"/>
        <v>3764.47</v>
      </c>
      <c r="Y884" s="6">
        <f t="shared" si="66"/>
        <v>1927.93</v>
      </c>
      <c r="Z884" s="6">
        <f t="shared" si="67"/>
        <v>1836.5399999999997</v>
      </c>
      <c r="AA884" t="s">
        <v>679</v>
      </c>
      <c r="AC884" s="5"/>
      <c r="AD884" t="s">
        <v>1123</v>
      </c>
      <c r="AE884" t="str">
        <f t="shared" si="68"/>
        <v>2024-03</v>
      </c>
      <c r="AF884" t="str">
        <f t="shared" si="69"/>
        <v>Q1-2024</v>
      </c>
    </row>
    <row r="885" spans="1:32" x14ac:dyDescent="0.3">
      <c r="A885" t="s">
        <v>2184</v>
      </c>
      <c r="B885" s="5">
        <v>4</v>
      </c>
      <c r="C885" s="4">
        <v>45321</v>
      </c>
      <c r="D885" s="4">
        <v>45327</v>
      </c>
      <c r="E885" t="s">
        <v>554</v>
      </c>
      <c r="F885" t="s">
        <v>555</v>
      </c>
      <c r="G885" t="s">
        <v>74</v>
      </c>
      <c r="H885" t="s">
        <v>41</v>
      </c>
      <c r="I885" t="s">
        <v>86</v>
      </c>
      <c r="J885" t="s">
        <v>1107</v>
      </c>
      <c r="K885" t="s">
        <v>1439</v>
      </c>
      <c r="L885" t="s">
        <v>731</v>
      </c>
      <c r="M885" t="s">
        <v>659</v>
      </c>
      <c r="N885" t="s">
        <v>713</v>
      </c>
      <c r="O885" t="s">
        <v>732</v>
      </c>
      <c r="P885" t="s">
        <v>24</v>
      </c>
      <c r="Q885" t="s">
        <v>25</v>
      </c>
      <c r="R885" t="s">
        <v>1088</v>
      </c>
      <c r="S885" t="s">
        <v>1095</v>
      </c>
      <c r="T885" s="5">
        <v>15</v>
      </c>
      <c r="U885" s="6">
        <v>50.5</v>
      </c>
      <c r="V885" s="6">
        <v>31.94</v>
      </c>
      <c r="W885" s="8">
        <v>0</v>
      </c>
      <c r="X885" s="6">
        <f t="shared" si="65"/>
        <v>757.5</v>
      </c>
      <c r="Y885" s="6">
        <f t="shared" si="66"/>
        <v>479.1</v>
      </c>
      <c r="Z885" s="6">
        <f t="shared" si="67"/>
        <v>278.39999999999998</v>
      </c>
      <c r="AA885" t="s">
        <v>679</v>
      </c>
      <c r="AC885" s="5">
        <v>2</v>
      </c>
      <c r="AD885" t="s">
        <v>1445</v>
      </c>
      <c r="AE885" t="str">
        <f t="shared" si="68"/>
        <v>2024-01</v>
      </c>
      <c r="AF885" t="str">
        <f t="shared" si="69"/>
        <v>Q1-2024</v>
      </c>
    </row>
    <row r="886" spans="1:32" x14ac:dyDescent="0.3">
      <c r="A886" t="s">
        <v>2185</v>
      </c>
      <c r="B886" s="5">
        <v>5</v>
      </c>
      <c r="C886" s="4">
        <v>45616</v>
      </c>
      <c r="D886" s="4">
        <v>45619</v>
      </c>
      <c r="E886" t="s">
        <v>107</v>
      </c>
      <c r="F886" t="s">
        <v>108</v>
      </c>
      <c r="G886" t="s">
        <v>65</v>
      </c>
      <c r="H886" t="s">
        <v>20</v>
      </c>
      <c r="I886" t="s">
        <v>112</v>
      </c>
      <c r="J886" t="s">
        <v>1158</v>
      </c>
      <c r="K886" t="s">
        <v>1159</v>
      </c>
      <c r="L886" t="s">
        <v>960</v>
      </c>
      <c r="M886" t="s">
        <v>929</v>
      </c>
      <c r="N886" t="s">
        <v>930</v>
      </c>
      <c r="O886" t="s">
        <v>961</v>
      </c>
      <c r="P886" t="s">
        <v>48</v>
      </c>
      <c r="Q886" t="s">
        <v>49</v>
      </c>
      <c r="R886" t="s">
        <v>1094</v>
      </c>
      <c r="S886" t="s">
        <v>1089</v>
      </c>
      <c r="T886" s="5">
        <v>5</v>
      </c>
      <c r="U886" s="6">
        <v>231.83</v>
      </c>
      <c r="V886" s="6">
        <v>139.97</v>
      </c>
      <c r="W886" s="8">
        <v>0</v>
      </c>
      <c r="X886" s="6">
        <f t="shared" si="65"/>
        <v>1159.1500000000001</v>
      </c>
      <c r="Y886" s="6">
        <f t="shared" si="66"/>
        <v>699.85</v>
      </c>
      <c r="Z886" s="6">
        <f t="shared" si="67"/>
        <v>459.30000000000007</v>
      </c>
      <c r="AA886" t="s">
        <v>679</v>
      </c>
      <c r="AC886" s="5"/>
      <c r="AD886" t="s">
        <v>1101</v>
      </c>
      <c r="AE886" t="str">
        <f t="shared" si="68"/>
        <v>2024-11</v>
      </c>
      <c r="AF886" t="str">
        <f t="shared" si="69"/>
        <v>Q4-2024</v>
      </c>
    </row>
    <row r="887" spans="1:32" x14ac:dyDescent="0.3">
      <c r="A887" t="s">
        <v>2186</v>
      </c>
      <c r="B887" s="5">
        <v>2</v>
      </c>
      <c r="C887" s="4">
        <v>45426</v>
      </c>
      <c r="D887" s="4">
        <v>45433</v>
      </c>
      <c r="E887" t="s">
        <v>606</v>
      </c>
      <c r="F887" t="s">
        <v>607</v>
      </c>
      <c r="G887" t="s">
        <v>65</v>
      </c>
      <c r="H887" t="s">
        <v>31</v>
      </c>
      <c r="I887" t="s">
        <v>67</v>
      </c>
      <c r="J887" t="s">
        <v>1304</v>
      </c>
      <c r="K887" t="s">
        <v>1342</v>
      </c>
      <c r="L887" t="s">
        <v>952</v>
      </c>
      <c r="M887" t="s">
        <v>929</v>
      </c>
      <c r="N887" t="s">
        <v>930</v>
      </c>
      <c r="O887" t="s">
        <v>953</v>
      </c>
      <c r="P887" t="s">
        <v>27</v>
      </c>
      <c r="Q887" t="s">
        <v>28</v>
      </c>
      <c r="R887" t="s">
        <v>1114</v>
      </c>
      <c r="S887" t="s">
        <v>1095</v>
      </c>
      <c r="T887" s="5">
        <v>9</v>
      </c>
      <c r="U887" s="6">
        <v>234.47</v>
      </c>
      <c r="V887" s="6">
        <v>139.97999999999999</v>
      </c>
      <c r="W887" s="8">
        <v>0</v>
      </c>
      <c r="X887" s="6">
        <f t="shared" si="65"/>
        <v>2110.23</v>
      </c>
      <c r="Y887" s="6">
        <f t="shared" si="66"/>
        <v>1259.82</v>
      </c>
      <c r="Z887" s="6">
        <f t="shared" si="67"/>
        <v>850.41000000000008</v>
      </c>
      <c r="AA887" t="s">
        <v>679</v>
      </c>
      <c r="AC887" s="5"/>
      <c r="AE887" t="str">
        <f t="shared" si="68"/>
        <v>2024-05</v>
      </c>
      <c r="AF887" t="str">
        <f t="shared" si="69"/>
        <v>Q2-2024</v>
      </c>
    </row>
    <row r="888" spans="1:32" x14ac:dyDescent="0.3">
      <c r="A888" t="s">
        <v>2187</v>
      </c>
      <c r="B888" s="5">
        <v>3</v>
      </c>
      <c r="C888" s="4">
        <v>45464</v>
      </c>
      <c r="D888" s="4">
        <v>45475</v>
      </c>
      <c r="E888" t="s">
        <v>377</v>
      </c>
      <c r="F888" t="s">
        <v>378</v>
      </c>
      <c r="G888" t="s">
        <v>80</v>
      </c>
      <c r="H888" t="s">
        <v>20</v>
      </c>
      <c r="I888" t="s">
        <v>112</v>
      </c>
      <c r="J888" t="s">
        <v>1158</v>
      </c>
      <c r="K888" t="s">
        <v>1159</v>
      </c>
      <c r="L888" t="s">
        <v>855</v>
      </c>
      <c r="M888" t="s">
        <v>795</v>
      </c>
      <c r="N888" t="s">
        <v>837</v>
      </c>
      <c r="O888" t="s">
        <v>856</v>
      </c>
      <c r="P888" t="s">
        <v>21</v>
      </c>
      <c r="Q888" t="s">
        <v>22</v>
      </c>
      <c r="R888" t="s">
        <v>1114</v>
      </c>
      <c r="S888" t="s">
        <v>1095</v>
      </c>
      <c r="T888" s="5">
        <v>9</v>
      </c>
      <c r="U888" s="6">
        <v>221.66</v>
      </c>
      <c r="V888" s="6">
        <v>134.72</v>
      </c>
      <c r="W888" s="8">
        <v>0</v>
      </c>
      <c r="X888" s="6">
        <f t="shared" si="65"/>
        <v>1994.94</v>
      </c>
      <c r="Y888" s="6">
        <f t="shared" si="66"/>
        <v>1212.48</v>
      </c>
      <c r="Z888" s="6">
        <f t="shared" si="67"/>
        <v>782.46</v>
      </c>
      <c r="AA888" t="s">
        <v>679</v>
      </c>
      <c r="AC888" s="5"/>
      <c r="AD888" t="s">
        <v>1105</v>
      </c>
      <c r="AE888" t="str">
        <f t="shared" si="68"/>
        <v>2024-06</v>
      </c>
      <c r="AF888" t="str">
        <f t="shared" si="69"/>
        <v>Q2-2024</v>
      </c>
    </row>
    <row r="889" spans="1:32" x14ac:dyDescent="0.3">
      <c r="A889" t="s">
        <v>2188</v>
      </c>
      <c r="B889" s="5">
        <v>3</v>
      </c>
      <c r="C889" s="4">
        <v>45838</v>
      </c>
      <c r="D889" s="4">
        <v>45845</v>
      </c>
      <c r="E889" t="s">
        <v>508</v>
      </c>
      <c r="F889" t="s">
        <v>1375</v>
      </c>
      <c r="G889" t="s">
        <v>104</v>
      </c>
      <c r="H889" t="s">
        <v>20</v>
      </c>
      <c r="I889" t="s">
        <v>90</v>
      </c>
      <c r="J889" t="s">
        <v>1262</v>
      </c>
      <c r="K889" t="s">
        <v>1297</v>
      </c>
      <c r="L889" t="s">
        <v>812</v>
      </c>
      <c r="M889" t="s">
        <v>795</v>
      </c>
      <c r="N889" t="s">
        <v>796</v>
      </c>
      <c r="O889" t="s">
        <v>813</v>
      </c>
      <c r="P889" t="s">
        <v>46</v>
      </c>
      <c r="Q889" t="s">
        <v>47</v>
      </c>
      <c r="R889" t="s">
        <v>1088</v>
      </c>
      <c r="S889" t="s">
        <v>1109</v>
      </c>
      <c r="T889" s="5">
        <v>8</v>
      </c>
      <c r="U889" s="6">
        <v>135.37</v>
      </c>
      <c r="V889" s="6">
        <v>76.83</v>
      </c>
      <c r="W889" s="8">
        <v>0.34029999999999999</v>
      </c>
      <c r="X889" s="6">
        <f t="shared" si="65"/>
        <v>714.42871200000002</v>
      </c>
      <c r="Y889" s="6">
        <f t="shared" si="66"/>
        <v>614.64</v>
      </c>
      <c r="Z889" s="6">
        <f t="shared" si="67"/>
        <v>99.788712000000032</v>
      </c>
      <c r="AA889" t="s">
        <v>679</v>
      </c>
      <c r="AC889" s="5">
        <v>3</v>
      </c>
      <c r="AD889" t="s">
        <v>1123</v>
      </c>
      <c r="AE889" t="str">
        <f t="shared" si="68"/>
        <v>2025-06</v>
      </c>
      <c r="AF889" t="str">
        <f t="shared" si="69"/>
        <v>Q2-2025</v>
      </c>
    </row>
    <row r="890" spans="1:32" x14ac:dyDescent="0.3">
      <c r="A890" t="s">
        <v>2189</v>
      </c>
      <c r="B890" s="5">
        <v>2</v>
      </c>
      <c r="C890" s="4">
        <v>45755</v>
      </c>
      <c r="D890" s="4">
        <v>45769</v>
      </c>
      <c r="E890" t="s">
        <v>568</v>
      </c>
      <c r="F890" t="s">
        <v>569</v>
      </c>
      <c r="G890" t="s">
        <v>65</v>
      </c>
      <c r="H890" t="s">
        <v>20</v>
      </c>
      <c r="I890" t="s">
        <v>71</v>
      </c>
      <c r="J890" t="s">
        <v>1166</v>
      </c>
      <c r="K890" t="s">
        <v>1167</v>
      </c>
      <c r="L890" t="s">
        <v>828</v>
      </c>
      <c r="M890" t="s">
        <v>795</v>
      </c>
      <c r="N890" t="s">
        <v>796</v>
      </c>
      <c r="O890" t="s">
        <v>829</v>
      </c>
      <c r="P890" t="s">
        <v>46</v>
      </c>
      <c r="Q890" t="s">
        <v>47</v>
      </c>
      <c r="R890" t="s">
        <v>1088</v>
      </c>
      <c r="S890" t="s">
        <v>1095</v>
      </c>
      <c r="T890" s="5">
        <v>43</v>
      </c>
      <c r="U890" s="6">
        <v>187.19</v>
      </c>
      <c r="V890" s="6">
        <v>151.4</v>
      </c>
      <c r="W890" s="8">
        <v>0</v>
      </c>
      <c r="X890" s="6">
        <f t="shared" si="65"/>
        <v>8049.17</v>
      </c>
      <c r="Y890" s="6">
        <f t="shared" si="66"/>
        <v>6510.2</v>
      </c>
      <c r="Z890" s="6">
        <f t="shared" si="67"/>
        <v>1538.9700000000003</v>
      </c>
      <c r="AA890" t="s">
        <v>679</v>
      </c>
      <c r="AC890" s="5">
        <v>3</v>
      </c>
      <c r="AE890" t="str">
        <f t="shared" si="68"/>
        <v>2025-04</v>
      </c>
      <c r="AF890" t="str">
        <f t="shared" si="69"/>
        <v>Q2-2025</v>
      </c>
    </row>
    <row r="891" spans="1:32" x14ac:dyDescent="0.3">
      <c r="A891" t="s">
        <v>2190</v>
      </c>
      <c r="B891" s="5">
        <v>2</v>
      </c>
      <c r="C891" s="4">
        <v>45596</v>
      </c>
      <c r="D891" s="4">
        <v>45610</v>
      </c>
      <c r="E891" t="s">
        <v>618</v>
      </c>
      <c r="F891" t="s">
        <v>122</v>
      </c>
      <c r="G891" t="s">
        <v>74</v>
      </c>
      <c r="H891" t="s">
        <v>23</v>
      </c>
      <c r="I891" t="s">
        <v>109</v>
      </c>
      <c r="J891" t="s">
        <v>1138</v>
      </c>
      <c r="K891" t="s">
        <v>1371</v>
      </c>
      <c r="L891" t="s">
        <v>1044</v>
      </c>
      <c r="M891" t="s">
        <v>1002</v>
      </c>
      <c r="N891" t="s">
        <v>1034</v>
      </c>
      <c r="O891" t="s">
        <v>1045</v>
      </c>
      <c r="P891" t="s">
        <v>42</v>
      </c>
      <c r="Q891" t="s">
        <v>43</v>
      </c>
      <c r="R891" t="s">
        <v>1094</v>
      </c>
      <c r="S891" t="s">
        <v>1089</v>
      </c>
      <c r="T891" s="5">
        <v>10</v>
      </c>
      <c r="U891" s="6">
        <v>295.83999999999997</v>
      </c>
      <c r="V891" s="6">
        <v>175.12</v>
      </c>
      <c r="W891" s="8">
        <v>0</v>
      </c>
      <c r="X891" s="6">
        <f t="shared" si="65"/>
        <v>2958.3999999999996</v>
      </c>
      <c r="Y891" s="6">
        <f t="shared" si="66"/>
        <v>1751.2</v>
      </c>
      <c r="Z891" s="6">
        <f t="shared" si="67"/>
        <v>1207.1999999999996</v>
      </c>
      <c r="AA891" t="s">
        <v>679</v>
      </c>
      <c r="AC891" s="5"/>
      <c r="AD891" t="s">
        <v>1110</v>
      </c>
      <c r="AE891" t="str">
        <f t="shared" si="68"/>
        <v>2024-10</v>
      </c>
      <c r="AF891" t="str">
        <f t="shared" si="69"/>
        <v>Q4-2024</v>
      </c>
    </row>
    <row r="892" spans="1:32" x14ac:dyDescent="0.3">
      <c r="A892" t="s">
        <v>2191</v>
      </c>
      <c r="B892" s="5">
        <v>2</v>
      </c>
      <c r="C892" s="4">
        <v>46007</v>
      </c>
      <c r="D892" s="4">
        <v>46007</v>
      </c>
      <c r="E892" t="s">
        <v>356</v>
      </c>
      <c r="F892" t="s">
        <v>357</v>
      </c>
      <c r="G892" t="s">
        <v>65</v>
      </c>
      <c r="H892" t="s">
        <v>31</v>
      </c>
      <c r="I892" t="s">
        <v>67</v>
      </c>
      <c r="J892" t="s">
        <v>1207</v>
      </c>
      <c r="K892" t="s">
        <v>1208</v>
      </c>
      <c r="L892" t="s">
        <v>916</v>
      </c>
      <c r="M892" t="s">
        <v>795</v>
      </c>
      <c r="N892" t="s">
        <v>898</v>
      </c>
      <c r="O892" t="s">
        <v>917</v>
      </c>
      <c r="P892" t="s">
        <v>34</v>
      </c>
      <c r="Q892" t="s">
        <v>35</v>
      </c>
      <c r="R892" t="s">
        <v>1114</v>
      </c>
      <c r="S892" t="s">
        <v>1095</v>
      </c>
      <c r="T892" s="5">
        <v>10</v>
      </c>
      <c r="U892" s="6">
        <v>139.16999999999999</v>
      </c>
      <c r="V892" s="6">
        <v>116.38</v>
      </c>
      <c r="W892" s="8">
        <v>6.6400000000000001E-2</v>
      </c>
      <c r="X892" s="6">
        <f t="shared" si="65"/>
        <v>1299.2911199999999</v>
      </c>
      <c r="Y892" s="6">
        <f t="shared" si="66"/>
        <v>1163.8</v>
      </c>
      <c r="Z892" s="6">
        <f t="shared" si="67"/>
        <v>135.49111999999991</v>
      </c>
      <c r="AA892" t="s">
        <v>679</v>
      </c>
      <c r="AC892" s="5">
        <v>2</v>
      </c>
      <c r="AD892" t="s">
        <v>1110</v>
      </c>
      <c r="AE892" t="str">
        <f t="shared" si="68"/>
        <v>2025-12</v>
      </c>
      <c r="AF892" t="str">
        <f t="shared" si="69"/>
        <v>Q4-2025</v>
      </c>
    </row>
    <row r="893" spans="1:32" x14ac:dyDescent="0.3">
      <c r="A893" t="s">
        <v>2192</v>
      </c>
      <c r="B893" s="5">
        <v>5</v>
      </c>
      <c r="C893" s="4">
        <v>45596</v>
      </c>
      <c r="D893" s="4">
        <v>45604</v>
      </c>
      <c r="E893" t="s">
        <v>211</v>
      </c>
      <c r="F893" t="s">
        <v>212</v>
      </c>
      <c r="G893" t="s">
        <v>65</v>
      </c>
      <c r="H893" t="s">
        <v>41</v>
      </c>
      <c r="I893" t="s">
        <v>75</v>
      </c>
      <c r="J893" t="s">
        <v>1142</v>
      </c>
      <c r="K893" t="s">
        <v>1205</v>
      </c>
      <c r="L893" t="s">
        <v>1058</v>
      </c>
      <c r="M893" t="s">
        <v>1002</v>
      </c>
      <c r="N893" t="s">
        <v>1034</v>
      </c>
      <c r="O893" t="s">
        <v>1059</v>
      </c>
      <c r="P893" t="s">
        <v>27</v>
      </c>
      <c r="Q893" t="s">
        <v>28</v>
      </c>
      <c r="R893" t="s">
        <v>1094</v>
      </c>
      <c r="S893" t="s">
        <v>1095</v>
      </c>
      <c r="T893" s="5">
        <v>16</v>
      </c>
      <c r="U893" s="6">
        <v>203.29</v>
      </c>
      <c r="V893" s="6">
        <v>102.47</v>
      </c>
      <c r="W893" s="8">
        <v>0.1983</v>
      </c>
      <c r="X893" s="6">
        <f t="shared" si="65"/>
        <v>2607.6414879999998</v>
      </c>
      <c r="Y893" s="6">
        <f t="shared" si="66"/>
        <v>1639.52</v>
      </c>
      <c r="Z893" s="6">
        <f t="shared" si="67"/>
        <v>968.12148799999977</v>
      </c>
      <c r="AA893" t="s">
        <v>679</v>
      </c>
      <c r="AC893" s="5">
        <v>1</v>
      </c>
      <c r="AD893" t="s">
        <v>1148</v>
      </c>
      <c r="AE893" t="str">
        <f t="shared" si="68"/>
        <v>2024-10</v>
      </c>
      <c r="AF893" t="str">
        <f t="shared" si="69"/>
        <v>Q4-2024</v>
      </c>
    </row>
    <row r="894" spans="1:32" x14ac:dyDescent="0.3">
      <c r="A894" t="s">
        <v>2193</v>
      </c>
      <c r="B894" s="5">
        <v>3</v>
      </c>
      <c r="C894" s="4">
        <v>45918</v>
      </c>
      <c r="D894" s="4">
        <v>45932</v>
      </c>
      <c r="E894" t="s">
        <v>514</v>
      </c>
      <c r="F894" t="s">
        <v>515</v>
      </c>
      <c r="G894" t="s">
        <v>74</v>
      </c>
      <c r="H894" t="s">
        <v>20</v>
      </c>
      <c r="I894" t="s">
        <v>90</v>
      </c>
      <c r="J894" t="s">
        <v>1262</v>
      </c>
      <c r="K894" t="s">
        <v>1263</v>
      </c>
      <c r="L894" t="s">
        <v>808</v>
      </c>
      <c r="M894" t="s">
        <v>795</v>
      </c>
      <c r="N894" t="s">
        <v>796</v>
      </c>
      <c r="O894" t="s">
        <v>809</v>
      </c>
      <c r="P894" t="s">
        <v>42</v>
      </c>
      <c r="Q894" t="s">
        <v>43</v>
      </c>
      <c r="R894" t="s">
        <v>1114</v>
      </c>
      <c r="S894" t="s">
        <v>1109</v>
      </c>
      <c r="T894" s="5">
        <v>18</v>
      </c>
      <c r="U894" s="6">
        <v>206.11</v>
      </c>
      <c r="V894" s="6">
        <v>94.12</v>
      </c>
      <c r="W894" s="8">
        <v>0</v>
      </c>
      <c r="X894" s="6">
        <f t="shared" si="65"/>
        <v>3709.9800000000005</v>
      </c>
      <c r="Y894" s="6">
        <f t="shared" si="66"/>
        <v>1694.16</v>
      </c>
      <c r="Z894" s="6">
        <f t="shared" si="67"/>
        <v>2015.8200000000004</v>
      </c>
      <c r="AA894" t="s">
        <v>679</v>
      </c>
      <c r="AC894" s="5"/>
      <c r="AE894" t="str">
        <f t="shared" si="68"/>
        <v>2025-09</v>
      </c>
      <c r="AF894" t="str">
        <f t="shared" si="69"/>
        <v>Q3-2025</v>
      </c>
    </row>
    <row r="895" spans="1:32" x14ac:dyDescent="0.3">
      <c r="A895" t="s">
        <v>2194</v>
      </c>
      <c r="B895" s="5">
        <v>3</v>
      </c>
      <c r="C895" s="4">
        <v>45697</v>
      </c>
      <c r="D895" s="4">
        <v>45698</v>
      </c>
      <c r="E895" t="s">
        <v>601</v>
      </c>
      <c r="F895" t="s">
        <v>602</v>
      </c>
      <c r="G895" t="s">
        <v>65</v>
      </c>
      <c r="H895" t="s">
        <v>23</v>
      </c>
      <c r="I895" t="s">
        <v>81</v>
      </c>
      <c r="J895" t="s">
        <v>1119</v>
      </c>
      <c r="K895" t="s">
        <v>1120</v>
      </c>
      <c r="L895" t="s">
        <v>938</v>
      </c>
      <c r="M895" t="s">
        <v>929</v>
      </c>
      <c r="N895" t="s">
        <v>930</v>
      </c>
      <c r="O895" t="s">
        <v>939</v>
      </c>
      <c r="P895" t="s">
        <v>46</v>
      </c>
      <c r="Q895" t="s">
        <v>47</v>
      </c>
      <c r="R895" t="s">
        <v>1094</v>
      </c>
      <c r="S895" t="s">
        <v>1156</v>
      </c>
      <c r="T895" s="5">
        <v>7</v>
      </c>
      <c r="U895" s="6">
        <v>283.61</v>
      </c>
      <c r="V895" s="6">
        <v>175.97</v>
      </c>
      <c r="W895" s="8">
        <v>0</v>
      </c>
      <c r="X895" s="6">
        <f t="shared" si="65"/>
        <v>1985.27</v>
      </c>
      <c r="Y895" s="6">
        <f t="shared" si="66"/>
        <v>1231.79</v>
      </c>
      <c r="Z895" s="6">
        <f t="shared" si="67"/>
        <v>753.48</v>
      </c>
      <c r="AA895" t="s">
        <v>679</v>
      </c>
      <c r="AC895" s="5">
        <v>3</v>
      </c>
      <c r="AD895" t="s">
        <v>1148</v>
      </c>
      <c r="AE895" t="str">
        <f t="shared" si="68"/>
        <v>2025-02</v>
      </c>
      <c r="AF895" t="str">
        <f t="shared" si="69"/>
        <v>Q1-2025</v>
      </c>
    </row>
    <row r="896" spans="1:32" x14ac:dyDescent="0.3">
      <c r="A896" t="s">
        <v>2195</v>
      </c>
      <c r="B896" s="5">
        <v>3</v>
      </c>
      <c r="C896" s="4">
        <v>45824</v>
      </c>
      <c r="D896" s="4">
        <v>45834</v>
      </c>
      <c r="E896" t="s">
        <v>395</v>
      </c>
      <c r="F896" t="s">
        <v>2196</v>
      </c>
      <c r="G896" t="s">
        <v>74</v>
      </c>
      <c r="H896" t="s">
        <v>41</v>
      </c>
      <c r="I896" t="s">
        <v>75</v>
      </c>
      <c r="J896" t="s">
        <v>1142</v>
      </c>
      <c r="K896" t="s">
        <v>1143</v>
      </c>
      <c r="L896" t="s">
        <v>686</v>
      </c>
      <c r="M896" t="s">
        <v>659</v>
      </c>
      <c r="N896" t="s">
        <v>660</v>
      </c>
      <c r="O896" t="s">
        <v>687</v>
      </c>
      <c r="P896" t="s">
        <v>27</v>
      </c>
      <c r="Q896" t="s">
        <v>28</v>
      </c>
      <c r="R896" t="s">
        <v>1088</v>
      </c>
      <c r="S896" t="s">
        <v>1156</v>
      </c>
      <c r="T896" s="5">
        <v>4</v>
      </c>
      <c r="U896" s="6">
        <v>7.28</v>
      </c>
      <c r="V896" s="6">
        <v>5</v>
      </c>
      <c r="W896" s="8">
        <v>0.1459</v>
      </c>
      <c r="X896" s="6">
        <f t="shared" si="65"/>
        <v>24.871392</v>
      </c>
      <c r="Y896" s="6">
        <f t="shared" si="66"/>
        <v>20</v>
      </c>
      <c r="Z896" s="6">
        <f t="shared" si="67"/>
        <v>4.8713920000000002</v>
      </c>
      <c r="AA896" t="s">
        <v>679</v>
      </c>
      <c r="AC896" s="5">
        <v>4</v>
      </c>
      <c r="AD896" t="s">
        <v>1101</v>
      </c>
      <c r="AE896" t="str">
        <f t="shared" si="68"/>
        <v>2025-06</v>
      </c>
      <c r="AF896" t="str">
        <f t="shared" si="69"/>
        <v>Q2-2025</v>
      </c>
    </row>
    <row r="897" spans="1:32" x14ac:dyDescent="0.3">
      <c r="A897" t="s">
        <v>2197</v>
      </c>
      <c r="B897" s="5">
        <v>1</v>
      </c>
      <c r="C897" s="4">
        <v>45455</v>
      </c>
      <c r="D897" s="4">
        <v>45469</v>
      </c>
      <c r="E897" t="s">
        <v>188</v>
      </c>
      <c r="F897" t="s">
        <v>189</v>
      </c>
      <c r="G897" t="s">
        <v>74</v>
      </c>
      <c r="H897" t="s">
        <v>41</v>
      </c>
      <c r="I897" t="s">
        <v>86</v>
      </c>
      <c r="J897" t="s">
        <v>1107</v>
      </c>
      <c r="K897" t="s">
        <v>1108</v>
      </c>
      <c r="L897" t="s">
        <v>715</v>
      </c>
      <c r="M897" t="s">
        <v>659</v>
      </c>
      <c r="N897" t="s">
        <v>713</v>
      </c>
      <c r="O897" t="s">
        <v>716</v>
      </c>
      <c r="P897" t="s">
        <v>34</v>
      </c>
      <c r="Q897" t="s">
        <v>35</v>
      </c>
      <c r="R897" t="s">
        <v>1088</v>
      </c>
      <c r="S897" t="s">
        <v>1095</v>
      </c>
      <c r="T897" s="5">
        <v>31</v>
      </c>
      <c r="U897" s="6">
        <v>23.37</v>
      </c>
      <c r="V897" s="6">
        <v>19.63</v>
      </c>
      <c r="W897" s="8">
        <v>0.2944</v>
      </c>
      <c r="X897" s="6">
        <f t="shared" si="65"/>
        <v>511.18603200000001</v>
      </c>
      <c r="Y897" s="6">
        <f t="shared" si="66"/>
        <v>608.53</v>
      </c>
      <c r="Z897" s="6">
        <f t="shared" si="67"/>
        <v>-97.343967999999961</v>
      </c>
      <c r="AA897" t="s">
        <v>679</v>
      </c>
      <c r="AC897" s="5">
        <v>5</v>
      </c>
      <c r="AD897" t="s">
        <v>1148</v>
      </c>
      <c r="AE897" t="str">
        <f t="shared" si="68"/>
        <v>2024-06</v>
      </c>
      <c r="AF897" t="str">
        <f t="shared" si="69"/>
        <v>Q2-2024</v>
      </c>
    </row>
    <row r="898" spans="1:32" x14ac:dyDescent="0.3">
      <c r="A898" t="s">
        <v>2198</v>
      </c>
      <c r="B898" s="5">
        <v>1</v>
      </c>
      <c r="C898" s="4">
        <v>45784</v>
      </c>
      <c r="D898" s="4">
        <v>45797</v>
      </c>
      <c r="E898" t="s">
        <v>407</v>
      </c>
      <c r="F898" t="s">
        <v>292</v>
      </c>
      <c r="G898" t="s">
        <v>65</v>
      </c>
      <c r="H898" t="s">
        <v>23</v>
      </c>
      <c r="I898" t="s">
        <v>109</v>
      </c>
      <c r="J898" t="s">
        <v>1145</v>
      </c>
      <c r="K898" t="s">
        <v>1146</v>
      </c>
      <c r="L898" t="s">
        <v>857</v>
      </c>
      <c r="M898" t="s">
        <v>795</v>
      </c>
      <c r="N898" t="s">
        <v>837</v>
      </c>
      <c r="O898" t="s">
        <v>858</v>
      </c>
      <c r="P898" t="s">
        <v>27</v>
      </c>
      <c r="Q898" t="s">
        <v>28</v>
      </c>
      <c r="R898" t="s">
        <v>1088</v>
      </c>
      <c r="S898" t="s">
        <v>1156</v>
      </c>
      <c r="T898" s="5">
        <v>3</v>
      </c>
      <c r="U898" s="6">
        <v>188.73</v>
      </c>
      <c r="V898" s="6">
        <v>111.57</v>
      </c>
      <c r="W898" s="8">
        <v>0</v>
      </c>
      <c r="X898" s="6">
        <f t="shared" ref="X898:X961" si="70">T898*U898*(1-IF(ISBLANK(W898),0,W898))</f>
        <v>566.18999999999994</v>
      </c>
      <c r="Y898" s="6">
        <f t="shared" ref="Y898:Y961" si="71">T898*V898</f>
        <v>334.71</v>
      </c>
      <c r="Z898" s="6">
        <f t="shared" ref="Z898:Z961" si="72">X898-Y898</f>
        <v>231.47999999999996</v>
      </c>
      <c r="AA898" t="s">
        <v>679</v>
      </c>
      <c r="AC898" s="5">
        <v>2</v>
      </c>
      <c r="AD898" t="s">
        <v>1096</v>
      </c>
      <c r="AE898" t="str">
        <f t="shared" ref="AE898:AE961" si="73">TEXT(C898,"yyyy-mm")</f>
        <v>2025-05</v>
      </c>
      <c r="AF898" t="str">
        <f t="shared" ref="AF898:AF961" si="74">"Q"&amp;ROUNDUP(MONTH(C898)/3,0)&amp;"-"&amp;YEAR(C898)</f>
        <v>Q2-2025</v>
      </c>
    </row>
    <row r="899" spans="1:32" x14ac:dyDescent="0.3">
      <c r="A899" t="s">
        <v>2199</v>
      </c>
      <c r="B899" s="5">
        <v>5</v>
      </c>
      <c r="C899" s="4">
        <v>45464</v>
      </c>
      <c r="D899" s="4">
        <v>45468</v>
      </c>
      <c r="E899" t="s">
        <v>483</v>
      </c>
      <c r="F899" t="s">
        <v>484</v>
      </c>
      <c r="G899" t="s">
        <v>84</v>
      </c>
      <c r="H899" t="s">
        <v>20</v>
      </c>
      <c r="I899" t="s">
        <v>90</v>
      </c>
      <c r="J899" t="s">
        <v>1262</v>
      </c>
      <c r="K899" t="s">
        <v>1297</v>
      </c>
      <c r="L899" t="s">
        <v>914</v>
      </c>
      <c r="M899" t="s">
        <v>795</v>
      </c>
      <c r="N899" t="s">
        <v>898</v>
      </c>
      <c r="O899" t="s">
        <v>915</v>
      </c>
      <c r="P899" t="s">
        <v>32</v>
      </c>
      <c r="Q899" t="s">
        <v>33</v>
      </c>
      <c r="R899" t="s">
        <v>1094</v>
      </c>
      <c r="S899" t="s">
        <v>1109</v>
      </c>
      <c r="T899" s="5">
        <v>9</v>
      </c>
      <c r="U899" s="6">
        <v>172.89</v>
      </c>
      <c r="V899" s="6">
        <v>105.78</v>
      </c>
      <c r="W899" s="8">
        <v>0</v>
      </c>
      <c r="X899" s="6">
        <f t="shared" si="70"/>
        <v>1556.0099999999998</v>
      </c>
      <c r="Y899" s="6">
        <f t="shared" si="71"/>
        <v>952.02</v>
      </c>
      <c r="Z899" s="6">
        <f t="shared" si="72"/>
        <v>603.98999999999978</v>
      </c>
      <c r="AA899" t="s">
        <v>679</v>
      </c>
      <c r="AC899" s="5">
        <v>1</v>
      </c>
      <c r="AD899" t="s">
        <v>1110</v>
      </c>
      <c r="AE899" t="str">
        <f t="shared" si="73"/>
        <v>2024-06</v>
      </c>
      <c r="AF899" t="str">
        <f t="shared" si="74"/>
        <v>Q2-2024</v>
      </c>
    </row>
    <row r="900" spans="1:32" x14ac:dyDescent="0.3">
      <c r="A900" t="s">
        <v>2200</v>
      </c>
      <c r="B900" s="5">
        <v>2</v>
      </c>
      <c r="C900" s="4">
        <v>45770</v>
      </c>
      <c r="D900" s="4">
        <v>45772</v>
      </c>
      <c r="E900" t="s">
        <v>467</v>
      </c>
      <c r="F900" t="s">
        <v>468</v>
      </c>
      <c r="G900" t="s">
        <v>80</v>
      </c>
      <c r="H900" t="s">
        <v>41</v>
      </c>
      <c r="I900" t="s">
        <v>86</v>
      </c>
      <c r="J900" t="s">
        <v>1107</v>
      </c>
      <c r="K900" t="s">
        <v>1230</v>
      </c>
      <c r="L900" t="s">
        <v>696</v>
      </c>
      <c r="M900" t="s">
        <v>659</v>
      </c>
      <c r="N900" t="s">
        <v>660</v>
      </c>
      <c r="O900" t="s">
        <v>697</v>
      </c>
      <c r="P900" t="s">
        <v>44</v>
      </c>
      <c r="Q900" t="s">
        <v>45</v>
      </c>
      <c r="R900" t="s">
        <v>1088</v>
      </c>
      <c r="S900" t="s">
        <v>1156</v>
      </c>
      <c r="T900" s="5">
        <v>2</v>
      </c>
      <c r="U900" s="6">
        <v>88.55</v>
      </c>
      <c r="V900" s="6">
        <v>66.25</v>
      </c>
      <c r="W900" s="8">
        <v>0</v>
      </c>
      <c r="X900" s="6">
        <f t="shared" si="70"/>
        <v>177.1</v>
      </c>
      <c r="Y900" s="6">
        <f t="shared" si="71"/>
        <v>132.5</v>
      </c>
      <c r="Z900" s="6">
        <f t="shared" si="72"/>
        <v>44.599999999999994</v>
      </c>
      <c r="AA900" t="s">
        <v>679</v>
      </c>
      <c r="AC900" s="5">
        <v>1</v>
      </c>
      <c r="AD900" t="s">
        <v>1101</v>
      </c>
      <c r="AE900" t="str">
        <f t="shared" si="73"/>
        <v>2025-04</v>
      </c>
      <c r="AF900" t="str">
        <f t="shared" si="74"/>
        <v>Q2-2025</v>
      </c>
    </row>
    <row r="901" spans="1:32" x14ac:dyDescent="0.3">
      <c r="A901" t="s">
        <v>2201</v>
      </c>
      <c r="B901" s="5">
        <v>1</v>
      </c>
      <c r="C901" s="4">
        <v>45845</v>
      </c>
      <c r="D901" s="4">
        <v>45859</v>
      </c>
      <c r="E901" t="s">
        <v>549</v>
      </c>
      <c r="F901" t="s">
        <v>550</v>
      </c>
      <c r="G901" t="s">
        <v>84</v>
      </c>
      <c r="H901" t="s">
        <v>20</v>
      </c>
      <c r="I901" t="s">
        <v>71</v>
      </c>
      <c r="J901" t="s">
        <v>1166</v>
      </c>
      <c r="K901" t="s">
        <v>1167</v>
      </c>
      <c r="L901" t="s">
        <v>900</v>
      </c>
      <c r="M901" t="s">
        <v>795</v>
      </c>
      <c r="N901" t="s">
        <v>898</v>
      </c>
      <c r="O901" t="s">
        <v>901</v>
      </c>
      <c r="P901" t="s">
        <v>48</v>
      </c>
      <c r="Q901" t="s">
        <v>49</v>
      </c>
      <c r="R901" t="s">
        <v>1114</v>
      </c>
      <c r="S901" t="s">
        <v>1156</v>
      </c>
      <c r="T901" s="5">
        <v>23</v>
      </c>
      <c r="U901" s="6">
        <v>172.42</v>
      </c>
      <c r="V901" s="6">
        <v>103.83</v>
      </c>
      <c r="W901" s="8">
        <v>0</v>
      </c>
      <c r="X901" s="6">
        <f t="shared" si="70"/>
        <v>3965.66</v>
      </c>
      <c r="Y901" s="6">
        <f t="shared" si="71"/>
        <v>2388.09</v>
      </c>
      <c r="Z901" s="6">
        <f t="shared" si="72"/>
        <v>1577.5699999999997</v>
      </c>
      <c r="AA901" t="s">
        <v>679</v>
      </c>
      <c r="AC901" s="5">
        <v>3</v>
      </c>
      <c r="AD901" t="s">
        <v>1110</v>
      </c>
      <c r="AE901" t="str">
        <f t="shared" si="73"/>
        <v>2025-07</v>
      </c>
      <c r="AF901" t="str">
        <f t="shared" si="74"/>
        <v>Q3-2025</v>
      </c>
    </row>
    <row r="902" spans="1:32" x14ac:dyDescent="0.3">
      <c r="A902" t="s">
        <v>2202</v>
      </c>
      <c r="B902" s="5">
        <v>4</v>
      </c>
      <c r="C902" s="4">
        <v>45965</v>
      </c>
      <c r="D902" s="4">
        <v>45973</v>
      </c>
      <c r="E902" t="s">
        <v>283</v>
      </c>
      <c r="F902" t="s">
        <v>284</v>
      </c>
      <c r="G902" t="s">
        <v>84</v>
      </c>
      <c r="H902" t="s">
        <v>23</v>
      </c>
      <c r="I902" t="s">
        <v>81</v>
      </c>
      <c r="J902" t="s">
        <v>1119</v>
      </c>
      <c r="K902" t="s">
        <v>1120</v>
      </c>
      <c r="L902" t="s">
        <v>893</v>
      </c>
      <c r="M902" t="s">
        <v>795</v>
      </c>
      <c r="N902" t="s">
        <v>837</v>
      </c>
      <c r="O902" t="s">
        <v>894</v>
      </c>
      <c r="P902" t="s">
        <v>53</v>
      </c>
      <c r="Q902" t="s">
        <v>54</v>
      </c>
      <c r="R902" t="s">
        <v>1088</v>
      </c>
      <c r="S902" t="s">
        <v>1109</v>
      </c>
      <c r="T902" s="5">
        <v>34</v>
      </c>
      <c r="U902" s="6">
        <v>174.18</v>
      </c>
      <c r="V902" s="6">
        <v>95.07</v>
      </c>
      <c r="W902" s="8">
        <v>0</v>
      </c>
      <c r="X902" s="6">
        <f t="shared" si="70"/>
        <v>5922.12</v>
      </c>
      <c r="Y902" s="6">
        <f t="shared" si="71"/>
        <v>3232.3799999999997</v>
      </c>
      <c r="Z902" s="6">
        <f t="shared" si="72"/>
        <v>2689.7400000000002</v>
      </c>
      <c r="AA902" t="s">
        <v>679</v>
      </c>
      <c r="AC902" s="5">
        <v>1</v>
      </c>
      <c r="AD902" t="s">
        <v>1136</v>
      </c>
      <c r="AE902" t="str">
        <f t="shared" si="73"/>
        <v>2025-11</v>
      </c>
      <c r="AF902" t="str">
        <f t="shared" si="74"/>
        <v>Q4-2025</v>
      </c>
    </row>
    <row r="903" spans="1:32" x14ac:dyDescent="0.3">
      <c r="A903" t="s">
        <v>2203</v>
      </c>
      <c r="B903" s="5">
        <v>4</v>
      </c>
      <c r="C903" s="4">
        <v>45777</v>
      </c>
      <c r="D903" s="4">
        <v>45778</v>
      </c>
      <c r="E903" t="s">
        <v>508</v>
      </c>
      <c r="F903" t="s">
        <v>131</v>
      </c>
      <c r="G903" t="s">
        <v>104</v>
      </c>
      <c r="H903" t="s">
        <v>23</v>
      </c>
      <c r="I903" t="s">
        <v>81</v>
      </c>
      <c r="J903" t="s">
        <v>1163</v>
      </c>
      <c r="K903" t="s">
        <v>1219</v>
      </c>
      <c r="L903" t="s">
        <v>859</v>
      </c>
      <c r="M903" t="s">
        <v>795</v>
      </c>
      <c r="N903" t="s">
        <v>837</v>
      </c>
      <c r="O903" t="s">
        <v>860</v>
      </c>
      <c r="P903" t="s">
        <v>32</v>
      </c>
      <c r="Q903" t="s">
        <v>33</v>
      </c>
      <c r="R903" t="s">
        <v>1114</v>
      </c>
      <c r="S903" t="s">
        <v>1095</v>
      </c>
      <c r="T903" s="5">
        <v>28</v>
      </c>
      <c r="U903" s="6">
        <v>104.69</v>
      </c>
      <c r="V903" s="6">
        <v>61.5</v>
      </c>
      <c r="W903" s="8">
        <v>0.25869999999999999</v>
      </c>
      <c r="X903" s="6">
        <f t="shared" si="70"/>
        <v>2172.9875160000001</v>
      </c>
      <c r="Y903" s="6">
        <f t="shared" si="71"/>
        <v>1722</v>
      </c>
      <c r="Z903" s="6">
        <f t="shared" si="72"/>
        <v>450.98751600000014</v>
      </c>
      <c r="AA903" t="s">
        <v>679</v>
      </c>
      <c r="AC903" s="5">
        <v>3</v>
      </c>
      <c r="AD903" t="s">
        <v>1154</v>
      </c>
      <c r="AE903" t="str">
        <f t="shared" si="73"/>
        <v>2025-04</v>
      </c>
      <c r="AF903" t="str">
        <f t="shared" si="74"/>
        <v>Q2-2025</v>
      </c>
    </row>
    <row r="904" spans="1:32" x14ac:dyDescent="0.3">
      <c r="A904" t="s">
        <v>2204</v>
      </c>
      <c r="B904" s="5">
        <v>2</v>
      </c>
      <c r="C904" s="4">
        <v>45462</v>
      </c>
      <c r="D904" s="4">
        <v>45476</v>
      </c>
      <c r="E904" t="s">
        <v>367</v>
      </c>
      <c r="F904" t="s">
        <v>368</v>
      </c>
      <c r="G904" t="s">
        <v>74</v>
      </c>
      <c r="H904" t="s">
        <v>20</v>
      </c>
      <c r="I904" t="s">
        <v>71</v>
      </c>
      <c r="J904" t="s">
        <v>1112</v>
      </c>
      <c r="K904" t="s">
        <v>1266</v>
      </c>
      <c r="L904" t="s">
        <v>1038</v>
      </c>
      <c r="M904" t="s">
        <v>1002</v>
      </c>
      <c r="N904" t="s">
        <v>1034</v>
      </c>
      <c r="O904" t="s">
        <v>1039</v>
      </c>
      <c r="P904" t="s">
        <v>32</v>
      </c>
      <c r="Q904" t="s">
        <v>33</v>
      </c>
      <c r="R904" t="s">
        <v>1088</v>
      </c>
      <c r="S904" t="s">
        <v>1095</v>
      </c>
      <c r="T904" s="5">
        <v>6</v>
      </c>
      <c r="U904" s="6">
        <v>225.32</v>
      </c>
      <c r="V904" s="6">
        <v>115.2</v>
      </c>
      <c r="W904" s="8">
        <v>0</v>
      </c>
      <c r="X904" s="6">
        <f t="shared" si="70"/>
        <v>1351.92</v>
      </c>
      <c r="Y904" s="6">
        <f t="shared" si="71"/>
        <v>691.2</v>
      </c>
      <c r="Z904" s="6">
        <f t="shared" si="72"/>
        <v>660.72</v>
      </c>
      <c r="AA904" t="s">
        <v>679</v>
      </c>
      <c r="AC904" s="5">
        <v>5</v>
      </c>
      <c r="AE904" t="str">
        <f t="shared" si="73"/>
        <v>2024-06</v>
      </c>
      <c r="AF904" t="str">
        <f t="shared" si="74"/>
        <v>Q2-2024</v>
      </c>
    </row>
    <row r="905" spans="1:32" x14ac:dyDescent="0.3">
      <c r="A905" t="s">
        <v>2205</v>
      </c>
      <c r="B905" s="5">
        <v>3</v>
      </c>
      <c r="C905" s="4">
        <v>46006</v>
      </c>
      <c r="D905" s="4">
        <v>46010</v>
      </c>
      <c r="E905" t="s">
        <v>328</v>
      </c>
      <c r="F905" t="s">
        <v>329</v>
      </c>
      <c r="G905" t="s">
        <v>84</v>
      </c>
      <c r="H905" t="s">
        <v>41</v>
      </c>
      <c r="I905" t="s">
        <v>86</v>
      </c>
      <c r="J905" t="s">
        <v>1086</v>
      </c>
      <c r="K905" t="s">
        <v>1087</v>
      </c>
      <c r="L905" t="s">
        <v>920</v>
      </c>
      <c r="M905" t="s">
        <v>795</v>
      </c>
      <c r="N905" t="s">
        <v>898</v>
      </c>
      <c r="O905" t="s">
        <v>921</v>
      </c>
      <c r="P905" t="s">
        <v>48</v>
      </c>
      <c r="Q905" t="s">
        <v>49</v>
      </c>
      <c r="R905" t="s">
        <v>1114</v>
      </c>
      <c r="S905" t="s">
        <v>1109</v>
      </c>
      <c r="T905" s="5">
        <v>3</v>
      </c>
      <c r="U905" s="6">
        <v>105.75</v>
      </c>
      <c r="V905" s="6">
        <v>58.77</v>
      </c>
      <c r="W905" s="8">
        <v>3.0800000000000001E-2</v>
      </c>
      <c r="X905" s="6">
        <f t="shared" si="70"/>
        <v>307.4787</v>
      </c>
      <c r="Y905" s="6">
        <f t="shared" si="71"/>
        <v>176.31</v>
      </c>
      <c r="Z905" s="6">
        <f t="shared" si="72"/>
        <v>131.1687</v>
      </c>
      <c r="AA905" t="s">
        <v>679</v>
      </c>
      <c r="AC905" s="5">
        <v>2</v>
      </c>
      <c r="AD905" t="s">
        <v>1140</v>
      </c>
      <c r="AE905" t="str">
        <f t="shared" si="73"/>
        <v>2025-12</v>
      </c>
      <c r="AF905" t="str">
        <f t="shared" si="74"/>
        <v>Q4-2025</v>
      </c>
    </row>
    <row r="906" spans="1:32" x14ac:dyDescent="0.3">
      <c r="A906" t="s">
        <v>2206</v>
      </c>
      <c r="B906" s="5">
        <v>5</v>
      </c>
      <c r="C906" s="4">
        <v>45763</v>
      </c>
      <c r="D906" s="4">
        <v>45776</v>
      </c>
      <c r="E906" t="s">
        <v>289</v>
      </c>
      <c r="F906" t="s">
        <v>290</v>
      </c>
      <c r="G906" t="s">
        <v>84</v>
      </c>
      <c r="H906" t="s">
        <v>20</v>
      </c>
      <c r="I906" t="s">
        <v>112</v>
      </c>
      <c r="J906" t="s">
        <v>1158</v>
      </c>
      <c r="K906" t="s">
        <v>1416</v>
      </c>
      <c r="L906" t="s">
        <v>924</v>
      </c>
      <c r="M906" t="s">
        <v>795</v>
      </c>
      <c r="N906" t="s">
        <v>898</v>
      </c>
      <c r="O906" t="s">
        <v>925</v>
      </c>
      <c r="P906" t="s">
        <v>46</v>
      </c>
      <c r="Q906" t="s">
        <v>47</v>
      </c>
      <c r="R906" t="s">
        <v>1088</v>
      </c>
      <c r="S906" t="s">
        <v>1095</v>
      </c>
      <c r="T906" s="5">
        <v>3</v>
      </c>
      <c r="U906" s="6">
        <v>151.91</v>
      </c>
      <c r="V906" s="6">
        <v>97.84</v>
      </c>
      <c r="W906" s="8">
        <v>0</v>
      </c>
      <c r="X906" s="6">
        <f t="shared" si="70"/>
        <v>455.73</v>
      </c>
      <c r="Y906" s="6">
        <f t="shared" si="71"/>
        <v>293.52</v>
      </c>
      <c r="Z906" s="6">
        <f t="shared" si="72"/>
        <v>162.21000000000004</v>
      </c>
      <c r="AA906" t="s">
        <v>679</v>
      </c>
      <c r="AC906" s="5"/>
      <c r="AD906" t="s">
        <v>1101</v>
      </c>
      <c r="AE906" t="str">
        <f t="shared" si="73"/>
        <v>2025-04</v>
      </c>
      <c r="AF906" t="str">
        <f t="shared" si="74"/>
        <v>Q2-2025</v>
      </c>
    </row>
    <row r="907" spans="1:32" x14ac:dyDescent="0.3">
      <c r="A907" t="s">
        <v>2207</v>
      </c>
      <c r="B907" s="5">
        <v>4</v>
      </c>
      <c r="C907" s="4">
        <v>45587</v>
      </c>
      <c r="D907" s="4">
        <v>45597</v>
      </c>
      <c r="E907" t="s">
        <v>241</v>
      </c>
      <c r="F907" t="s">
        <v>242</v>
      </c>
      <c r="G907" t="s">
        <v>84</v>
      </c>
      <c r="H907" t="s">
        <v>23</v>
      </c>
      <c r="I907" t="s">
        <v>93</v>
      </c>
      <c r="J907" t="s">
        <v>1450</v>
      </c>
      <c r="K907" t="s">
        <v>1451</v>
      </c>
      <c r="L907" t="s">
        <v>1027</v>
      </c>
      <c r="M907" t="s">
        <v>1002</v>
      </c>
      <c r="N907" t="s">
        <v>1003</v>
      </c>
      <c r="O907" t="s">
        <v>1028</v>
      </c>
      <c r="P907" t="s">
        <v>24</v>
      </c>
      <c r="Q907" t="s">
        <v>25</v>
      </c>
      <c r="R907" t="s">
        <v>1114</v>
      </c>
      <c r="S907" t="s">
        <v>1095</v>
      </c>
      <c r="T907" s="5">
        <v>10</v>
      </c>
      <c r="U907" s="6">
        <v>192.01</v>
      </c>
      <c r="V907" s="6">
        <v>131.69</v>
      </c>
      <c r="W907" s="8">
        <v>0</v>
      </c>
      <c r="X907" s="6">
        <f t="shared" si="70"/>
        <v>1920.1</v>
      </c>
      <c r="Y907" s="6">
        <f t="shared" si="71"/>
        <v>1316.9</v>
      </c>
      <c r="Z907" s="6">
        <f t="shared" si="72"/>
        <v>603.19999999999982</v>
      </c>
      <c r="AA907" t="s">
        <v>679</v>
      </c>
      <c r="AC907" s="5">
        <v>2</v>
      </c>
      <c r="AD907" t="s">
        <v>1140</v>
      </c>
      <c r="AE907" t="str">
        <f t="shared" si="73"/>
        <v>2024-10</v>
      </c>
      <c r="AF907" t="str">
        <f t="shared" si="74"/>
        <v>Q4-2024</v>
      </c>
    </row>
    <row r="908" spans="1:32" x14ac:dyDescent="0.3">
      <c r="A908" t="s">
        <v>2208</v>
      </c>
      <c r="B908" s="5">
        <v>2</v>
      </c>
      <c r="C908" s="4">
        <v>45318</v>
      </c>
      <c r="D908" s="4">
        <v>45326</v>
      </c>
      <c r="E908" t="s">
        <v>134</v>
      </c>
      <c r="F908" t="s">
        <v>135</v>
      </c>
      <c r="G908" t="s">
        <v>80</v>
      </c>
      <c r="H908" t="s">
        <v>23</v>
      </c>
      <c r="I908" t="s">
        <v>109</v>
      </c>
      <c r="J908" t="s">
        <v>1145</v>
      </c>
      <c r="K908" t="s">
        <v>1246</v>
      </c>
      <c r="L908" t="s">
        <v>859</v>
      </c>
      <c r="M908" t="s">
        <v>795</v>
      </c>
      <c r="N908" t="s">
        <v>837</v>
      </c>
      <c r="O908" t="s">
        <v>860</v>
      </c>
      <c r="P908" t="s">
        <v>48</v>
      </c>
      <c r="Q908" t="s">
        <v>49</v>
      </c>
      <c r="R908" t="s">
        <v>1088</v>
      </c>
      <c r="S908" t="s">
        <v>1109</v>
      </c>
      <c r="T908" s="5">
        <v>1</v>
      </c>
      <c r="U908" s="6">
        <v>112.91</v>
      </c>
      <c r="V908" s="6">
        <v>61.5</v>
      </c>
      <c r="W908" s="8">
        <v>0.29189999999999999</v>
      </c>
      <c r="X908" s="6">
        <f t="shared" si="70"/>
        <v>79.951570999999987</v>
      </c>
      <c r="Y908" s="6">
        <f t="shared" si="71"/>
        <v>61.5</v>
      </c>
      <c r="Z908" s="6">
        <f t="shared" si="72"/>
        <v>18.451570999999987</v>
      </c>
      <c r="AA908" t="s">
        <v>679</v>
      </c>
      <c r="AC908" s="5"/>
      <c r="AD908" t="s">
        <v>1148</v>
      </c>
      <c r="AE908" t="str">
        <f t="shared" si="73"/>
        <v>2024-01</v>
      </c>
      <c r="AF908" t="str">
        <f t="shared" si="74"/>
        <v>Q1-2024</v>
      </c>
    </row>
    <row r="909" spans="1:32" x14ac:dyDescent="0.3">
      <c r="A909" t="s">
        <v>2209</v>
      </c>
      <c r="B909" s="5">
        <v>2</v>
      </c>
      <c r="C909" s="4">
        <v>45537</v>
      </c>
      <c r="D909" s="4">
        <v>45542</v>
      </c>
      <c r="E909" t="s">
        <v>303</v>
      </c>
      <c r="F909" t="s">
        <v>304</v>
      </c>
      <c r="G909" t="s">
        <v>74</v>
      </c>
      <c r="H909" t="s">
        <v>41</v>
      </c>
      <c r="I909" t="s">
        <v>86</v>
      </c>
      <c r="J909" t="s">
        <v>1086</v>
      </c>
      <c r="K909" t="s">
        <v>1234</v>
      </c>
      <c r="L909" t="s">
        <v>690</v>
      </c>
      <c r="M909" t="s">
        <v>659</v>
      </c>
      <c r="N909" t="s">
        <v>660</v>
      </c>
      <c r="O909" t="s">
        <v>691</v>
      </c>
      <c r="P909" t="s">
        <v>17</v>
      </c>
      <c r="Q909" t="s">
        <v>18</v>
      </c>
      <c r="R909" t="s">
        <v>1114</v>
      </c>
      <c r="S909" t="s">
        <v>1156</v>
      </c>
      <c r="T909" s="5">
        <v>14</v>
      </c>
      <c r="U909" s="6">
        <v>77.010000000000005</v>
      </c>
      <c r="V909" s="6">
        <v>57.12</v>
      </c>
      <c r="W909" s="8">
        <v>0</v>
      </c>
      <c r="X909" s="6">
        <f t="shared" si="70"/>
        <v>1078.1400000000001</v>
      </c>
      <c r="Y909" s="6">
        <f t="shared" si="71"/>
        <v>799.68</v>
      </c>
      <c r="Z909" s="6">
        <f t="shared" si="72"/>
        <v>278.46000000000015</v>
      </c>
      <c r="AA909" t="s">
        <v>679</v>
      </c>
      <c r="AC909" s="5">
        <v>1</v>
      </c>
      <c r="AD909" t="s">
        <v>1110</v>
      </c>
      <c r="AE909" t="str">
        <f t="shared" si="73"/>
        <v>2024-09</v>
      </c>
      <c r="AF909" t="str">
        <f t="shared" si="74"/>
        <v>Q3-2024</v>
      </c>
    </row>
    <row r="910" spans="1:32" x14ac:dyDescent="0.3">
      <c r="A910" t="s">
        <v>2210</v>
      </c>
      <c r="B910" s="5">
        <v>2</v>
      </c>
      <c r="C910" s="4">
        <v>45640</v>
      </c>
      <c r="D910" s="4">
        <v>45651</v>
      </c>
      <c r="E910" t="s">
        <v>150</v>
      </c>
      <c r="F910" t="s">
        <v>2211</v>
      </c>
      <c r="G910" t="s">
        <v>84</v>
      </c>
      <c r="H910" t="s">
        <v>31</v>
      </c>
      <c r="I910" t="s">
        <v>160</v>
      </c>
      <c r="J910" t="s">
        <v>1125</v>
      </c>
      <c r="K910" t="s">
        <v>1132</v>
      </c>
      <c r="L910" t="s">
        <v>1021</v>
      </c>
      <c r="M910" t="s">
        <v>1002</v>
      </c>
      <c r="N910" t="s">
        <v>1003</v>
      </c>
      <c r="O910" t="s">
        <v>1022</v>
      </c>
      <c r="P910" t="s">
        <v>17</v>
      </c>
      <c r="Q910" t="s">
        <v>18</v>
      </c>
      <c r="R910" t="s">
        <v>1114</v>
      </c>
      <c r="S910" t="s">
        <v>1109</v>
      </c>
      <c r="T910" s="5">
        <v>19</v>
      </c>
      <c r="U910" s="6">
        <v>208.32</v>
      </c>
      <c r="V910" s="6">
        <v>154.5</v>
      </c>
      <c r="W910" s="8">
        <v>0.2742</v>
      </c>
      <c r="X910" s="6">
        <f t="shared" si="70"/>
        <v>2872.7744640000001</v>
      </c>
      <c r="Y910" s="6">
        <f t="shared" si="71"/>
        <v>2935.5</v>
      </c>
      <c r="Z910" s="6">
        <f t="shared" si="72"/>
        <v>-62.72553599999992</v>
      </c>
      <c r="AA910" t="s">
        <v>679</v>
      </c>
      <c r="AC910" s="5">
        <v>1</v>
      </c>
      <c r="AD910" t="s">
        <v>1101</v>
      </c>
      <c r="AE910" t="str">
        <f t="shared" si="73"/>
        <v>2024-12</v>
      </c>
      <c r="AF910" t="str">
        <f t="shared" si="74"/>
        <v>Q4-2024</v>
      </c>
    </row>
    <row r="911" spans="1:32" x14ac:dyDescent="0.3">
      <c r="A911" t="s">
        <v>2212</v>
      </c>
      <c r="B911" s="5">
        <v>4</v>
      </c>
      <c r="C911" s="4">
        <v>45829</v>
      </c>
      <c r="D911" s="4">
        <v>45830</v>
      </c>
      <c r="E911" t="s">
        <v>636</v>
      </c>
      <c r="F911" t="s">
        <v>236</v>
      </c>
      <c r="G911" t="s">
        <v>74</v>
      </c>
      <c r="H911" t="s">
        <v>31</v>
      </c>
      <c r="I911" t="s">
        <v>127</v>
      </c>
      <c r="J911" t="s">
        <v>1098</v>
      </c>
      <c r="K911" t="s">
        <v>1099</v>
      </c>
      <c r="L911" t="s">
        <v>658</v>
      </c>
      <c r="M911" t="s">
        <v>659</v>
      </c>
      <c r="N911" t="s">
        <v>660</v>
      </c>
      <c r="O911" t="s">
        <v>661</v>
      </c>
      <c r="P911" t="s">
        <v>50</v>
      </c>
      <c r="Q911" t="s">
        <v>51</v>
      </c>
      <c r="R911" t="s">
        <v>1088</v>
      </c>
      <c r="S911" t="s">
        <v>1156</v>
      </c>
      <c r="T911" s="5">
        <v>3</v>
      </c>
      <c r="U911" s="6">
        <v>26.27</v>
      </c>
      <c r="V911" s="6">
        <v>15.75</v>
      </c>
      <c r="W911" s="8">
        <v>0</v>
      </c>
      <c r="X911" s="6">
        <f t="shared" si="70"/>
        <v>78.81</v>
      </c>
      <c r="Y911" s="6">
        <f t="shared" si="71"/>
        <v>47.25</v>
      </c>
      <c r="Z911" s="6">
        <f t="shared" si="72"/>
        <v>31.560000000000002</v>
      </c>
      <c r="AA911" t="s">
        <v>679</v>
      </c>
      <c r="AC911" s="5">
        <v>1</v>
      </c>
      <c r="AD911" t="s">
        <v>1096</v>
      </c>
      <c r="AE911" t="str">
        <f t="shared" si="73"/>
        <v>2025-06</v>
      </c>
      <c r="AF911" t="str">
        <f t="shared" si="74"/>
        <v>Q2-2025</v>
      </c>
    </row>
    <row r="912" spans="1:32" x14ac:dyDescent="0.3">
      <c r="A912" t="s">
        <v>2213</v>
      </c>
      <c r="B912" s="5">
        <v>5</v>
      </c>
      <c r="C912" s="4">
        <v>45755</v>
      </c>
      <c r="D912" s="4">
        <v>45764</v>
      </c>
      <c r="E912" t="s">
        <v>225</v>
      </c>
      <c r="F912" t="s">
        <v>226</v>
      </c>
      <c r="G912" t="s">
        <v>84</v>
      </c>
      <c r="H912" t="s">
        <v>23</v>
      </c>
      <c r="I912" t="s">
        <v>81</v>
      </c>
      <c r="J912" t="s">
        <v>1119</v>
      </c>
      <c r="K912" t="s">
        <v>1291</v>
      </c>
      <c r="L912" t="s">
        <v>822</v>
      </c>
      <c r="M912" t="s">
        <v>795</v>
      </c>
      <c r="N912" t="s">
        <v>796</v>
      </c>
      <c r="O912" t="s">
        <v>823</v>
      </c>
      <c r="P912" t="s">
        <v>24</v>
      </c>
      <c r="Q912" t="s">
        <v>25</v>
      </c>
      <c r="R912" t="s">
        <v>1114</v>
      </c>
      <c r="S912" t="s">
        <v>1156</v>
      </c>
      <c r="T912" s="5">
        <v>13</v>
      </c>
      <c r="U912" s="6">
        <v>55.91</v>
      </c>
      <c r="V912" s="6">
        <v>36.979999999999997</v>
      </c>
      <c r="W912" s="8">
        <v>0</v>
      </c>
      <c r="X912" s="6">
        <f t="shared" si="70"/>
        <v>726.82999999999993</v>
      </c>
      <c r="Y912" s="6">
        <f t="shared" si="71"/>
        <v>480.73999999999995</v>
      </c>
      <c r="Z912" s="6">
        <f t="shared" si="72"/>
        <v>246.08999999999997</v>
      </c>
      <c r="AA912" t="s">
        <v>679</v>
      </c>
      <c r="AC912" s="5">
        <v>4</v>
      </c>
      <c r="AD912" t="s">
        <v>1123</v>
      </c>
      <c r="AE912" t="str">
        <f t="shared" si="73"/>
        <v>2025-04</v>
      </c>
      <c r="AF912" t="str">
        <f t="shared" si="74"/>
        <v>Q2-2025</v>
      </c>
    </row>
    <row r="913" spans="1:32" x14ac:dyDescent="0.3">
      <c r="A913" t="s">
        <v>2214</v>
      </c>
      <c r="B913" s="5">
        <v>2</v>
      </c>
      <c r="C913" s="4">
        <v>45970</v>
      </c>
      <c r="D913" s="4">
        <v>45978</v>
      </c>
      <c r="E913" t="s">
        <v>301</v>
      </c>
      <c r="F913" t="s">
        <v>302</v>
      </c>
      <c r="G913" t="s">
        <v>84</v>
      </c>
      <c r="H913" t="s">
        <v>41</v>
      </c>
      <c r="I913" t="s">
        <v>86</v>
      </c>
      <c r="J913" t="s">
        <v>1107</v>
      </c>
      <c r="K913" t="s">
        <v>1108</v>
      </c>
      <c r="L913" t="s">
        <v>938</v>
      </c>
      <c r="M913" t="s">
        <v>929</v>
      </c>
      <c r="N913" t="s">
        <v>930</v>
      </c>
      <c r="O913" t="s">
        <v>939</v>
      </c>
      <c r="P913" t="s">
        <v>53</v>
      </c>
      <c r="Q913" t="s">
        <v>54</v>
      </c>
      <c r="R913" t="s">
        <v>1114</v>
      </c>
      <c r="S913" t="s">
        <v>1095</v>
      </c>
      <c r="T913" s="5">
        <v>3</v>
      </c>
      <c r="U913" s="6">
        <v>287.48</v>
      </c>
      <c r="V913" s="6">
        <v>175.97</v>
      </c>
      <c r="W913" s="8">
        <v>0</v>
      </c>
      <c r="X913" s="6">
        <f t="shared" si="70"/>
        <v>862.44</v>
      </c>
      <c r="Y913" s="6">
        <f t="shared" si="71"/>
        <v>527.91</v>
      </c>
      <c r="Z913" s="6">
        <f t="shared" si="72"/>
        <v>334.53000000000009</v>
      </c>
      <c r="AA913" t="s">
        <v>679</v>
      </c>
      <c r="AC913" s="5">
        <v>4</v>
      </c>
      <c r="AD913" t="s">
        <v>1105</v>
      </c>
      <c r="AE913" t="str">
        <f t="shared" si="73"/>
        <v>2025-11</v>
      </c>
      <c r="AF913" t="str">
        <f t="shared" si="74"/>
        <v>Q4-2025</v>
      </c>
    </row>
    <row r="914" spans="1:32" x14ac:dyDescent="0.3">
      <c r="A914" t="s">
        <v>2215</v>
      </c>
      <c r="B914" s="5">
        <v>5</v>
      </c>
      <c r="C914" s="4">
        <v>45308</v>
      </c>
      <c r="D914" s="4">
        <v>45317</v>
      </c>
      <c r="E914" t="s">
        <v>279</v>
      </c>
      <c r="F914" t="s">
        <v>280</v>
      </c>
      <c r="G914" t="s">
        <v>74</v>
      </c>
      <c r="H914" t="s">
        <v>41</v>
      </c>
      <c r="I914" t="s">
        <v>75</v>
      </c>
      <c r="J914" t="s">
        <v>1142</v>
      </c>
      <c r="K914" t="s">
        <v>1198</v>
      </c>
      <c r="L914" t="s">
        <v>832</v>
      </c>
      <c r="M914" t="s">
        <v>795</v>
      </c>
      <c r="N914" t="s">
        <v>796</v>
      </c>
      <c r="O914" t="s">
        <v>833</v>
      </c>
      <c r="P914" t="s">
        <v>24</v>
      </c>
      <c r="Q914" t="s">
        <v>25</v>
      </c>
      <c r="R914" t="s">
        <v>1088</v>
      </c>
      <c r="S914" t="s">
        <v>1100</v>
      </c>
      <c r="T914" s="5">
        <v>17</v>
      </c>
      <c r="U914" s="6">
        <v>198.49</v>
      </c>
      <c r="V914" s="6">
        <v>161.80000000000001</v>
      </c>
      <c r="W914" s="8">
        <v>0.221</v>
      </c>
      <c r="X914" s="6">
        <f t="shared" si="70"/>
        <v>2628.6030700000001</v>
      </c>
      <c r="Y914" s="6">
        <f t="shared" si="71"/>
        <v>2750.6000000000004</v>
      </c>
      <c r="Z914" s="6">
        <f t="shared" si="72"/>
        <v>-121.99693000000025</v>
      </c>
      <c r="AA914" t="s">
        <v>679</v>
      </c>
      <c r="AC914" s="5"/>
      <c r="AD914" t="s">
        <v>1136</v>
      </c>
      <c r="AE914" t="str">
        <f t="shared" si="73"/>
        <v>2024-01</v>
      </c>
      <c r="AF914" t="str">
        <f t="shared" si="74"/>
        <v>Q1-2024</v>
      </c>
    </row>
    <row r="915" spans="1:32" x14ac:dyDescent="0.3">
      <c r="A915" t="s">
        <v>2216</v>
      </c>
      <c r="B915" s="5">
        <v>3</v>
      </c>
      <c r="C915" s="4">
        <v>45934</v>
      </c>
      <c r="D915" s="4">
        <v>45941</v>
      </c>
      <c r="E915" t="s">
        <v>237</v>
      </c>
      <c r="F915" t="s">
        <v>238</v>
      </c>
      <c r="G915" t="s">
        <v>80</v>
      </c>
      <c r="H915" t="s">
        <v>41</v>
      </c>
      <c r="I915" t="s">
        <v>75</v>
      </c>
      <c r="J915" t="s">
        <v>1142</v>
      </c>
      <c r="K915" t="s">
        <v>1198</v>
      </c>
      <c r="L915" t="s">
        <v>816</v>
      </c>
      <c r="M915" t="s">
        <v>795</v>
      </c>
      <c r="N915" t="s">
        <v>796</v>
      </c>
      <c r="O915" t="s">
        <v>817</v>
      </c>
      <c r="P915" t="s">
        <v>17</v>
      </c>
      <c r="Q915" t="s">
        <v>18</v>
      </c>
      <c r="R915" t="s">
        <v>1094</v>
      </c>
      <c r="S915" t="s">
        <v>1109</v>
      </c>
      <c r="T915" s="5">
        <v>15</v>
      </c>
      <c r="U915" s="6">
        <v>154.80000000000001</v>
      </c>
      <c r="V915" s="6">
        <v>110.31</v>
      </c>
      <c r="W915" s="8">
        <v>0</v>
      </c>
      <c r="X915" s="6">
        <f t="shared" si="70"/>
        <v>2322</v>
      </c>
      <c r="Y915" s="6">
        <f t="shared" si="71"/>
        <v>1654.65</v>
      </c>
      <c r="Z915" s="6">
        <f t="shared" si="72"/>
        <v>667.34999999999991</v>
      </c>
      <c r="AA915" t="s">
        <v>679</v>
      </c>
      <c r="AC915" s="5"/>
      <c r="AD915" t="s">
        <v>1105</v>
      </c>
      <c r="AE915" t="str">
        <f t="shared" si="73"/>
        <v>2025-10</v>
      </c>
      <c r="AF915" t="str">
        <f t="shared" si="74"/>
        <v>Q4-2025</v>
      </c>
    </row>
    <row r="916" spans="1:32" x14ac:dyDescent="0.3">
      <c r="A916" t="s">
        <v>2217</v>
      </c>
      <c r="B916" s="5">
        <v>2</v>
      </c>
      <c r="C916" s="4">
        <v>45882</v>
      </c>
      <c r="D916" s="4">
        <v>45883</v>
      </c>
      <c r="E916" t="s">
        <v>225</v>
      </c>
      <c r="F916" t="s">
        <v>226</v>
      </c>
      <c r="G916" t="s">
        <v>84</v>
      </c>
      <c r="H916" t="s">
        <v>31</v>
      </c>
      <c r="I916" t="s">
        <v>127</v>
      </c>
      <c r="J916" t="s">
        <v>1098</v>
      </c>
      <c r="K916" t="s">
        <v>1161</v>
      </c>
      <c r="L916" t="s">
        <v>942</v>
      </c>
      <c r="M916" t="s">
        <v>929</v>
      </c>
      <c r="N916" t="s">
        <v>930</v>
      </c>
      <c r="O916" t="s">
        <v>943</v>
      </c>
      <c r="P916" t="s">
        <v>39</v>
      </c>
      <c r="Q916" t="s">
        <v>40</v>
      </c>
      <c r="R916" t="s">
        <v>1094</v>
      </c>
      <c r="S916" t="s">
        <v>1156</v>
      </c>
      <c r="T916" s="5">
        <v>11</v>
      </c>
      <c r="U916" s="6">
        <v>271.83</v>
      </c>
      <c r="V916" s="6">
        <v>173.45</v>
      </c>
      <c r="W916" s="8">
        <v>0</v>
      </c>
      <c r="X916" s="6">
        <f t="shared" si="70"/>
        <v>2990.1299999999997</v>
      </c>
      <c r="Y916" s="6">
        <f t="shared" si="71"/>
        <v>1907.9499999999998</v>
      </c>
      <c r="Z916" s="6">
        <f t="shared" si="72"/>
        <v>1082.1799999999998</v>
      </c>
      <c r="AA916" t="s">
        <v>679</v>
      </c>
      <c r="AC916" s="5">
        <v>3</v>
      </c>
      <c r="AD916" t="s">
        <v>1096</v>
      </c>
      <c r="AE916" t="str">
        <f t="shared" si="73"/>
        <v>2025-08</v>
      </c>
      <c r="AF916" t="str">
        <f t="shared" si="74"/>
        <v>Q3-2025</v>
      </c>
    </row>
    <row r="917" spans="1:32" x14ac:dyDescent="0.3">
      <c r="A917" t="s">
        <v>2218</v>
      </c>
      <c r="B917" s="5">
        <v>4</v>
      </c>
      <c r="C917" s="4">
        <v>45871</v>
      </c>
      <c r="D917" s="4">
        <v>45884</v>
      </c>
      <c r="E917" t="s">
        <v>434</v>
      </c>
      <c r="F917" t="s">
        <v>435</v>
      </c>
      <c r="G917" t="s">
        <v>80</v>
      </c>
      <c r="H917" t="s">
        <v>41</v>
      </c>
      <c r="I917" t="s">
        <v>86</v>
      </c>
      <c r="J917" t="s">
        <v>1086</v>
      </c>
      <c r="K917" t="s">
        <v>1175</v>
      </c>
      <c r="L917" t="s">
        <v>669</v>
      </c>
      <c r="M917" t="s">
        <v>659</v>
      </c>
      <c r="N917" t="s">
        <v>660</v>
      </c>
      <c r="O917" t="s">
        <v>670</v>
      </c>
      <c r="P917" t="s">
        <v>48</v>
      </c>
      <c r="Q917" t="s">
        <v>49</v>
      </c>
      <c r="R917" t="s">
        <v>1088</v>
      </c>
      <c r="S917" t="s">
        <v>1109</v>
      </c>
      <c r="T917" s="5">
        <v>4</v>
      </c>
      <c r="U917" s="6">
        <v>9.0299999999999994</v>
      </c>
      <c r="V917" s="6">
        <v>5</v>
      </c>
      <c r="W917" s="8">
        <v>0</v>
      </c>
      <c r="X917" s="6">
        <f t="shared" si="70"/>
        <v>36.119999999999997</v>
      </c>
      <c r="Y917" s="6">
        <f t="shared" si="71"/>
        <v>20</v>
      </c>
      <c r="Z917" s="6">
        <f t="shared" si="72"/>
        <v>16.119999999999997</v>
      </c>
      <c r="AA917" t="s">
        <v>679</v>
      </c>
      <c r="AC917" s="5"/>
      <c r="AE917" t="str">
        <f t="shared" si="73"/>
        <v>2025-08</v>
      </c>
      <c r="AF917" t="str">
        <f t="shared" si="74"/>
        <v>Q3-2025</v>
      </c>
    </row>
    <row r="918" spans="1:32" x14ac:dyDescent="0.3">
      <c r="A918" t="s">
        <v>2219</v>
      </c>
      <c r="B918" s="5">
        <v>5</v>
      </c>
      <c r="C918" s="4">
        <v>45649</v>
      </c>
      <c r="D918" s="4">
        <v>45651</v>
      </c>
      <c r="E918" t="s">
        <v>246</v>
      </c>
      <c r="F918" t="s">
        <v>247</v>
      </c>
      <c r="G918" t="s">
        <v>74</v>
      </c>
      <c r="H918" t="s">
        <v>20</v>
      </c>
      <c r="I918" t="s">
        <v>90</v>
      </c>
      <c r="J918" t="s">
        <v>1262</v>
      </c>
      <c r="K918" t="s">
        <v>1297</v>
      </c>
      <c r="L918" t="s">
        <v>770</v>
      </c>
      <c r="M918" t="s">
        <v>659</v>
      </c>
      <c r="N918" t="s">
        <v>754</v>
      </c>
      <c r="O918" t="s">
        <v>771</v>
      </c>
      <c r="P918" t="s">
        <v>50</v>
      </c>
      <c r="Q918" t="s">
        <v>51</v>
      </c>
      <c r="R918" t="s">
        <v>1088</v>
      </c>
      <c r="S918" t="s">
        <v>1156</v>
      </c>
      <c r="T918" s="5">
        <v>10</v>
      </c>
      <c r="U918" s="6">
        <v>32.31</v>
      </c>
      <c r="V918" s="6">
        <v>25.38</v>
      </c>
      <c r="W918" s="8"/>
      <c r="X918" s="6">
        <f t="shared" si="70"/>
        <v>323.10000000000002</v>
      </c>
      <c r="Y918" s="6">
        <f t="shared" si="71"/>
        <v>253.79999999999998</v>
      </c>
      <c r="Z918" s="6">
        <f t="shared" si="72"/>
        <v>69.30000000000004</v>
      </c>
      <c r="AA918" t="s">
        <v>679</v>
      </c>
      <c r="AC918" s="5">
        <v>3</v>
      </c>
      <c r="AD918" t="s">
        <v>1110</v>
      </c>
      <c r="AE918" t="str">
        <f t="shared" si="73"/>
        <v>2024-12</v>
      </c>
      <c r="AF918" t="str">
        <f t="shared" si="74"/>
        <v>Q4-2024</v>
      </c>
    </row>
    <row r="919" spans="1:32" x14ac:dyDescent="0.3">
      <c r="A919" t="s">
        <v>2220</v>
      </c>
      <c r="B919" s="5">
        <v>4</v>
      </c>
      <c r="C919" s="4">
        <v>45439</v>
      </c>
      <c r="D919" s="4">
        <v>45443</v>
      </c>
      <c r="E919" t="s">
        <v>637</v>
      </c>
      <c r="F919" t="s">
        <v>638</v>
      </c>
      <c r="G919" t="s">
        <v>65</v>
      </c>
      <c r="H919" t="s">
        <v>41</v>
      </c>
      <c r="I919" t="s">
        <v>75</v>
      </c>
      <c r="J919" t="s">
        <v>1142</v>
      </c>
      <c r="K919" t="s">
        <v>1198</v>
      </c>
      <c r="L919" t="s">
        <v>1050</v>
      </c>
      <c r="M919" t="s">
        <v>1002</v>
      </c>
      <c r="N919" t="s">
        <v>1034</v>
      </c>
      <c r="O919" t="s">
        <v>1051</v>
      </c>
      <c r="P919" t="s">
        <v>44</v>
      </c>
      <c r="Q919" t="s">
        <v>45</v>
      </c>
      <c r="R919" t="s">
        <v>1088</v>
      </c>
      <c r="S919" t="s">
        <v>1109</v>
      </c>
      <c r="T919" s="5">
        <v>32</v>
      </c>
      <c r="U919" s="6">
        <v>207.88</v>
      </c>
      <c r="V919" s="6">
        <v>108.75</v>
      </c>
      <c r="W919" s="8">
        <v>0.1114</v>
      </c>
      <c r="X919" s="6">
        <f t="shared" si="70"/>
        <v>5911.1093760000003</v>
      </c>
      <c r="Y919" s="6">
        <f t="shared" si="71"/>
        <v>3480</v>
      </c>
      <c r="Z919" s="6">
        <f t="shared" si="72"/>
        <v>2431.1093760000003</v>
      </c>
      <c r="AA919" t="s">
        <v>679</v>
      </c>
      <c r="AC919" s="5">
        <v>3</v>
      </c>
      <c r="AD919" t="s">
        <v>1105</v>
      </c>
      <c r="AE919" t="str">
        <f t="shared" si="73"/>
        <v>2024-05</v>
      </c>
      <c r="AF919" t="str">
        <f t="shared" si="74"/>
        <v>Q2-2024</v>
      </c>
    </row>
    <row r="920" spans="1:32" x14ac:dyDescent="0.3">
      <c r="A920" t="s">
        <v>2221</v>
      </c>
      <c r="B920" s="5">
        <v>3</v>
      </c>
      <c r="C920" s="4">
        <v>45347</v>
      </c>
      <c r="D920" s="4">
        <v>45358</v>
      </c>
      <c r="E920" t="s">
        <v>568</v>
      </c>
      <c r="F920" t="s">
        <v>569</v>
      </c>
      <c r="G920" t="s">
        <v>65</v>
      </c>
      <c r="H920" t="s">
        <v>20</v>
      </c>
      <c r="I920" t="s">
        <v>112</v>
      </c>
      <c r="J920" t="s">
        <v>1158</v>
      </c>
      <c r="K920" t="s">
        <v>1320</v>
      </c>
      <c r="L920" t="s">
        <v>857</v>
      </c>
      <c r="M920" t="s">
        <v>795</v>
      </c>
      <c r="N920" t="s">
        <v>837</v>
      </c>
      <c r="O920" t="s">
        <v>858</v>
      </c>
      <c r="P920" t="s">
        <v>27</v>
      </c>
      <c r="Q920" t="s">
        <v>28</v>
      </c>
      <c r="R920" t="s">
        <v>1088</v>
      </c>
      <c r="S920" t="s">
        <v>1156</v>
      </c>
      <c r="T920" s="5">
        <v>8</v>
      </c>
      <c r="U920" s="6">
        <v>208.42</v>
      </c>
      <c r="V920" s="6">
        <v>111.57</v>
      </c>
      <c r="W920" s="8">
        <v>0.34179999999999999</v>
      </c>
      <c r="X920" s="6">
        <f t="shared" si="70"/>
        <v>1097.4563519999999</v>
      </c>
      <c r="Y920" s="6">
        <f t="shared" si="71"/>
        <v>892.56</v>
      </c>
      <c r="Z920" s="6">
        <f t="shared" si="72"/>
        <v>204.89635199999998</v>
      </c>
      <c r="AA920" t="s">
        <v>679</v>
      </c>
      <c r="AC920" s="5">
        <v>2</v>
      </c>
      <c r="AD920" t="s">
        <v>1140</v>
      </c>
      <c r="AE920" t="str">
        <f t="shared" si="73"/>
        <v>2024-02</v>
      </c>
      <c r="AF920" t="str">
        <f t="shared" si="74"/>
        <v>Q1-2024</v>
      </c>
    </row>
    <row r="921" spans="1:32" x14ac:dyDescent="0.3">
      <c r="A921" t="s">
        <v>2222</v>
      </c>
      <c r="B921" s="5">
        <v>5</v>
      </c>
      <c r="C921" s="4">
        <v>45531</v>
      </c>
      <c r="D921" s="4">
        <v>45541</v>
      </c>
      <c r="E921" t="s">
        <v>438</v>
      </c>
      <c r="F921" t="s">
        <v>439</v>
      </c>
      <c r="G921" t="s">
        <v>74</v>
      </c>
      <c r="H921" t="s">
        <v>41</v>
      </c>
      <c r="I921" t="s">
        <v>86</v>
      </c>
      <c r="J921" t="s">
        <v>1107</v>
      </c>
      <c r="K921" t="s">
        <v>1230</v>
      </c>
      <c r="L921" t="s">
        <v>774</v>
      </c>
      <c r="M921" t="s">
        <v>659</v>
      </c>
      <c r="N921" t="s">
        <v>754</v>
      </c>
      <c r="O921" t="s">
        <v>775</v>
      </c>
      <c r="P921" t="s">
        <v>34</v>
      </c>
      <c r="Q921" t="s">
        <v>35</v>
      </c>
      <c r="R921" t="s">
        <v>126</v>
      </c>
      <c r="S921" t="s">
        <v>1089</v>
      </c>
      <c r="T921" s="5">
        <v>14</v>
      </c>
      <c r="U921" s="6">
        <v>149.71</v>
      </c>
      <c r="V921" s="6">
        <v>103.88</v>
      </c>
      <c r="W921" s="8"/>
      <c r="X921" s="6">
        <f t="shared" si="70"/>
        <v>2095.94</v>
      </c>
      <c r="Y921" s="6">
        <f t="shared" si="71"/>
        <v>1454.32</v>
      </c>
      <c r="Z921" s="6">
        <f t="shared" si="72"/>
        <v>641.62000000000012</v>
      </c>
      <c r="AA921" t="s">
        <v>679</v>
      </c>
      <c r="AC921" s="5">
        <v>5</v>
      </c>
      <c r="AD921" t="s">
        <v>1140</v>
      </c>
      <c r="AE921" t="str">
        <f t="shared" si="73"/>
        <v>2024-08</v>
      </c>
      <c r="AF921" t="str">
        <f t="shared" si="74"/>
        <v>Q3-2024</v>
      </c>
    </row>
    <row r="922" spans="1:32" x14ac:dyDescent="0.3">
      <c r="A922" t="s">
        <v>2223</v>
      </c>
      <c r="B922" s="5">
        <v>5</v>
      </c>
      <c r="C922" s="4">
        <v>45871</v>
      </c>
      <c r="D922" s="4">
        <v>45874</v>
      </c>
      <c r="E922" t="s">
        <v>336</v>
      </c>
      <c r="F922" t="s">
        <v>337</v>
      </c>
      <c r="G922" t="s">
        <v>74</v>
      </c>
      <c r="H922" t="s">
        <v>31</v>
      </c>
      <c r="I922" t="s">
        <v>67</v>
      </c>
      <c r="J922" t="s">
        <v>1207</v>
      </c>
      <c r="K922" t="s">
        <v>1208</v>
      </c>
      <c r="L922" t="s">
        <v>975</v>
      </c>
      <c r="M922" t="s">
        <v>929</v>
      </c>
      <c r="N922" t="s">
        <v>971</v>
      </c>
      <c r="O922" t="s">
        <v>976</v>
      </c>
      <c r="P922" t="s">
        <v>46</v>
      </c>
      <c r="Q922" t="s">
        <v>47</v>
      </c>
      <c r="R922" t="s">
        <v>1088</v>
      </c>
      <c r="S922" t="s">
        <v>1156</v>
      </c>
      <c r="T922" s="5">
        <v>9</v>
      </c>
      <c r="U922" s="6">
        <v>107.52</v>
      </c>
      <c r="V922" s="6">
        <v>66.319999999999993</v>
      </c>
      <c r="W922" s="8">
        <v>0</v>
      </c>
      <c r="X922" s="6">
        <f t="shared" si="70"/>
        <v>967.68</v>
      </c>
      <c r="Y922" s="6">
        <f t="shared" si="71"/>
        <v>596.87999999999988</v>
      </c>
      <c r="Z922" s="6">
        <f t="shared" si="72"/>
        <v>370.80000000000007</v>
      </c>
      <c r="AA922" t="s">
        <v>679</v>
      </c>
      <c r="AC922" s="5">
        <v>5</v>
      </c>
      <c r="AD922" t="s">
        <v>1110</v>
      </c>
      <c r="AE922" t="str">
        <f t="shared" si="73"/>
        <v>2025-08</v>
      </c>
      <c r="AF922" t="str">
        <f t="shared" si="74"/>
        <v>Q3-2025</v>
      </c>
    </row>
    <row r="923" spans="1:32" x14ac:dyDescent="0.3">
      <c r="A923" t="s">
        <v>2224</v>
      </c>
      <c r="B923" s="5">
        <v>2</v>
      </c>
      <c r="C923" s="4">
        <v>45305</v>
      </c>
      <c r="D923" s="4">
        <v>45305</v>
      </c>
      <c r="E923" t="s">
        <v>366</v>
      </c>
      <c r="F923" t="s">
        <v>2225</v>
      </c>
      <c r="G923" t="s">
        <v>74</v>
      </c>
      <c r="H923" t="s">
        <v>20</v>
      </c>
      <c r="I923" t="s">
        <v>71</v>
      </c>
      <c r="J923" t="s">
        <v>1166</v>
      </c>
      <c r="K923" t="s">
        <v>1167</v>
      </c>
      <c r="L923" t="s">
        <v>684</v>
      </c>
      <c r="M923" t="s">
        <v>659</v>
      </c>
      <c r="N923" t="s">
        <v>660</v>
      </c>
      <c r="O923" t="s">
        <v>685</v>
      </c>
      <c r="P923" t="s">
        <v>46</v>
      </c>
      <c r="Q923" t="s">
        <v>47</v>
      </c>
      <c r="R923" t="s">
        <v>1094</v>
      </c>
      <c r="S923" t="s">
        <v>1109</v>
      </c>
      <c r="T923" s="5">
        <v>25</v>
      </c>
      <c r="U923" s="6">
        <v>50.74</v>
      </c>
      <c r="V923" s="6">
        <v>32.08</v>
      </c>
      <c r="W923" s="8">
        <v>0</v>
      </c>
      <c r="X923" s="6">
        <f t="shared" si="70"/>
        <v>1268.5</v>
      </c>
      <c r="Y923" s="6">
        <f t="shared" si="71"/>
        <v>802</v>
      </c>
      <c r="Z923" s="6">
        <f t="shared" si="72"/>
        <v>466.5</v>
      </c>
      <c r="AA923" t="s">
        <v>679</v>
      </c>
      <c r="AC923" s="5">
        <v>1</v>
      </c>
      <c r="AD923" t="s">
        <v>1148</v>
      </c>
      <c r="AE923" t="str">
        <f t="shared" si="73"/>
        <v>2024-01</v>
      </c>
      <c r="AF923" t="str">
        <f t="shared" si="74"/>
        <v>Q1-2024</v>
      </c>
    </row>
    <row r="924" spans="1:32" x14ac:dyDescent="0.3">
      <c r="A924" t="s">
        <v>2226</v>
      </c>
      <c r="B924" s="5">
        <v>2</v>
      </c>
      <c r="C924" s="4">
        <v>45640</v>
      </c>
      <c r="D924" s="4">
        <v>45648</v>
      </c>
      <c r="E924" t="s">
        <v>196</v>
      </c>
      <c r="F924" t="s">
        <v>197</v>
      </c>
      <c r="G924" t="s">
        <v>65</v>
      </c>
      <c r="H924" t="s">
        <v>31</v>
      </c>
      <c r="I924" t="s">
        <v>67</v>
      </c>
      <c r="J924" t="s">
        <v>1207</v>
      </c>
      <c r="K924" t="s">
        <v>1698</v>
      </c>
      <c r="L924" t="s">
        <v>1025</v>
      </c>
      <c r="M924" t="s">
        <v>1002</v>
      </c>
      <c r="N924" t="s">
        <v>1003</v>
      </c>
      <c r="O924" t="s">
        <v>1026</v>
      </c>
      <c r="P924" t="s">
        <v>46</v>
      </c>
      <c r="Q924" t="s">
        <v>47</v>
      </c>
      <c r="R924" t="s">
        <v>1114</v>
      </c>
      <c r="S924" t="s">
        <v>1109</v>
      </c>
      <c r="T924" s="5">
        <v>9</v>
      </c>
      <c r="U924" s="6">
        <v>292.45999999999998</v>
      </c>
      <c r="V924" s="6">
        <v>211.46</v>
      </c>
      <c r="W924" s="8">
        <v>0</v>
      </c>
      <c r="X924" s="6">
        <f t="shared" si="70"/>
        <v>2632.14</v>
      </c>
      <c r="Y924" s="6">
        <f t="shared" si="71"/>
        <v>1903.14</v>
      </c>
      <c r="Z924" s="6">
        <f t="shared" si="72"/>
        <v>728.99999999999977</v>
      </c>
      <c r="AA924" t="s">
        <v>679</v>
      </c>
      <c r="AC924" s="5">
        <v>2</v>
      </c>
      <c r="AD924" t="s">
        <v>1090</v>
      </c>
      <c r="AE924" t="str">
        <f t="shared" si="73"/>
        <v>2024-12</v>
      </c>
      <c r="AF924" t="str">
        <f t="shared" si="74"/>
        <v>Q4-2024</v>
      </c>
    </row>
    <row r="925" spans="1:32" x14ac:dyDescent="0.3">
      <c r="A925" t="s">
        <v>2227</v>
      </c>
      <c r="B925" s="5">
        <v>2</v>
      </c>
      <c r="C925" s="4">
        <v>45526</v>
      </c>
      <c r="D925" s="4">
        <v>45538</v>
      </c>
      <c r="E925" t="s">
        <v>416</v>
      </c>
      <c r="F925" t="s">
        <v>417</v>
      </c>
      <c r="G925" t="s">
        <v>84</v>
      </c>
      <c r="H925" t="s">
        <v>20</v>
      </c>
      <c r="I925" t="s">
        <v>90</v>
      </c>
      <c r="J925" t="s">
        <v>1171</v>
      </c>
      <c r="K925" t="s">
        <v>1172</v>
      </c>
      <c r="L925" t="s">
        <v>735</v>
      </c>
      <c r="M925" t="s">
        <v>659</v>
      </c>
      <c r="N925" t="s">
        <v>713</v>
      </c>
      <c r="O925" t="s">
        <v>736</v>
      </c>
      <c r="P925" t="s">
        <v>27</v>
      </c>
      <c r="Q925" t="s">
        <v>28</v>
      </c>
      <c r="R925" t="s">
        <v>1114</v>
      </c>
      <c r="S925" t="s">
        <v>1156</v>
      </c>
      <c r="T925" s="5">
        <v>7</v>
      </c>
      <c r="U925" s="6">
        <v>124.69</v>
      </c>
      <c r="V925" s="6">
        <v>77.63</v>
      </c>
      <c r="W925" s="8">
        <v>0.1072</v>
      </c>
      <c r="X925" s="6">
        <f t="shared" si="70"/>
        <v>779.26262399999996</v>
      </c>
      <c r="Y925" s="6">
        <f t="shared" si="71"/>
        <v>543.41</v>
      </c>
      <c r="Z925" s="6">
        <f t="shared" si="72"/>
        <v>235.85262399999999</v>
      </c>
      <c r="AA925" t="s">
        <v>679</v>
      </c>
      <c r="AC925" s="5">
        <v>2</v>
      </c>
      <c r="AD925" t="s">
        <v>1136</v>
      </c>
      <c r="AE925" t="str">
        <f t="shared" si="73"/>
        <v>2024-08</v>
      </c>
      <c r="AF925" t="str">
        <f t="shared" si="74"/>
        <v>Q3-2024</v>
      </c>
    </row>
    <row r="926" spans="1:32" x14ac:dyDescent="0.3">
      <c r="A926" t="s">
        <v>2228</v>
      </c>
      <c r="B926" s="5">
        <v>4</v>
      </c>
      <c r="C926" s="4">
        <v>45525</v>
      </c>
      <c r="D926" s="4">
        <v>45533</v>
      </c>
      <c r="E926" t="s">
        <v>436</v>
      </c>
      <c r="F926" t="s">
        <v>437</v>
      </c>
      <c r="G926" t="s">
        <v>65</v>
      </c>
      <c r="H926" t="s">
        <v>31</v>
      </c>
      <c r="I926" t="s">
        <v>127</v>
      </c>
      <c r="J926" t="s">
        <v>1098</v>
      </c>
      <c r="K926" t="s">
        <v>1161</v>
      </c>
      <c r="L926" t="s">
        <v>798</v>
      </c>
      <c r="M926" t="s">
        <v>795</v>
      </c>
      <c r="N926" t="s">
        <v>796</v>
      </c>
      <c r="O926" t="s">
        <v>799</v>
      </c>
      <c r="P926" t="s">
        <v>44</v>
      </c>
      <c r="Q926" t="s">
        <v>45</v>
      </c>
      <c r="R926" t="s">
        <v>1114</v>
      </c>
      <c r="S926" t="s">
        <v>1100</v>
      </c>
      <c r="T926" s="5">
        <v>30</v>
      </c>
      <c r="U926" s="6">
        <v>203.09</v>
      </c>
      <c r="V926" s="6">
        <v>120.52</v>
      </c>
      <c r="W926" s="8">
        <v>0</v>
      </c>
      <c r="X926" s="6">
        <f t="shared" si="70"/>
        <v>6092.7</v>
      </c>
      <c r="Y926" s="6">
        <f t="shared" si="71"/>
        <v>3615.6</v>
      </c>
      <c r="Z926" s="6">
        <f t="shared" si="72"/>
        <v>2477.1</v>
      </c>
      <c r="AA926" t="s">
        <v>679</v>
      </c>
      <c r="AC926" s="5">
        <v>3</v>
      </c>
      <c r="AD926" t="s">
        <v>1136</v>
      </c>
      <c r="AE926" t="str">
        <f t="shared" si="73"/>
        <v>2024-08</v>
      </c>
      <c r="AF926" t="str">
        <f t="shared" si="74"/>
        <v>Q3-2024</v>
      </c>
    </row>
    <row r="927" spans="1:32" x14ac:dyDescent="0.3">
      <c r="A927" t="s">
        <v>2229</v>
      </c>
      <c r="B927" s="5">
        <v>2</v>
      </c>
      <c r="C927" s="4">
        <v>46002</v>
      </c>
      <c r="D927" s="4">
        <v>46009</v>
      </c>
      <c r="E927" t="s">
        <v>500</v>
      </c>
      <c r="F927" t="s">
        <v>253</v>
      </c>
      <c r="G927" t="s">
        <v>80</v>
      </c>
      <c r="H927" t="s">
        <v>20</v>
      </c>
      <c r="I927" t="s">
        <v>112</v>
      </c>
      <c r="J927" t="s">
        <v>1201</v>
      </c>
      <c r="K927" t="s">
        <v>1221</v>
      </c>
      <c r="L927" t="s">
        <v>717</v>
      </c>
      <c r="M927" t="s">
        <v>659</v>
      </c>
      <c r="N927" t="s">
        <v>713</v>
      </c>
      <c r="O927" t="s">
        <v>718</v>
      </c>
      <c r="P927" t="s">
        <v>34</v>
      </c>
      <c r="Q927" t="s">
        <v>35</v>
      </c>
      <c r="R927" t="s">
        <v>1094</v>
      </c>
      <c r="S927" t="s">
        <v>1109</v>
      </c>
      <c r="T927" s="5">
        <v>7</v>
      </c>
      <c r="U927" s="6">
        <v>7.82</v>
      </c>
      <c r="V927" s="6">
        <v>5</v>
      </c>
      <c r="W927" s="8">
        <v>0</v>
      </c>
      <c r="X927" s="6">
        <f t="shared" si="70"/>
        <v>54.74</v>
      </c>
      <c r="Y927" s="6">
        <f t="shared" si="71"/>
        <v>35</v>
      </c>
      <c r="Z927" s="6">
        <f t="shared" si="72"/>
        <v>19.740000000000002</v>
      </c>
      <c r="AA927" t="s">
        <v>679</v>
      </c>
      <c r="AC927" s="5"/>
      <c r="AD927" t="s">
        <v>1110</v>
      </c>
      <c r="AE927" t="str">
        <f t="shared" si="73"/>
        <v>2025-12</v>
      </c>
      <c r="AF927" t="str">
        <f t="shared" si="74"/>
        <v>Q4-2025</v>
      </c>
    </row>
    <row r="928" spans="1:32" x14ac:dyDescent="0.3">
      <c r="A928" t="s">
        <v>2230</v>
      </c>
      <c r="B928" s="5">
        <v>1</v>
      </c>
      <c r="C928" s="4">
        <v>45474</v>
      </c>
      <c r="D928" s="4">
        <v>45486</v>
      </c>
      <c r="E928" t="s">
        <v>588</v>
      </c>
      <c r="F928" t="s">
        <v>589</v>
      </c>
      <c r="G928" t="s">
        <v>104</v>
      </c>
      <c r="H928" t="s">
        <v>31</v>
      </c>
      <c r="I928" t="s">
        <v>160</v>
      </c>
      <c r="J928" t="s">
        <v>1125</v>
      </c>
      <c r="K928" t="s">
        <v>1132</v>
      </c>
      <c r="L928" t="s">
        <v>1007</v>
      </c>
      <c r="M928" t="s">
        <v>1002</v>
      </c>
      <c r="N928" t="s">
        <v>1003</v>
      </c>
      <c r="O928" t="s">
        <v>1008</v>
      </c>
      <c r="P928" t="s">
        <v>37</v>
      </c>
      <c r="Q928" t="s">
        <v>38</v>
      </c>
      <c r="R928" t="s">
        <v>1088</v>
      </c>
      <c r="S928" t="s">
        <v>1109</v>
      </c>
      <c r="T928" s="5">
        <v>18</v>
      </c>
      <c r="U928" s="6">
        <v>93.66</v>
      </c>
      <c r="V928" s="6">
        <v>77.540000000000006</v>
      </c>
      <c r="W928" s="8">
        <v>4.7699999999999999E-2</v>
      </c>
      <c r="X928" s="6">
        <f t="shared" si="70"/>
        <v>1605.463524</v>
      </c>
      <c r="Y928" s="6">
        <f t="shared" si="71"/>
        <v>1395.72</v>
      </c>
      <c r="Z928" s="6">
        <f t="shared" si="72"/>
        <v>209.74352399999998</v>
      </c>
      <c r="AA928" t="s">
        <v>679</v>
      </c>
      <c r="AC928" s="5">
        <v>2</v>
      </c>
      <c r="AD928" t="s">
        <v>1096</v>
      </c>
      <c r="AE928" t="str">
        <f t="shared" si="73"/>
        <v>2024-07</v>
      </c>
      <c r="AF928" t="str">
        <f t="shared" si="74"/>
        <v>Q3-2024</v>
      </c>
    </row>
    <row r="929" spans="1:32" x14ac:dyDescent="0.3">
      <c r="A929" t="s">
        <v>2231</v>
      </c>
      <c r="B929" s="5">
        <v>4</v>
      </c>
      <c r="C929" s="4">
        <v>45802</v>
      </c>
      <c r="D929" s="4">
        <v>45802</v>
      </c>
      <c r="E929" t="s">
        <v>113</v>
      </c>
      <c r="F929" t="s">
        <v>2232</v>
      </c>
      <c r="G929" t="s">
        <v>104</v>
      </c>
      <c r="H929" t="s">
        <v>31</v>
      </c>
      <c r="I929" t="s">
        <v>160</v>
      </c>
      <c r="J929" t="s">
        <v>1125</v>
      </c>
      <c r="K929" t="s">
        <v>1386</v>
      </c>
      <c r="L929" t="s">
        <v>1019</v>
      </c>
      <c r="M929" t="s">
        <v>1002</v>
      </c>
      <c r="N929" t="s">
        <v>1003</v>
      </c>
      <c r="O929" t="s">
        <v>1020</v>
      </c>
      <c r="P929" t="s">
        <v>46</v>
      </c>
      <c r="Q929" t="s">
        <v>47</v>
      </c>
      <c r="R929" t="s">
        <v>1114</v>
      </c>
      <c r="S929" t="s">
        <v>1095</v>
      </c>
      <c r="T929" s="5">
        <v>21</v>
      </c>
      <c r="U929" s="6">
        <v>216.47</v>
      </c>
      <c r="V929" s="6">
        <v>129.36000000000001</v>
      </c>
      <c r="W929" s="8">
        <v>0</v>
      </c>
      <c r="X929" s="6">
        <f t="shared" si="70"/>
        <v>4545.87</v>
      </c>
      <c r="Y929" s="6">
        <f t="shared" si="71"/>
        <v>2716.5600000000004</v>
      </c>
      <c r="Z929" s="6">
        <f t="shared" si="72"/>
        <v>1829.3099999999995</v>
      </c>
      <c r="AA929" t="s">
        <v>679</v>
      </c>
      <c r="AC929" s="5">
        <v>1</v>
      </c>
      <c r="AD929" t="s">
        <v>1140</v>
      </c>
      <c r="AE929" t="str">
        <f t="shared" si="73"/>
        <v>2025-05</v>
      </c>
      <c r="AF929" t="str">
        <f t="shared" si="74"/>
        <v>Q2-2025</v>
      </c>
    </row>
    <row r="930" spans="1:32" x14ac:dyDescent="0.3">
      <c r="A930" t="s">
        <v>2233</v>
      </c>
      <c r="B930" s="5">
        <v>5</v>
      </c>
      <c r="C930" s="4">
        <v>45545</v>
      </c>
      <c r="D930" s="4">
        <v>45551</v>
      </c>
      <c r="E930" t="s">
        <v>130</v>
      </c>
      <c r="F930" t="s">
        <v>131</v>
      </c>
      <c r="G930" t="s">
        <v>65</v>
      </c>
      <c r="H930" t="s">
        <v>20</v>
      </c>
      <c r="I930" t="s">
        <v>71</v>
      </c>
      <c r="J930" t="s">
        <v>1166</v>
      </c>
      <c r="K930" t="s">
        <v>1167</v>
      </c>
      <c r="L930" t="s">
        <v>784</v>
      </c>
      <c r="M930" t="s">
        <v>659</v>
      </c>
      <c r="N930" t="s">
        <v>754</v>
      </c>
      <c r="O930" t="s">
        <v>785</v>
      </c>
      <c r="P930" t="s">
        <v>21</v>
      </c>
      <c r="Q930" t="s">
        <v>22</v>
      </c>
      <c r="R930" t="s">
        <v>1088</v>
      </c>
      <c r="S930" t="s">
        <v>1109</v>
      </c>
      <c r="T930" s="5">
        <v>10</v>
      </c>
      <c r="U930" s="6">
        <v>74.069999999999993</v>
      </c>
      <c r="V930" s="6">
        <v>51.78</v>
      </c>
      <c r="W930" s="8">
        <v>0</v>
      </c>
      <c r="X930" s="6">
        <f t="shared" si="70"/>
        <v>740.69999999999993</v>
      </c>
      <c r="Y930" s="6">
        <f t="shared" si="71"/>
        <v>517.79999999999995</v>
      </c>
      <c r="Z930" s="6">
        <f t="shared" si="72"/>
        <v>222.89999999999998</v>
      </c>
      <c r="AA930" t="s">
        <v>679</v>
      </c>
      <c r="AC930" s="5">
        <v>5</v>
      </c>
      <c r="AE930" t="str">
        <f t="shared" si="73"/>
        <v>2024-09</v>
      </c>
      <c r="AF930" t="str">
        <f t="shared" si="74"/>
        <v>Q3-2024</v>
      </c>
    </row>
    <row r="931" spans="1:32" x14ac:dyDescent="0.3">
      <c r="A931" t="s">
        <v>2234</v>
      </c>
      <c r="B931" s="5">
        <v>3</v>
      </c>
      <c r="C931" s="4">
        <v>45495</v>
      </c>
      <c r="D931" s="4">
        <v>45509</v>
      </c>
      <c r="E931" t="s">
        <v>287</v>
      </c>
      <c r="F931" t="s">
        <v>288</v>
      </c>
      <c r="G931" t="s">
        <v>104</v>
      </c>
      <c r="H931" t="s">
        <v>31</v>
      </c>
      <c r="I931" t="s">
        <v>67</v>
      </c>
      <c r="J931" t="s">
        <v>1304</v>
      </c>
      <c r="K931" t="s">
        <v>1342</v>
      </c>
      <c r="L931" t="s">
        <v>857</v>
      </c>
      <c r="M931" t="s">
        <v>795</v>
      </c>
      <c r="N931" t="s">
        <v>837</v>
      </c>
      <c r="O931" t="s">
        <v>858</v>
      </c>
      <c r="P931" t="s">
        <v>27</v>
      </c>
      <c r="Q931" t="s">
        <v>28</v>
      </c>
      <c r="R931" t="s">
        <v>126</v>
      </c>
      <c r="S931" t="s">
        <v>1109</v>
      </c>
      <c r="T931" s="5">
        <v>2</v>
      </c>
      <c r="U931" s="6">
        <v>214.05</v>
      </c>
      <c r="V931" s="6">
        <v>111.57</v>
      </c>
      <c r="W931" s="8">
        <v>0</v>
      </c>
      <c r="X931" s="6">
        <f t="shared" si="70"/>
        <v>428.1</v>
      </c>
      <c r="Y931" s="6">
        <f t="shared" si="71"/>
        <v>223.14</v>
      </c>
      <c r="Z931" s="6">
        <f t="shared" si="72"/>
        <v>204.96000000000004</v>
      </c>
      <c r="AA931" t="s">
        <v>679</v>
      </c>
      <c r="AC931" s="5"/>
      <c r="AD931" t="s">
        <v>1096</v>
      </c>
      <c r="AE931" t="str">
        <f t="shared" si="73"/>
        <v>2024-07</v>
      </c>
      <c r="AF931" t="str">
        <f t="shared" si="74"/>
        <v>Q3-2024</v>
      </c>
    </row>
    <row r="932" spans="1:32" x14ac:dyDescent="0.3">
      <c r="A932" t="s">
        <v>2235</v>
      </c>
      <c r="B932" s="5">
        <v>5</v>
      </c>
      <c r="C932" s="4">
        <v>45426</v>
      </c>
      <c r="D932" s="4">
        <v>45432</v>
      </c>
      <c r="E932" t="s">
        <v>424</v>
      </c>
      <c r="F932" t="s">
        <v>425</v>
      </c>
      <c r="G932" t="s">
        <v>74</v>
      </c>
      <c r="H932" t="s">
        <v>23</v>
      </c>
      <c r="I932" t="s">
        <v>109</v>
      </c>
      <c r="J932" t="s">
        <v>1300</v>
      </c>
      <c r="K932" t="s">
        <v>1301</v>
      </c>
      <c r="L932" t="s">
        <v>928</v>
      </c>
      <c r="M932" t="s">
        <v>929</v>
      </c>
      <c r="N932" t="s">
        <v>930</v>
      </c>
      <c r="O932" t="s">
        <v>931</v>
      </c>
      <c r="P932" t="s">
        <v>21</v>
      </c>
      <c r="Q932" t="s">
        <v>22</v>
      </c>
      <c r="R932" t="s">
        <v>1114</v>
      </c>
      <c r="S932" t="s">
        <v>1109</v>
      </c>
      <c r="T932" s="5">
        <v>18</v>
      </c>
      <c r="U932" s="6">
        <v>226.37</v>
      </c>
      <c r="V932" s="6">
        <v>130.21</v>
      </c>
      <c r="W932" s="8">
        <v>0</v>
      </c>
      <c r="X932" s="6">
        <f t="shared" si="70"/>
        <v>4074.66</v>
      </c>
      <c r="Y932" s="6">
        <f t="shared" si="71"/>
        <v>2343.7800000000002</v>
      </c>
      <c r="Z932" s="6">
        <f t="shared" si="72"/>
        <v>1730.8799999999997</v>
      </c>
      <c r="AA932" t="s">
        <v>679</v>
      </c>
      <c r="AC932" s="5">
        <v>2</v>
      </c>
      <c r="AD932" t="s">
        <v>1105</v>
      </c>
      <c r="AE932" t="str">
        <f t="shared" si="73"/>
        <v>2024-05</v>
      </c>
      <c r="AF932" t="str">
        <f t="shared" si="74"/>
        <v>Q2-2024</v>
      </c>
    </row>
    <row r="933" spans="1:32" x14ac:dyDescent="0.3">
      <c r="A933" t="s">
        <v>2236</v>
      </c>
      <c r="B933" s="5">
        <v>4</v>
      </c>
      <c r="C933" s="4">
        <v>45520</v>
      </c>
      <c r="D933" s="4">
        <v>45530</v>
      </c>
      <c r="E933" t="s">
        <v>560</v>
      </c>
      <c r="F933" t="s">
        <v>200</v>
      </c>
      <c r="G933" t="s">
        <v>65</v>
      </c>
      <c r="H933" t="s">
        <v>23</v>
      </c>
      <c r="I933" t="s">
        <v>93</v>
      </c>
      <c r="J933" t="s">
        <v>1103</v>
      </c>
      <c r="K933" t="s">
        <v>1104</v>
      </c>
      <c r="L933" t="s">
        <v>958</v>
      </c>
      <c r="M933" t="s">
        <v>929</v>
      </c>
      <c r="N933" t="s">
        <v>930</v>
      </c>
      <c r="O933" t="s">
        <v>959</v>
      </c>
      <c r="P933" t="s">
        <v>39</v>
      </c>
      <c r="Q933" t="s">
        <v>40</v>
      </c>
      <c r="R933" t="s">
        <v>1114</v>
      </c>
      <c r="S933" t="s">
        <v>1095</v>
      </c>
      <c r="T933" s="5">
        <v>12</v>
      </c>
      <c r="U933" s="6">
        <v>199.48</v>
      </c>
      <c r="V933" s="6">
        <v>114.63</v>
      </c>
      <c r="W933" s="8">
        <v>0</v>
      </c>
      <c r="X933" s="6">
        <f t="shared" si="70"/>
        <v>2393.7599999999998</v>
      </c>
      <c r="Y933" s="6">
        <f t="shared" si="71"/>
        <v>1375.56</v>
      </c>
      <c r="Z933" s="6">
        <f t="shared" si="72"/>
        <v>1018.1999999999998</v>
      </c>
      <c r="AA933" t="s">
        <v>679</v>
      </c>
      <c r="AC933" s="5">
        <v>1</v>
      </c>
      <c r="AE933" t="str">
        <f t="shared" si="73"/>
        <v>2024-08</v>
      </c>
      <c r="AF933" t="str">
        <f t="shared" si="74"/>
        <v>Q3-2024</v>
      </c>
    </row>
    <row r="934" spans="1:32" x14ac:dyDescent="0.3">
      <c r="A934" t="s">
        <v>2237</v>
      </c>
      <c r="B934" s="5">
        <v>2</v>
      </c>
      <c r="C934" s="4">
        <v>45303</v>
      </c>
      <c r="D934" s="4">
        <v>45305</v>
      </c>
      <c r="E934" t="s">
        <v>461</v>
      </c>
      <c r="F934" t="s">
        <v>462</v>
      </c>
      <c r="G934" t="s">
        <v>65</v>
      </c>
      <c r="H934" t="s">
        <v>20</v>
      </c>
      <c r="I934" t="s">
        <v>71</v>
      </c>
      <c r="J934" t="s">
        <v>1112</v>
      </c>
      <c r="K934" t="s">
        <v>1266</v>
      </c>
      <c r="L934" t="s">
        <v>983</v>
      </c>
      <c r="M934" t="s">
        <v>929</v>
      </c>
      <c r="N934" t="s">
        <v>971</v>
      </c>
      <c r="O934" t="s">
        <v>984</v>
      </c>
      <c r="P934" t="s">
        <v>17</v>
      </c>
      <c r="Q934" t="s">
        <v>18</v>
      </c>
      <c r="R934" t="s">
        <v>1114</v>
      </c>
      <c r="S934" t="s">
        <v>1156</v>
      </c>
      <c r="T934" s="5">
        <v>8</v>
      </c>
      <c r="U934" s="6">
        <v>162.05000000000001</v>
      </c>
      <c r="V934" s="6">
        <v>106.87</v>
      </c>
      <c r="W934" s="8">
        <v>0.2162</v>
      </c>
      <c r="X934" s="6">
        <f t="shared" si="70"/>
        <v>1016.1183200000002</v>
      </c>
      <c r="Y934" s="6">
        <f t="shared" si="71"/>
        <v>854.96</v>
      </c>
      <c r="Z934" s="6">
        <f t="shared" si="72"/>
        <v>161.15832000000012</v>
      </c>
      <c r="AA934" t="s">
        <v>679</v>
      </c>
      <c r="AC934" s="5">
        <v>2</v>
      </c>
      <c r="AE934" t="str">
        <f t="shared" si="73"/>
        <v>2024-01</v>
      </c>
      <c r="AF934" t="str">
        <f t="shared" si="74"/>
        <v>Q1-2024</v>
      </c>
    </row>
    <row r="935" spans="1:32" x14ac:dyDescent="0.3">
      <c r="A935" t="s">
        <v>2238</v>
      </c>
      <c r="B935" s="5">
        <v>5</v>
      </c>
      <c r="C935" s="4">
        <v>45507</v>
      </c>
      <c r="D935" s="4">
        <v>45511</v>
      </c>
      <c r="E935" t="s">
        <v>538</v>
      </c>
      <c r="F935" t="s">
        <v>539</v>
      </c>
      <c r="G935" t="s">
        <v>74</v>
      </c>
      <c r="H935" t="s">
        <v>31</v>
      </c>
      <c r="I935" t="s">
        <v>127</v>
      </c>
      <c r="J935" t="s">
        <v>1116</v>
      </c>
      <c r="K935" t="s">
        <v>1153</v>
      </c>
      <c r="L935" t="s">
        <v>1038</v>
      </c>
      <c r="M935" t="s">
        <v>1002</v>
      </c>
      <c r="N935" t="s">
        <v>1034</v>
      </c>
      <c r="O935" t="s">
        <v>1039</v>
      </c>
      <c r="P935" t="s">
        <v>46</v>
      </c>
      <c r="Q935" t="s">
        <v>47</v>
      </c>
      <c r="R935" t="s">
        <v>1088</v>
      </c>
      <c r="S935" t="s">
        <v>1089</v>
      </c>
      <c r="T935" s="5">
        <v>15</v>
      </c>
      <c r="U935" s="6">
        <v>204.77</v>
      </c>
      <c r="V935" s="6">
        <v>115.2</v>
      </c>
      <c r="W935" s="8">
        <v>0</v>
      </c>
      <c r="X935" s="6">
        <f t="shared" si="70"/>
        <v>3071.55</v>
      </c>
      <c r="Y935" s="6">
        <f t="shared" si="71"/>
        <v>1728</v>
      </c>
      <c r="Z935" s="6">
        <f t="shared" si="72"/>
        <v>1343.5500000000002</v>
      </c>
      <c r="AA935" t="s">
        <v>679</v>
      </c>
      <c r="AC935" s="5">
        <v>3</v>
      </c>
      <c r="AD935" t="s">
        <v>1335</v>
      </c>
      <c r="AE935" t="str">
        <f t="shared" si="73"/>
        <v>2024-08</v>
      </c>
      <c r="AF935" t="str">
        <f t="shared" si="74"/>
        <v>Q3-2024</v>
      </c>
    </row>
    <row r="936" spans="1:32" x14ac:dyDescent="0.3">
      <c r="A936" t="s">
        <v>2239</v>
      </c>
      <c r="B936" s="5">
        <v>1</v>
      </c>
      <c r="C936" s="4">
        <v>45855</v>
      </c>
      <c r="D936" s="4">
        <v>45859</v>
      </c>
      <c r="E936" t="s">
        <v>68</v>
      </c>
      <c r="F936" t="s">
        <v>69</v>
      </c>
      <c r="G936" t="s">
        <v>65</v>
      </c>
      <c r="H936" t="s">
        <v>23</v>
      </c>
      <c r="I936" t="s">
        <v>93</v>
      </c>
      <c r="J936" t="s">
        <v>1294</v>
      </c>
      <c r="K936" t="s">
        <v>1295</v>
      </c>
      <c r="L936" t="s">
        <v>950</v>
      </c>
      <c r="M936" t="s">
        <v>929</v>
      </c>
      <c r="N936" t="s">
        <v>930</v>
      </c>
      <c r="O936" t="s">
        <v>951</v>
      </c>
      <c r="P936" t="s">
        <v>24</v>
      </c>
      <c r="Q936" t="s">
        <v>25</v>
      </c>
      <c r="R936" t="s">
        <v>1088</v>
      </c>
      <c r="S936" t="s">
        <v>1109</v>
      </c>
      <c r="T936" s="5">
        <v>1</v>
      </c>
      <c r="U936" s="6">
        <v>351.4</v>
      </c>
      <c r="V936" s="6">
        <v>181.98</v>
      </c>
      <c r="W936" s="8">
        <v>0.26129999999999998</v>
      </c>
      <c r="X936" s="6">
        <f t="shared" si="70"/>
        <v>259.57918000000001</v>
      </c>
      <c r="Y936" s="6">
        <f t="shared" si="71"/>
        <v>181.98</v>
      </c>
      <c r="Z936" s="6">
        <f t="shared" si="72"/>
        <v>77.599180000000018</v>
      </c>
      <c r="AA936" t="s">
        <v>679</v>
      </c>
      <c r="AC936" s="5"/>
      <c r="AD936" t="s">
        <v>1105</v>
      </c>
      <c r="AE936" t="str">
        <f t="shared" si="73"/>
        <v>2025-07</v>
      </c>
      <c r="AF936" t="str">
        <f t="shared" si="74"/>
        <v>Q3-2025</v>
      </c>
    </row>
    <row r="937" spans="1:32" x14ac:dyDescent="0.3">
      <c r="A937" t="s">
        <v>2240</v>
      </c>
      <c r="B937" s="5">
        <v>5</v>
      </c>
      <c r="C937" s="4">
        <v>45989</v>
      </c>
      <c r="D937" s="4">
        <v>45999</v>
      </c>
      <c r="E937" t="s">
        <v>556</v>
      </c>
      <c r="F937" t="s">
        <v>557</v>
      </c>
      <c r="G937" t="s">
        <v>80</v>
      </c>
      <c r="H937" t="s">
        <v>20</v>
      </c>
      <c r="I937" t="s">
        <v>71</v>
      </c>
      <c r="J937" t="s">
        <v>1112</v>
      </c>
      <c r="K937" t="s">
        <v>1266</v>
      </c>
      <c r="L937" t="s">
        <v>667</v>
      </c>
      <c r="M937" t="s">
        <v>659</v>
      </c>
      <c r="N937" t="s">
        <v>660</v>
      </c>
      <c r="O937" t="s">
        <v>668</v>
      </c>
      <c r="P937" t="s">
        <v>37</v>
      </c>
      <c r="Q937" t="s">
        <v>38</v>
      </c>
      <c r="R937" t="s">
        <v>1114</v>
      </c>
      <c r="S937" t="s">
        <v>1156</v>
      </c>
      <c r="T937" s="5">
        <v>8</v>
      </c>
      <c r="U937" s="6">
        <v>7.88</v>
      </c>
      <c r="V937" s="6">
        <v>5</v>
      </c>
      <c r="W937" s="8">
        <v>0</v>
      </c>
      <c r="X937" s="6">
        <f t="shared" si="70"/>
        <v>63.04</v>
      </c>
      <c r="Y937" s="6">
        <f t="shared" si="71"/>
        <v>40</v>
      </c>
      <c r="Z937" s="6">
        <f t="shared" si="72"/>
        <v>23.04</v>
      </c>
      <c r="AA937" t="s">
        <v>679</v>
      </c>
      <c r="AC937" s="5">
        <v>1</v>
      </c>
      <c r="AD937" t="s">
        <v>1090</v>
      </c>
      <c r="AE937" t="str">
        <f t="shared" si="73"/>
        <v>2025-11</v>
      </c>
      <c r="AF937" t="str">
        <f t="shared" si="74"/>
        <v>Q4-2025</v>
      </c>
    </row>
    <row r="938" spans="1:32" x14ac:dyDescent="0.3">
      <c r="A938" t="s">
        <v>2241</v>
      </c>
      <c r="B938" s="5">
        <v>4</v>
      </c>
      <c r="C938" s="4">
        <v>45544</v>
      </c>
      <c r="D938" s="4">
        <v>45548</v>
      </c>
      <c r="E938" t="s">
        <v>107</v>
      </c>
      <c r="F938" t="s">
        <v>108</v>
      </c>
      <c r="G938" t="s">
        <v>65</v>
      </c>
      <c r="H938" t="s">
        <v>31</v>
      </c>
      <c r="I938" t="s">
        <v>67</v>
      </c>
      <c r="J938" t="s">
        <v>1128</v>
      </c>
      <c r="K938" t="s">
        <v>1181</v>
      </c>
      <c r="L938" t="s">
        <v>902</v>
      </c>
      <c r="M938" t="s">
        <v>795</v>
      </c>
      <c r="N938" t="s">
        <v>898</v>
      </c>
      <c r="O938" t="s">
        <v>903</v>
      </c>
      <c r="P938" t="s">
        <v>17</v>
      </c>
      <c r="Q938" t="s">
        <v>18</v>
      </c>
      <c r="R938" t="s">
        <v>1094</v>
      </c>
      <c r="S938" t="s">
        <v>1109</v>
      </c>
      <c r="T938" s="5">
        <v>4</v>
      </c>
      <c r="U938" s="6">
        <v>9.2799999999999994</v>
      </c>
      <c r="V938" s="6">
        <v>5</v>
      </c>
      <c r="W938" s="8">
        <v>0</v>
      </c>
      <c r="X938" s="6">
        <f t="shared" si="70"/>
        <v>37.119999999999997</v>
      </c>
      <c r="Y938" s="6">
        <f t="shared" si="71"/>
        <v>20</v>
      </c>
      <c r="Z938" s="6">
        <f t="shared" si="72"/>
        <v>17.119999999999997</v>
      </c>
      <c r="AA938" t="s">
        <v>679</v>
      </c>
      <c r="AC938" s="5">
        <v>4</v>
      </c>
      <c r="AD938" t="s">
        <v>1096</v>
      </c>
      <c r="AE938" t="str">
        <f t="shared" si="73"/>
        <v>2024-09</v>
      </c>
      <c r="AF938" t="str">
        <f t="shared" si="74"/>
        <v>Q3-2024</v>
      </c>
    </row>
    <row r="939" spans="1:32" x14ac:dyDescent="0.3">
      <c r="A939" t="s">
        <v>2242</v>
      </c>
      <c r="B939" s="5">
        <v>3</v>
      </c>
      <c r="C939" s="4">
        <v>45643</v>
      </c>
      <c r="D939" s="4">
        <v>45649</v>
      </c>
      <c r="E939" t="s">
        <v>271</v>
      </c>
      <c r="F939" t="s">
        <v>272</v>
      </c>
      <c r="G939" t="s">
        <v>65</v>
      </c>
      <c r="H939" t="s">
        <v>41</v>
      </c>
      <c r="I939" t="s">
        <v>75</v>
      </c>
      <c r="J939" t="s">
        <v>1142</v>
      </c>
      <c r="K939" t="s">
        <v>1205</v>
      </c>
      <c r="L939" t="s">
        <v>784</v>
      </c>
      <c r="M939" t="s">
        <v>659</v>
      </c>
      <c r="N939" t="s">
        <v>754</v>
      </c>
      <c r="O939" t="s">
        <v>785</v>
      </c>
      <c r="P939" t="s">
        <v>37</v>
      </c>
      <c r="Q939" t="s">
        <v>38</v>
      </c>
      <c r="R939" t="s">
        <v>1094</v>
      </c>
      <c r="S939" t="s">
        <v>1156</v>
      </c>
      <c r="T939" s="5">
        <v>4</v>
      </c>
      <c r="U939" s="6">
        <v>76.19</v>
      </c>
      <c r="V939" s="6">
        <v>51.78</v>
      </c>
      <c r="W939" s="8">
        <v>0</v>
      </c>
      <c r="X939" s="6">
        <f t="shared" si="70"/>
        <v>304.76</v>
      </c>
      <c r="Y939" s="6">
        <f t="shared" si="71"/>
        <v>207.12</v>
      </c>
      <c r="Z939" s="6">
        <f t="shared" si="72"/>
        <v>97.639999999999986</v>
      </c>
      <c r="AA939" t="s">
        <v>679</v>
      </c>
      <c r="AC939" s="5">
        <v>4</v>
      </c>
      <c r="AD939" t="s">
        <v>1105</v>
      </c>
      <c r="AE939" t="str">
        <f t="shared" si="73"/>
        <v>2024-12</v>
      </c>
      <c r="AF939" t="str">
        <f t="shared" si="74"/>
        <v>Q4-2024</v>
      </c>
    </row>
    <row r="940" spans="1:32" x14ac:dyDescent="0.3">
      <c r="A940" t="s">
        <v>2243</v>
      </c>
      <c r="B940" s="5">
        <v>2</v>
      </c>
      <c r="C940" s="4">
        <v>45322</v>
      </c>
      <c r="D940" s="4">
        <v>45327</v>
      </c>
      <c r="E940" t="s">
        <v>293</v>
      </c>
      <c r="F940" t="s">
        <v>294</v>
      </c>
      <c r="G940" t="s">
        <v>65</v>
      </c>
      <c r="H940" t="s">
        <v>41</v>
      </c>
      <c r="I940" t="s">
        <v>86</v>
      </c>
      <c r="J940" t="s">
        <v>1086</v>
      </c>
      <c r="K940" t="s">
        <v>1175</v>
      </c>
      <c r="L940" t="s">
        <v>938</v>
      </c>
      <c r="M940" t="s">
        <v>929</v>
      </c>
      <c r="N940" t="s">
        <v>930</v>
      </c>
      <c r="O940" t="s">
        <v>939</v>
      </c>
      <c r="P940" t="s">
        <v>37</v>
      </c>
      <c r="Q940" t="s">
        <v>38</v>
      </c>
      <c r="R940" t="s">
        <v>1114</v>
      </c>
      <c r="S940" t="s">
        <v>1089</v>
      </c>
      <c r="T940" s="5">
        <v>2</v>
      </c>
      <c r="U940" s="6">
        <v>291.13</v>
      </c>
      <c r="V940" s="6">
        <v>175.97</v>
      </c>
      <c r="W940" s="8">
        <v>0</v>
      </c>
      <c r="X940" s="6">
        <f t="shared" si="70"/>
        <v>582.26</v>
      </c>
      <c r="Y940" s="6">
        <f t="shared" si="71"/>
        <v>351.94</v>
      </c>
      <c r="Z940" s="6">
        <f t="shared" si="72"/>
        <v>230.32</v>
      </c>
      <c r="AA940" t="s">
        <v>679</v>
      </c>
      <c r="AC940" s="5">
        <v>3</v>
      </c>
      <c r="AD940" t="s">
        <v>1140</v>
      </c>
      <c r="AE940" t="str">
        <f t="shared" si="73"/>
        <v>2024-01</v>
      </c>
      <c r="AF940" t="str">
        <f t="shared" si="74"/>
        <v>Q1-2024</v>
      </c>
    </row>
    <row r="941" spans="1:32" x14ac:dyDescent="0.3">
      <c r="A941" t="s">
        <v>2244</v>
      </c>
      <c r="B941" s="5">
        <v>2</v>
      </c>
      <c r="C941" s="4">
        <v>45803</v>
      </c>
      <c r="D941" s="4">
        <v>45809</v>
      </c>
      <c r="E941" t="s">
        <v>303</v>
      </c>
      <c r="F941" t="s">
        <v>304</v>
      </c>
      <c r="G941" t="s">
        <v>74</v>
      </c>
      <c r="H941" t="s">
        <v>23</v>
      </c>
      <c r="I941" t="s">
        <v>109</v>
      </c>
      <c r="J941" t="s">
        <v>1145</v>
      </c>
      <c r="K941" t="s">
        <v>1146</v>
      </c>
      <c r="L941" t="s">
        <v>698</v>
      </c>
      <c r="M941" t="s">
        <v>659</v>
      </c>
      <c r="N941" t="s">
        <v>660</v>
      </c>
      <c r="O941" t="s">
        <v>699</v>
      </c>
      <c r="P941" t="s">
        <v>48</v>
      </c>
      <c r="Q941" t="s">
        <v>49</v>
      </c>
      <c r="R941" t="s">
        <v>1094</v>
      </c>
      <c r="S941" t="s">
        <v>1089</v>
      </c>
      <c r="T941" s="5">
        <v>21</v>
      </c>
      <c r="U941" s="6">
        <v>7.7</v>
      </c>
      <c r="V941" s="6">
        <v>5</v>
      </c>
      <c r="W941" s="8">
        <v>9.4799999999999995E-2</v>
      </c>
      <c r="X941" s="6">
        <f t="shared" si="70"/>
        <v>146.37084000000002</v>
      </c>
      <c r="Y941" s="6">
        <f t="shared" si="71"/>
        <v>105</v>
      </c>
      <c r="Z941" s="6">
        <f t="shared" si="72"/>
        <v>41.370840000000015</v>
      </c>
      <c r="AA941" t="s">
        <v>679</v>
      </c>
      <c r="AC941" s="5">
        <v>2</v>
      </c>
      <c r="AD941" t="s">
        <v>1105</v>
      </c>
      <c r="AE941" t="str">
        <f t="shared" si="73"/>
        <v>2025-05</v>
      </c>
      <c r="AF941" t="str">
        <f t="shared" si="74"/>
        <v>Q2-2025</v>
      </c>
    </row>
    <row r="942" spans="1:32" x14ac:dyDescent="0.3">
      <c r="A942" t="s">
        <v>2245</v>
      </c>
      <c r="B942" s="5">
        <v>4</v>
      </c>
      <c r="C942" s="4">
        <v>45617</v>
      </c>
      <c r="D942" s="4">
        <v>45623</v>
      </c>
      <c r="E942" t="s">
        <v>631</v>
      </c>
      <c r="F942" t="s">
        <v>632</v>
      </c>
      <c r="G942" t="s">
        <v>65</v>
      </c>
      <c r="H942" t="s">
        <v>41</v>
      </c>
      <c r="I942" t="s">
        <v>75</v>
      </c>
      <c r="J942" t="s">
        <v>1142</v>
      </c>
      <c r="K942" t="s">
        <v>1205</v>
      </c>
      <c r="L942" t="s">
        <v>859</v>
      </c>
      <c r="M942" t="s">
        <v>795</v>
      </c>
      <c r="N942" t="s">
        <v>837</v>
      </c>
      <c r="O942" t="s">
        <v>860</v>
      </c>
      <c r="P942" t="s">
        <v>39</v>
      </c>
      <c r="Q942" t="s">
        <v>40</v>
      </c>
      <c r="R942" t="s">
        <v>1094</v>
      </c>
      <c r="S942" t="s">
        <v>1100</v>
      </c>
      <c r="T942" s="5">
        <v>6</v>
      </c>
      <c r="U942" s="6">
        <v>113.19</v>
      </c>
      <c r="V942" s="6">
        <v>61.5</v>
      </c>
      <c r="W942" s="8">
        <v>0</v>
      </c>
      <c r="X942" s="6">
        <f t="shared" si="70"/>
        <v>679.14</v>
      </c>
      <c r="Y942" s="6">
        <f t="shared" si="71"/>
        <v>369</v>
      </c>
      <c r="Z942" s="6">
        <f t="shared" si="72"/>
        <v>310.14</v>
      </c>
      <c r="AA942" t="s">
        <v>679</v>
      </c>
      <c r="AC942" s="5">
        <v>3</v>
      </c>
      <c r="AD942" t="s">
        <v>1096</v>
      </c>
      <c r="AE942" t="str">
        <f t="shared" si="73"/>
        <v>2024-11</v>
      </c>
      <c r="AF942" t="str">
        <f t="shared" si="74"/>
        <v>Q4-2024</v>
      </c>
    </row>
    <row r="943" spans="1:32" x14ac:dyDescent="0.3">
      <c r="A943" t="s">
        <v>2246</v>
      </c>
      <c r="B943" s="5">
        <v>2</v>
      </c>
      <c r="C943" s="4">
        <v>46020</v>
      </c>
      <c r="D943" s="4">
        <v>46029</v>
      </c>
      <c r="E943" t="s">
        <v>252</v>
      </c>
      <c r="F943" t="s">
        <v>2247</v>
      </c>
      <c r="G943" t="s">
        <v>65</v>
      </c>
      <c r="H943" t="s">
        <v>41</v>
      </c>
      <c r="I943" t="s">
        <v>86</v>
      </c>
      <c r="J943" t="s">
        <v>1107</v>
      </c>
      <c r="K943" t="s">
        <v>1230</v>
      </c>
      <c r="L943" t="s">
        <v>977</v>
      </c>
      <c r="M943" t="s">
        <v>929</v>
      </c>
      <c r="N943" t="s">
        <v>971</v>
      </c>
      <c r="O943" t="s">
        <v>978</v>
      </c>
      <c r="P943" t="s">
        <v>27</v>
      </c>
      <c r="Q943" t="s">
        <v>28</v>
      </c>
      <c r="R943" t="s">
        <v>1088</v>
      </c>
      <c r="S943" t="s">
        <v>1109</v>
      </c>
      <c r="T943" s="5">
        <v>7</v>
      </c>
      <c r="U943" s="6">
        <v>132.02000000000001</v>
      </c>
      <c r="V943" s="6">
        <v>86.07</v>
      </c>
      <c r="W943" s="8">
        <v>0</v>
      </c>
      <c r="X943" s="6">
        <f t="shared" si="70"/>
        <v>924.1400000000001</v>
      </c>
      <c r="Y943" s="6">
        <f t="shared" si="71"/>
        <v>602.49</v>
      </c>
      <c r="Z943" s="6">
        <f t="shared" si="72"/>
        <v>321.65000000000009</v>
      </c>
      <c r="AA943" t="s">
        <v>679</v>
      </c>
      <c r="AC943" s="5">
        <v>4</v>
      </c>
      <c r="AD943" t="s">
        <v>1123</v>
      </c>
      <c r="AE943" t="str">
        <f t="shared" si="73"/>
        <v>2025-12</v>
      </c>
      <c r="AF943" t="str">
        <f t="shared" si="74"/>
        <v>Q4-2025</v>
      </c>
    </row>
    <row r="944" spans="1:32" x14ac:dyDescent="0.3">
      <c r="A944" t="s">
        <v>2248</v>
      </c>
      <c r="B944" s="5">
        <v>1</v>
      </c>
      <c r="C944" s="4">
        <v>45754</v>
      </c>
      <c r="D944" s="4">
        <v>45765</v>
      </c>
      <c r="E944" t="s">
        <v>485</v>
      </c>
      <c r="F944" t="s">
        <v>486</v>
      </c>
      <c r="G944" t="s">
        <v>74</v>
      </c>
      <c r="H944" t="s">
        <v>23</v>
      </c>
      <c r="I944" t="s">
        <v>109</v>
      </c>
      <c r="J944" t="s">
        <v>1138</v>
      </c>
      <c r="K944" t="s">
        <v>1139</v>
      </c>
      <c r="L944" t="s">
        <v>895</v>
      </c>
      <c r="M944" t="s">
        <v>795</v>
      </c>
      <c r="N944" t="s">
        <v>837</v>
      </c>
      <c r="O944" t="s">
        <v>896</v>
      </c>
      <c r="P944" t="s">
        <v>39</v>
      </c>
      <c r="Q944" t="s">
        <v>40</v>
      </c>
      <c r="R944" t="s">
        <v>1114</v>
      </c>
      <c r="S944" t="s">
        <v>1089</v>
      </c>
      <c r="T944" s="5">
        <v>24</v>
      </c>
      <c r="U944" s="6">
        <v>182.75</v>
      </c>
      <c r="V944" s="6">
        <v>131.16</v>
      </c>
      <c r="W944" s="8">
        <v>0</v>
      </c>
      <c r="X944" s="6">
        <f t="shared" si="70"/>
        <v>4386</v>
      </c>
      <c r="Y944" s="6">
        <f t="shared" si="71"/>
        <v>3147.84</v>
      </c>
      <c r="Z944" s="6">
        <f t="shared" si="72"/>
        <v>1238.1599999999999</v>
      </c>
      <c r="AA944" t="s">
        <v>679</v>
      </c>
      <c r="AC944" s="5">
        <v>5</v>
      </c>
      <c r="AE944" t="str">
        <f t="shared" si="73"/>
        <v>2025-04</v>
      </c>
      <c r="AF944" t="str">
        <f t="shared" si="74"/>
        <v>Q2-2025</v>
      </c>
    </row>
    <row r="945" spans="1:32" x14ac:dyDescent="0.3">
      <c r="A945" t="s">
        <v>2249</v>
      </c>
      <c r="B945" s="5">
        <v>2</v>
      </c>
      <c r="C945" s="4">
        <v>45406</v>
      </c>
      <c r="D945" s="4">
        <v>45413</v>
      </c>
      <c r="E945" t="s">
        <v>364</v>
      </c>
      <c r="F945" t="s">
        <v>365</v>
      </c>
      <c r="G945" t="s">
        <v>65</v>
      </c>
      <c r="H945" t="s">
        <v>41</v>
      </c>
      <c r="I945" t="s">
        <v>75</v>
      </c>
      <c r="J945" t="s">
        <v>1142</v>
      </c>
      <c r="K945" t="s">
        <v>1198</v>
      </c>
      <c r="L945" t="s">
        <v>934</v>
      </c>
      <c r="M945" t="s">
        <v>929</v>
      </c>
      <c r="N945" t="s">
        <v>930</v>
      </c>
      <c r="O945" t="s">
        <v>935</v>
      </c>
      <c r="P945" t="s">
        <v>46</v>
      </c>
      <c r="Q945" t="s">
        <v>47</v>
      </c>
      <c r="R945" t="s">
        <v>1088</v>
      </c>
      <c r="S945" t="s">
        <v>1156</v>
      </c>
      <c r="T945" s="5">
        <v>20</v>
      </c>
      <c r="U945" s="6">
        <v>224.2</v>
      </c>
      <c r="V945" s="6">
        <v>147.27000000000001</v>
      </c>
      <c r="W945" s="8">
        <v>0</v>
      </c>
      <c r="X945" s="6">
        <f t="shared" si="70"/>
        <v>4484</v>
      </c>
      <c r="Y945" s="6">
        <f t="shared" si="71"/>
        <v>2945.4</v>
      </c>
      <c r="Z945" s="6">
        <f t="shared" si="72"/>
        <v>1538.6</v>
      </c>
      <c r="AA945" t="s">
        <v>679</v>
      </c>
      <c r="AC945" s="5">
        <v>4</v>
      </c>
      <c r="AD945" t="s">
        <v>1148</v>
      </c>
      <c r="AE945" t="str">
        <f t="shared" si="73"/>
        <v>2024-04</v>
      </c>
      <c r="AF945" t="str">
        <f t="shared" si="74"/>
        <v>Q2-2024</v>
      </c>
    </row>
    <row r="946" spans="1:32" x14ac:dyDescent="0.3">
      <c r="A946" t="s">
        <v>2250</v>
      </c>
      <c r="B946" s="5">
        <v>4</v>
      </c>
      <c r="C946" s="4">
        <v>45672</v>
      </c>
      <c r="D946" s="4">
        <v>45685</v>
      </c>
      <c r="E946" t="s">
        <v>263</v>
      </c>
      <c r="F946" t="s">
        <v>2251</v>
      </c>
      <c r="G946" t="s">
        <v>74</v>
      </c>
      <c r="H946" t="s">
        <v>41</v>
      </c>
      <c r="I946" t="s">
        <v>86</v>
      </c>
      <c r="J946" t="s">
        <v>1107</v>
      </c>
      <c r="K946" t="s">
        <v>1108</v>
      </c>
      <c r="L946" t="s">
        <v>822</v>
      </c>
      <c r="M946" t="s">
        <v>795</v>
      </c>
      <c r="N946" t="s">
        <v>796</v>
      </c>
      <c r="O946" t="s">
        <v>823</v>
      </c>
      <c r="P946" t="s">
        <v>42</v>
      </c>
      <c r="Q946" t="s">
        <v>43</v>
      </c>
      <c r="R946" t="s">
        <v>1094</v>
      </c>
      <c r="S946" t="s">
        <v>1095</v>
      </c>
      <c r="T946" s="5">
        <v>16</v>
      </c>
      <c r="U946" s="6">
        <v>55.09</v>
      </c>
      <c r="V946" s="6">
        <v>36.979999999999997</v>
      </c>
      <c r="W946" s="8">
        <v>0</v>
      </c>
      <c r="X946" s="6">
        <f t="shared" si="70"/>
        <v>881.44</v>
      </c>
      <c r="Y946" s="6">
        <f t="shared" si="71"/>
        <v>591.67999999999995</v>
      </c>
      <c r="Z946" s="6">
        <f t="shared" si="72"/>
        <v>289.7600000000001</v>
      </c>
      <c r="AA946" t="s">
        <v>679</v>
      </c>
      <c r="AC946" s="5">
        <v>2</v>
      </c>
      <c r="AE946" t="str">
        <f t="shared" si="73"/>
        <v>2025-01</v>
      </c>
      <c r="AF946" t="str">
        <f t="shared" si="74"/>
        <v>Q1-2025</v>
      </c>
    </row>
    <row r="947" spans="1:32" x14ac:dyDescent="0.3">
      <c r="A947" t="s">
        <v>2252</v>
      </c>
      <c r="B947" s="5">
        <v>1</v>
      </c>
      <c r="C947" s="4">
        <v>45808</v>
      </c>
      <c r="D947" s="4">
        <v>45809</v>
      </c>
      <c r="E947" t="s">
        <v>568</v>
      </c>
      <c r="F947" t="s">
        <v>569</v>
      </c>
      <c r="G947" t="s">
        <v>65</v>
      </c>
      <c r="H947" t="s">
        <v>31</v>
      </c>
      <c r="I947" t="s">
        <v>67</v>
      </c>
      <c r="J947" t="s">
        <v>1207</v>
      </c>
      <c r="K947" t="s">
        <v>1368</v>
      </c>
      <c r="L947" t="s">
        <v>749</v>
      </c>
      <c r="M947" t="s">
        <v>659</v>
      </c>
      <c r="N947" t="s">
        <v>713</v>
      </c>
      <c r="O947" t="s">
        <v>750</v>
      </c>
      <c r="P947" t="s">
        <v>21</v>
      </c>
      <c r="Q947" t="s">
        <v>22</v>
      </c>
      <c r="R947" t="s">
        <v>1088</v>
      </c>
      <c r="S947" t="s">
        <v>1089</v>
      </c>
      <c r="T947" s="5">
        <v>22</v>
      </c>
      <c r="U947" s="6">
        <v>8.7100000000000009</v>
      </c>
      <c r="V947" s="6">
        <v>5</v>
      </c>
      <c r="W947" s="8">
        <v>0</v>
      </c>
      <c r="X947" s="6">
        <f t="shared" si="70"/>
        <v>191.62</v>
      </c>
      <c r="Y947" s="6">
        <f t="shared" si="71"/>
        <v>110</v>
      </c>
      <c r="Z947" s="6">
        <f t="shared" si="72"/>
        <v>81.62</v>
      </c>
      <c r="AA947" t="s">
        <v>662</v>
      </c>
      <c r="AB947" t="s">
        <v>1289</v>
      </c>
      <c r="AC947" s="5">
        <v>3</v>
      </c>
      <c r="AD947" t="s">
        <v>1096</v>
      </c>
      <c r="AE947" t="str">
        <f t="shared" si="73"/>
        <v>2025-05</v>
      </c>
      <c r="AF947" t="str">
        <f t="shared" si="74"/>
        <v>Q2-2025</v>
      </c>
    </row>
    <row r="948" spans="1:32" x14ac:dyDescent="0.3">
      <c r="A948" t="s">
        <v>2253</v>
      </c>
      <c r="B948" s="5">
        <v>2</v>
      </c>
      <c r="C948" s="4">
        <v>45912</v>
      </c>
      <c r="D948" s="4">
        <v>45917</v>
      </c>
      <c r="E948" t="s">
        <v>455</v>
      </c>
      <c r="F948" t="s">
        <v>456</v>
      </c>
      <c r="G948" t="s">
        <v>65</v>
      </c>
      <c r="H948" t="s">
        <v>31</v>
      </c>
      <c r="I948" t="s">
        <v>160</v>
      </c>
      <c r="J948" t="s">
        <v>1125</v>
      </c>
      <c r="K948" t="s">
        <v>1126</v>
      </c>
      <c r="L948" t="s">
        <v>1027</v>
      </c>
      <c r="M948" t="s">
        <v>1002</v>
      </c>
      <c r="N948" t="s">
        <v>1003</v>
      </c>
      <c r="O948" t="s">
        <v>1028</v>
      </c>
      <c r="P948" t="s">
        <v>34</v>
      </c>
      <c r="Q948" t="s">
        <v>35</v>
      </c>
      <c r="R948" t="s">
        <v>126</v>
      </c>
      <c r="S948" t="s">
        <v>1089</v>
      </c>
      <c r="T948" s="5">
        <v>7</v>
      </c>
      <c r="U948" s="6">
        <v>197.91</v>
      </c>
      <c r="V948" s="6">
        <v>131.69</v>
      </c>
      <c r="W948" s="8">
        <v>0</v>
      </c>
      <c r="X948" s="6">
        <f t="shared" si="70"/>
        <v>1385.37</v>
      </c>
      <c r="Y948" s="6">
        <f t="shared" si="71"/>
        <v>921.82999999999993</v>
      </c>
      <c r="Z948" s="6">
        <f t="shared" si="72"/>
        <v>463.53999999999996</v>
      </c>
      <c r="AA948" t="s">
        <v>679</v>
      </c>
      <c r="AC948" s="5"/>
      <c r="AD948" t="s">
        <v>1148</v>
      </c>
      <c r="AE948" t="str">
        <f t="shared" si="73"/>
        <v>2025-09</v>
      </c>
      <c r="AF948" t="str">
        <f t="shared" si="74"/>
        <v>Q3-2025</v>
      </c>
    </row>
    <row r="949" spans="1:32" x14ac:dyDescent="0.3">
      <c r="A949" t="s">
        <v>2254</v>
      </c>
      <c r="B949" s="5">
        <v>3</v>
      </c>
      <c r="C949" s="4">
        <v>45647</v>
      </c>
      <c r="D949" s="4">
        <v>45648</v>
      </c>
      <c r="E949" t="s">
        <v>358</v>
      </c>
      <c r="F949" t="s">
        <v>359</v>
      </c>
      <c r="G949" t="s">
        <v>104</v>
      </c>
      <c r="H949" t="s">
        <v>23</v>
      </c>
      <c r="I949" t="s">
        <v>81</v>
      </c>
      <c r="J949" t="s">
        <v>1119</v>
      </c>
      <c r="K949" t="s">
        <v>1189</v>
      </c>
      <c r="L949" t="s">
        <v>954</v>
      </c>
      <c r="M949" t="s">
        <v>929</v>
      </c>
      <c r="N949" t="s">
        <v>930</v>
      </c>
      <c r="O949" t="s">
        <v>955</v>
      </c>
      <c r="P949" t="s">
        <v>53</v>
      </c>
      <c r="Q949" t="s">
        <v>54</v>
      </c>
      <c r="R949" t="s">
        <v>1114</v>
      </c>
      <c r="S949" t="s">
        <v>1156</v>
      </c>
      <c r="T949" s="5">
        <v>36</v>
      </c>
      <c r="U949" s="6">
        <v>173.18</v>
      </c>
      <c r="V949" s="6">
        <v>99.65</v>
      </c>
      <c r="W949" s="8">
        <v>0</v>
      </c>
      <c r="X949" s="6">
        <f t="shared" si="70"/>
        <v>6234.4800000000005</v>
      </c>
      <c r="Y949" s="6">
        <f t="shared" si="71"/>
        <v>3587.4</v>
      </c>
      <c r="Z949" s="6">
        <f t="shared" si="72"/>
        <v>2647.0800000000004</v>
      </c>
      <c r="AA949" t="s">
        <v>679</v>
      </c>
      <c r="AC949" s="5"/>
      <c r="AD949" t="s">
        <v>1148</v>
      </c>
      <c r="AE949" t="str">
        <f t="shared" si="73"/>
        <v>2024-12</v>
      </c>
      <c r="AF949" t="str">
        <f t="shared" si="74"/>
        <v>Q4-2024</v>
      </c>
    </row>
    <row r="950" spans="1:32" x14ac:dyDescent="0.3">
      <c r="A950" t="s">
        <v>2255</v>
      </c>
      <c r="B950" s="5">
        <v>5</v>
      </c>
      <c r="C950" s="4">
        <v>45701</v>
      </c>
      <c r="D950" s="4">
        <v>45704</v>
      </c>
      <c r="E950" t="s">
        <v>346</v>
      </c>
      <c r="F950" t="s">
        <v>347</v>
      </c>
      <c r="G950" t="s">
        <v>74</v>
      </c>
      <c r="H950" t="s">
        <v>31</v>
      </c>
      <c r="I950" t="s">
        <v>127</v>
      </c>
      <c r="J950" t="s">
        <v>1116</v>
      </c>
      <c r="K950" t="s">
        <v>1357</v>
      </c>
      <c r="L950" t="s">
        <v>1044</v>
      </c>
      <c r="M950" t="s">
        <v>1002</v>
      </c>
      <c r="N950" t="s">
        <v>1034</v>
      </c>
      <c r="O950" t="s">
        <v>1045</v>
      </c>
      <c r="P950" t="s">
        <v>48</v>
      </c>
      <c r="Q950" t="s">
        <v>49</v>
      </c>
      <c r="R950" t="s">
        <v>1094</v>
      </c>
      <c r="S950" t="s">
        <v>1109</v>
      </c>
      <c r="T950" s="5">
        <v>3</v>
      </c>
      <c r="U950" s="6">
        <v>267.72000000000003</v>
      </c>
      <c r="V950" s="6">
        <v>175.12</v>
      </c>
      <c r="W950" s="8">
        <v>0</v>
      </c>
      <c r="X950" s="6">
        <f t="shared" si="70"/>
        <v>803.16000000000008</v>
      </c>
      <c r="Y950" s="6">
        <f t="shared" si="71"/>
        <v>525.36</v>
      </c>
      <c r="Z950" s="6">
        <f t="shared" si="72"/>
        <v>277.80000000000007</v>
      </c>
      <c r="AA950" t="s">
        <v>679</v>
      </c>
      <c r="AC950" s="5">
        <v>5</v>
      </c>
      <c r="AD950" t="s">
        <v>1105</v>
      </c>
      <c r="AE950" t="str">
        <f t="shared" si="73"/>
        <v>2025-02</v>
      </c>
      <c r="AF950" t="str">
        <f t="shared" si="74"/>
        <v>Q1-2025</v>
      </c>
    </row>
    <row r="951" spans="1:32" x14ac:dyDescent="0.3">
      <c r="A951" t="s">
        <v>2256</v>
      </c>
      <c r="B951" s="5">
        <v>5</v>
      </c>
      <c r="C951" s="4">
        <v>45344</v>
      </c>
      <c r="D951" s="4">
        <v>45354</v>
      </c>
      <c r="E951" t="s">
        <v>391</v>
      </c>
      <c r="F951" t="s">
        <v>392</v>
      </c>
      <c r="G951" t="s">
        <v>74</v>
      </c>
      <c r="H951" t="s">
        <v>31</v>
      </c>
      <c r="I951" t="s">
        <v>160</v>
      </c>
      <c r="J951" t="s">
        <v>1092</v>
      </c>
      <c r="K951" t="s">
        <v>1135</v>
      </c>
      <c r="L951" t="s">
        <v>993</v>
      </c>
      <c r="M951" t="s">
        <v>929</v>
      </c>
      <c r="N951" t="s">
        <v>971</v>
      </c>
      <c r="O951" t="s">
        <v>994</v>
      </c>
      <c r="P951" t="s">
        <v>29</v>
      </c>
      <c r="Q951" t="s">
        <v>30</v>
      </c>
      <c r="R951" t="s">
        <v>126</v>
      </c>
      <c r="S951" t="s">
        <v>1109</v>
      </c>
      <c r="T951" s="5">
        <v>41</v>
      </c>
      <c r="U951" s="6">
        <v>258.67</v>
      </c>
      <c r="V951" s="6">
        <v>157.38</v>
      </c>
      <c r="W951" s="8">
        <v>0</v>
      </c>
      <c r="X951" s="6">
        <f t="shared" si="70"/>
        <v>10605.470000000001</v>
      </c>
      <c r="Y951" s="6">
        <f t="shared" si="71"/>
        <v>6452.58</v>
      </c>
      <c r="Z951" s="6">
        <f t="shared" si="72"/>
        <v>4152.8900000000012</v>
      </c>
      <c r="AA951" t="s">
        <v>679</v>
      </c>
      <c r="AC951" s="5">
        <v>1</v>
      </c>
      <c r="AD951" t="s">
        <v>1244</v>
      </c>
      <c r="AE951" t="str">
        <f t="shared" si="73"/>
        <v>2024-02</v>
      </c>
      <c r="AF951" t="str">
        <f t="shared" si="74"/>
        <v>Q1-2024</v>
      </c>
    </row>
    <row r="952" spans="1:32" x14ac:dyDescent="0.3">
      <c r="A952" t="s">
        <v>2257</v>
      </c>
      <c r="B952" s="5">
        <v>4</v>
      </c>
      <c r="C952" s="4">
        <v>45760</v>
      </c>
      <c r="D952" s="4">
        <v>45760</v>
      </c>
      <c r="E952" t="s">
        <v>221</v>
      </c>
      <c r="F952" t="s">
        <v>2258</v>
      </c>
      <c r="G952" t="s">
        <v>74</v>
      </c>
      <c r="H952" t="s">
        <v>23</v>
      </c>
      <c r="I952" t="s">
        <v>109</v>
      </c>
      <c r="J952" t="s">
        <v>1145</v>
      </c>
      <c r="K952" t="s">
        <v>1146</v>
      </c>
      <c r="L952" t="s">
        <v>1033</v>
      </c>
      <c r="M952" t="s">
        <v>1002</v>
      </c>
      <c r="N952" t="s">
        <v>1034</v>
      </c>
      <c r="O952" t="s">
        <v>1035</v>
      </c>
      <c r="P952" t="s">
        <v>29</v>
      </c>
      <c r="Q952" t="s">
        <v>30</v>
      </c>
      <c r="R952" t="s">
        <v>126</v>
      </c>
      <c r="S952" t="s">
        <v>1156</v>
      </c>
      <c r="T952" s="5">
        <v>5</v>
      </c>
      <c r="U952" s="6">
        <v>162.43</v>
      </c>
      <c r="V952" s="6">
        <v>113.68</v>
      </c>
      <c r="W952" s="8">
        <v>0</v>
      </c>
      <c r="X952" s="6">
        <f t="shared" si="70"/>
        <v>812.15000000000009</v>
      </c>
      <c r="Y952" s="6">
        <f t="shared" si="71"/>
        <v>568.40000000000009</v>
      </c>
      <c r="Z952" s="6">
        <f t="shared" si="72"/>
        <v>243.75</v>
      </c>
      <c r="AA952" t="s">
        <v>679</v>
      </c>
      <c r="AC952" s="5"/>
      <c r="AD952" t="s">
        <v>1148</v>
      </c>
      <c r="AE952" t="str">
        <f t="shared" si="73"/>
        <v>2025-04</v>
      </c>
      <c r="AF952" t="str">
        <f t="shared" si="74"/>
        <v>Q2-2025</v>
      </c>
    </row>
    <row r="953" spans="1:32" x14ac:dyDescent="0.3">
      <c r="A953" t="s">
        <v>2259</v>
      </c>
      <c r="B953" s="5">
        <v>2</v>
      </c>
      <c r="C953" s="4">
        <v>45486</v>
      </c>
      <c r="D953" s="4">
        <v>45497</v>
      </c>
      <c r="E953" t="s">
        <v>399</v>
      </c>
      <c r="F953" t="s">
        <v>400</v>
      </c>
      <c r="G953" t="s">
        <v>65</v>
      </c>
      <c r="H953" t="s">
        <v>31</v>
      </c>
      <c r="I953" t="s">
        <v>67</v>
      </c>
      <c r="J953" t="s">
        <v>1128</v>
      </c>
      <c r="K953" t="s">
        <v>1339</v>
      </c>
      <c r="L953" t="s">
        <v>712</v>
      </c>
      <c r="M953" t="s">
        <v>659</v>
      </c>
      <c r="N953" t="s">
        <v>713</v>
      </c>
      <c r="O953" t="s">
        <v>714</v>
      </c>
      <c r="P953" t="s">
        <v>44</v>
      </c>
      <c r="Q953" t="s">
        <v>45</v>
      </c>
      <c r="R953" t="s">
        <v>1114</v>
      </c>
      <c r="S953" t="s">
        <v>1109</v>
      </c>
      <c r="T953" s="5">
        <v>5</v>
      </c>
      <c r="U953" s="6">
        <v>7.27</v>
      </c>
      <c r="V953" s="6">
        <v>5</v>
      </c>
      <c r="W953" s="8">
        <v>0</v>
      </c>
      <c r="X953" s="6">
        <f t="shared" si="70"/>
        <v>36.349999999999994</v>
      </c>
      <c r="Y953" s="6">
        <f t="shared" si="71"/>
        <v>25</v>
      </c>
      <c r="Z953" s="6">
        <f t="shared" si="72"/>
        <v>11.349999999999994</v>
      </c>
      <c r="AA953" t="s">
        <v>679</v>
      </c>
      <c r="AC953" s="5"/>
      <c r="AD953" t="s">
        <v>1524</v>
      </c>
      <c r="AE953" t="str">
        <f t="shared" si="73"/>
        <v>2024-07</v>
      </c>
      <c r="AF953" t="str">
        <f t="shared" si="74"/>
        <v>Q3-2024</v>
      </c>
    </row>
    <row r="954" spans="1:32" x14ac:dyDescent="0.3">
      <c r="A954" t="s">
        <v>2260</v>
      </c>
      <c r="B954" s="5">
        <v>4</v>
      </c>
      <c r="C954" s="4">
        <v>45656</v>
      </c>
      <c r="D954" s="4">
        <v>45667</v>
      </c>
      <c r="E954" t="s">
        <v>176</v>
      </c>
      <c r="F954" t="s">
        <v>177</v>
      </c>
      <c r="G954" t="s">
        <v>84</v>
      </c>
      <c r="H954" t="s">
        <v>23</v>
      </c>
      <c r="I954" t="s">
        <v>81</v>
      </c>
      <c r="J954" t="s">
        <v>1163</v>
      </c>
      <c r="K954" t="s">
        <v>1407</v>
      </c>
      <c r="L954" t="s">
        <v>694</v>
      </c>
      <c r="M954" t="s">
        <v>659</v>
      </c>
      <c r="N954" t="s">
        <v>660</v>
      </c>
      <c r="O954" t="s">
        <v>695</v>
      </c>
      <c r="P954" t="s">
        <v>32</v>
      </c>
      <c r="Q954" t="s">
        <v>33</v>
      </c>
      <c r="R954" t="s">
        <v>1094</v>
      </c>
      <c r="S954" t="s">
        <v>1109</v>
      </c>
      <c r="T954" s="5">
        <v>18</v>
      </c>
      <c r="U954" s="6">
        <v>172.06</v>
      </c>
      <c r="V954" s="6">
        <v>105.86</v>
      </c>
      <c r="W954" s="8">
        <v>0</v>
      </c>
      <c r="X954" s="6">
        <f t="shared" si="70"/>
        <v>3097.08</v>
      </c>
      <c r="Y954" s="6">
        <f t="shared" si="71"/>
        <v>1905.48</v>
      </c>
      <c r="Z954" s="6">
        <f t="shared" si="72"/>
        <v>1191.5999999999999</v>
      </c>
      <c r="AA954" t="s">
        <v>679</v>
      </c>
      <c r="AC954" s="5">
        <v>1</v>
      </c>
      <c r="AD954" t="s">
        <v>1148</v>
      </c>
      <c r="AE954" t="str">
        <f t="shared" si="73"/>
        <v>2024-12</v>
      </c>
      <c r="AF954" t="str">
        <f t="shared" si="74"/>
        <v>Q4-2024</v>
      </c>
    </row>
    <row r="955" spans="1:32" x14ac:dyDescent="0.3">
      <c r="A955" t="s">
        <v>2261</v>
      </c>
      <c r="B955" s="5">
        <v>2</v>
      </c>
      <c r="C955" s="4">
        <v>45604</v>
      </c>
      <c r="D955" s="4">
        <v>45617</v>
      </c>
      <c r="E955" t="s">
        <v>178</v>
      </c>
      <c r="F955" t="s">
        <v>179</v>
      </c>
      <c r="G955" t="s">
        <v>74</v>
      </c>
      <c r="H955" t="s">
        <v>23</v>
      </c>
      <c r="I955" t="s">
        <v>81</v>
      </c>
      <c r="J955" t="s">
        <v>1119</v>
      </c>
      <c r="K955" t="s">
        <v>1189</v>
      </c>
      <c r="L955" t="s">
        <v>700</v>
      </c>
      <c r="M955" t="s">
        <v>659</v>
      </c>
      <c r="N955" t="s">
        <v>660</v>
      </c>
      <c r="O955" t="s">
        <v>701</v>
      </c>
      <c r="P955" t="s">
        <v>44</v>
      </c>
      <c r="Q955" t="s">
        <v>45</v>
      </c>
      <c r="R955" t="s">
        <v>126</v>
      </c>
      <c r="S955" t="s">
        <v>1089</v>
      </c>
      <c r="T955" s="5">
        <v>1</v>
      </c>
      <c r="U955" s="6">
        <v>92.96</v>
      </c>
      <c r="V955" s="6">
        <v>56.99</v>
      </c>
      <c r="W955" s="8">
        <v>0</v>
      </c>
      <c r="X955" s="6">
        <f t="shared" si="70"/>
        <v>92.96</v>
      </c>
      <c r="Y955" s="6">
        <f t="shared" si="71"/>
        <v>56.99</v>
      </c>
      <c r="Z955" s="6">
        <f t="shared" si="72"/>
        <v>35.969999999999992</v>
      </c>
      <c r="AA955" t="s">
        <v>679</v>
      </c>
      <c r="AC955" s="5">
        <v>2</v>
      </c>
      <c r="AD955" t="s">
        <v>1090</v>
      </c>
      <c r="AE955" t="str">
        <f t="shared" si="73"/>
        <v>2024-11</v>
      </c>
      <c r="AF955" t="str">
        <f t="shared" si="74"/>
        <v>Q4-2024</v>
      </c>
    </row>
    <row r="956" spans="1:32" x14ac:dyDescent="0.3">
      <c r="A956" t="s">
        <v>2262</v>
      </c>
      <c r="B956" s="5">
        <v>5</v>
      </c>
      <c r="C956" s="4">
        <v>45976</v>
      </c>
      <c r="D956" s="4">
        <v>45990</v>
      </c>
      <c r="E956" t="s">
        <v>257</v>
      </c>
      <c r="F956" t="s">
        <v>258</v>
      </c>
      <c r="G956" t="s">
        <v>65</v>
      </c>
      <c r="H956" t="s">
        <v>20</v>
      </c>
      <c r="I956" t="s">
        <v>71</v>
      </c>
      <c r="J956" t="s">
        <v>1112</v>
      </c>
      <c r="K956" t="s">
        <v>1113</v>
      </c>
      <c r="L956" t="s">
        <v>782</v>
      </c>
      <c r="M956" t="s">
        <v>659</v>
      </c>
      <c r="N956" t="s">
        <v>754</v>
      </c>
      <c r="O956" t="s">
        <v>783</v>
      </c>
      <c r="P956" t="s">
        <v>39</v>
      </c>
      <c r="Q956" t="s">
        <v>40</v>
      </c>
      <c r="R956" t="s">
        <v>1088</v>
      </c>
      <c r="S956" t="s">
        <v>1156</v>
      </c>
      <c r="T956" s="5">
        <v>33</v>
      </c>
      <c r="U956" s="6">
        <v>118.26</v>
      </c>
      <c r="V956" s="6">
        <v>71.25</v>
      </c>
      <c r="W956" s="8">
        <v>0</v>
      </c>
      <c r="X956" s="6">
        <f t="shared" si="70"/>
        <v>3902.5800000000004</v>
      </c>
      <c r="Y956" s="6">
        <f t="shared" si="71"/>
        <v>2351.25</v>
      </c>
      <c r="Z956" s="6">
        <f t="shared" si="72"/>
        <v>1551.3300000000004</v>
      </c>
      <c r="AA956" t="s">
        <v>679</v>
      </c>
      <c r="AC956" s="5">
        <v>3</v>
      </c>
      <c r="AD956" t="s">
        <v>1110</v>
      </c>
      <c r="AE956" t="str">
        <f t="shared" si="73"/>
        <v>2025-11</v>
      </c>
      <c r="AF956" t="str">
        <f t="shared" si="74"/>
        <v>Q4-2025</v>
      </c>
    </row>
    <row r="957" spans="1:32" x14ac:dyDescent="0.3">
      <c r="A957" t="s">
        <v>2263</v>
      </c>
      <c r="B957" s="5">
        <v>2</v>
      </c>
      <c r="C957" s="4">
        <v>45821</v>
      </c>
      <c r="D957" s="4">
        <v>45832</v>
      </c>
      <c r="E957" t="s">
        <v>492</v>
      </c>
      <c r="F957" t="s">
        <v>493</v>
      </c>
      <c r="G957" t="s">
        <v>74</v>
      </c>
      <c r="H957" t="s">
        <v>20</v>
      </c>
      <c r="I957" t="s">
        <v>90</v>
      </c>
      <c r="J957" t="s">
        <v>1262</v>
      </c>
      <c r="K957" t="s">
        <v>1297</v>
      </c>
      <c r="L957" t="s">
        <v>934</v>
      </c>
      <c r="M957" t="s">
        <v>929</v>
      </c>
      <c r="N957" t="s">
        <v>930</v>
      </c>
      <c r="O957" t="s">
        <v>935</v>
      </c>
      <c r="P957" t="s">
        <v>39</v>
      </c>
      <c r="Q957" t="s">
        <v>40</v>
      </c>
      <c r="R957" t="s">
        <v>1114</v>
      </c>
      <c r="S957" t="s">
        <v>1100</v>
      </c>
      <c r="T957" s="5">
        <v>7</v>
      </c>
      <c r="U957" s="6">
        <v>237.75</v>
      </c>
      <c r="V957" s="6">
        <v>147.27000000000001</v>
      </c>
      <c r="W957" s="8">
        <v>0</v>
      </c>
      <c r="X957" s="6">
        <f t="shared" si="70"/>
        <v>1664.25</v>
      </c>
      <c r="Y957" s="6">
        <f t="shared" si="71"/>
        <v>1030.8900000000001</v>
      </c>
      <c r="Z957" s="6">
        <f t="shared" si="72"/>
        <v>633.3599999999999</v>
      </c>
      <c r="AA957" t="s">
        <v>679</v>
      </c>
      <c r="AC957" s="5"/>
      <c r="AD957" t="s">
        <v>1136</v>
      </c>
      <c r="AE957" t="str">
        <f t="shared" si="73"/>
        <v>2025-06</v>
      </c>
      <c r="AF957" t="str">
        <f t="shared" si="74"/>
        <v>Q2-2025</v>
      </c>
    </row>
    <row r="958" spans="1:32" x14ac:dyDescent="0.3">
      <c r="A958" t="s">
        <v>2264</v>
      </c>
      <c r="B958" s="5">
        <v>2</v>
      </c>
      <c r="C958" s="4">
        <v>45872</v>
      </c>
      <c r="D958" s="4">
        <v>45874</v>
      </c>
      <c r="E958" t="s">
        <v>219</v>
      </c>
      <c r="F958" t="s">
        <v>220</v>
      </c>
      <c r="G958" t="s">
        <v>84</v>
      </c>
      <c r="H958" t="s">
        <v>31</v>
      </c>
      <c r="I958" t="s">
        <v>127</v>
      </c>
      <c r="J958" t="s">
        <v>1116</v>
      </c>
      <c r="K958" t="s">
        <v>1117</v>
      </c>
      <c r="L958" t="s">
        <v>802</v>
      </c>
      <c r="M958" t="s">
        <v>795</v>
      </c>
      <c r="N958" t="s">
        <v>796</v>
      </c>
      <c r="O958" t="s">
        <v>803</v>
      </c>
      <c r="P958" t="s">
        <v>27</v>
      </c>
      <c r="Q958" t="s">
        <v>28</v>
      </c>
      <c r="R958" t="s">
        <v>1088</v>
      </c>
      <c r="S958" t="s">
        <v>1089</v>
      </c>
      <c r="T958" s="5">
        <v>16</v>
      </c>
      <c r="U958" s="6">
        <v>251.78</v>
      </c>
      <c r="V958" s="6">
        <v>169.93</v>
      </c>
      <c r="W958" s="8">
        <v>0</v>
      </c>
      <c r="X958" s="6">
        <f t="shared" si="70"/>
        <v>4028.48</v>
      </c>
      <c r="Y958" s="6">
        <f t="shared" si="71"/>
        <v>2718.88</v>
      </c>
      <c r="Z958" s="6">
        <f t="shared" si="72"/>
        <v>1309.5999999999999</v>
      </c>
      <c r="AA958" t="s">
        <v>679</v>
      </c>
      <c r="AC958" s="5">
        <v>4</v>
      </c>
      <c r="AE958" t="str">
        <f t="shared" si="73"/>
        <v>2025-08</v>
      </c>
      <c r="AF958" t="str">
        <f t="shared" si="74"/>
        <v>Q3-2025</v>
      </c>
    </row>
    <row r="959" spans="1:32" x14ac:dyDescent="0.3">
      <c r="A959" t="s">
        <v>2265</v>
      </c>
      <c r="B959" s="5">
        <v>4</v>
      </c>
      <c r="C959" s="4">
        <v>45916</v>
      </c>
      <c r="D959" s="4">
        <v>45929</v>
      </c>
      <c r="E959" t="s">
        <v>369</v>
      </c>
      <c r="F959" t="s">
        <v>370</v>
      </c>
      <c r="G959" t="s">
        <v>65</v>
      </c>
      <c r="H959" t="s">
        <v>31</v>
      </c>
      <c r="I959" t="s">
        <v>67</v>
      </c>
      <c r="J959" t="s">
        <v>1304</v>
      </c>
      <c r="K959" t="s">
        <v>1342</v>
      </c>
      <c r="L959" t="s">
        <v>710</v>
      </c>
      <c r="M959" t="s">
        <v>659</v>
      </c>
      <c r="N959" t="s">
        <v>660</v>
      </c>
      <c r="O959" t="s">
        <v>711</v>
      </c>
      <c r="P959" t="s">
        <v>50</v>
      </c>
      <c r="Q959" t="s">
        <v>51</v>
      </c>
      <c r="R959" t="s">
        <v>1114</v>
      </c>
      <c r="S959" t="s">
        <v>1095</v>
      </c>
      <c r="T959" s="5">
        <v>2</v>
      </c>
      <c r="U959" s="6">
        <v>125.73</v>
      </c>
      <c r="V959" s="6">
        <v>99.94</v>
      </c>
      <c r="W959" s="8">
        <v>0</v>
      </c>
      <c r="X959" s="6">
        <f t="shared" si="70"/>
        <v>251.46</v>
      </c>
      <c r="Y959" s="6">
        <f t="shared" si="71"/>
        <v>199.88</v>
      </c>
      <c r="Z959" s="6">
        <f t="shared" si="72"/>
        <v>51.580000000000013</v>
      </c>
      <c r="AA959" t="s">
        <v>679</v>
      </c>
      <c r="AC959" s="5">
        <v>4</v>
      </c>
      <c r="AD959" t="s">
        <v>1148</v>
      </c>
      <c r="AE959" t="str">
        <f t="shared" si="73"/>
        <v>2025-09</v>
      </c>
      <c r="AF959" t="str">
        <f t="shared" si="74"/>
        <v>Q3-2025</v>
      </c>
    </row>
    <row r="960" spans="1:32" x14ac:dyDescent="0.3">
      <c r="A960" t="s">
        <v>2266</v>
      </c>
      <c r="B960" s="5">
        <v>5</v>
      </c>
      <c r="C960" s="4">
        <v>45957</v>
      </c>
      <c r="D960" s="4">
        <v>45963</v>
      </c>
      <c r="E960" t="s">
        <v>590</v>
      </c>
      <c r="F960" t="s">
        <v>394</v>
      </c>
      <c r="G960" t="s">
        <v>84</v>
      </c>
      <c r="H960" t="s">
        <v>41</v>
      </c>
      <c r="I960" t="s">
        <v>75</v>
      </c>
      <c r="J960" t="s">
        <v>1142</v>
      </c>
      <c r="K960" t="s">
        <v>1143</v>
      </c>
      <c r="L960" t="s">
        <v>944</v>
      </c>
      <c r="M960" t="s">
        <v>929</v>
      </c>
      <c r="N960" t="s">
        <v>930</v>
      </c>
      <c r="O960" t="s">
        <v>945</v>
      </c>
      <c r="P960" t="s">
        <v>42</v>
      </c>
      <c r="Q960" t="s">
        <v>43</v>
      </c>
      <c r="R960" t="s">
        <v>1094</v>
      </c>
      <c r="S960" t="s">
        <v>1095</v>
      </c>
      <c r="T960" s="5">
        <v>11</v>
      </c>
      <c r="U960" s="6">
        <v>288.60000000000002</v>
      </c>
      <c r="V960" s="6">
        <v>210.38</v>
      </c>
      <c r="W960" s="8">
        <v>0</v>
      </c>
      <c r="X960" s="6">
        <f t="shared" si="70"/>
        <v>3174.6000000000004</v>
      </c>
      <c r="Y960" s="6">
        <f t="shared" si="71"/>
        <v>2314.1799999999998</v>
      </c>
      <c r="Z960" s="6">
        <f t="shared" si="72"/>
        <v>860.42000000000053</v>
      </c>
      <c r="AA960" t="s">
        <v>679</v>
      </c>
      <c r="AC960" s="5">
        <v>4</v>
      </c>
      <c r="AD960" t="s">
        <v>1557</v>
      </c>
      <c r="AE960" t="str">
        <f t="shared" si="73"/>
        <v>2025-10</v>
      </c>
      <c r="AF960" t="str">
        <f t="shared" si="74"/>
        <v>Q4-2025</v>
      </c>
    </row>
    <row r="961" spans="1:32" x14ac:dyDescent="0.3">
      <c r="A961" t="s">
        <v>2267</v>
      </c>
      <c r="B961" s="5">
        <v>1</v>
      </c>
      <c r="C961" s="4">
        <v>45379</v>
      </c>
      <c r="D961" s="4">
        <v>45379</v>
      </c>
      <c r="E961" t="s">
        <v>301</v>
      </c>
      <c r="F961" t="s">
        <v>302</v>
      </c>
      <c r="G961" t="s">
        <v>84</v>
      </c>
      <c r="H961" t="s">
        <v>31</v>
      </c>
      <c r="I961" t="s">
        <v>160</v>
      </c>
      <c r="J961" t="s">
        <v>1092</v>
      </c>
      <c r="K961" t="s">
        <v>1135</v>
      </c>
      <c r="L961" t="s">
        <v>839</v>
      </c>
      <c r="M961" t="s">
        <v>795</v>
      </c>
      <c r="N961" t="s">
        <v>837</v>
      </c>
      <c r="O961" t="s">
        <v>840</v>
      </c>
      <c r="P961" t="s">
        <v>34</v>
      </c>
      <c r="Q961" t="s">
        <v>35</v>
      </c>
      <c r="R961" t="s">
        <v>1094</v>
      </c>
      <c r="S961" t="s">
        <v>1095</v>
      </c>
      <c r="T961" s="5">
        <v>11</v>
      </c>
      <c r="U961" s="6">
        <v>310.24</v>
      </c>
      <c r="V961" s="6">
        <v>161.93</v>
      </c>
      <c r="W961" s="8">
        <v>0</v>
      </c>
      <c r="X961" s="6">
        <f t="shared" si="70"/>
        <v>3412.6400000000003</v>
      </c>
      <c r="Y961" s="6">
        <f t="shared" si="71"/>
        <v>1781.23</v>
      </c>
      <c r="Z961" s="6">
        <f t="shared" si="72"/>
        <v>1631.4100000000003</v>
      </c>
      <c r="AA961" t="s">
        <v>679</v>
      </c>
      <c r="AC961" s="5"/>
      <c r="AD961" t="s">
        <v>1140</v>
      </c>
      <c r="AE961" t="str">
        <f t="shared" si="73"/>
        <v>2024-03</v>
      </c>
      <c r="AF961" t="str">
        <f t="shared" si="74"/>
        <v>Q1-2024</v>
      </c>
    </row>
    <row r="962" spans="1:32" x14ac:dyDescent="0.3">
      <c r="A962" t="s">
        <v>2268</v>
      </c>
      <c r="B962" s="5">
        <v>2</v>
      </c>
      <c r="C962" s="4">
        <v>45506</v>
      </c>
      <c r="D962" s="4">
        <v>45510</v>
      </c>
      <c r="E962" t="s">
        <v>451</v>
      </c>
      <c r="F962" t="s">
        <v>452</v>
      </c>
      <c r="G962" t="s">
        <v>65</v>
      </c>
      <c r="H962" t="s">
        <v>41</v>
      </c>
      <c r="I962" t="s">
        <v>75</v>
      </c>
      <c r="J962" t="s">
        <v>1142</v>
      </c>
      <c r="K962" t="s">
        <v>1198</v>
      </c>
      <c r="L962" t="s">
        <v>830</v>
      </c>
      <c r="M962" t="s">
        <v>795</v>
      </c>
      <c r="N962" t="s">
        <v>796</v>
      </c>
      <c r="O962" t="s">
        <v>831</v>
      </c>
      <c r="P962" t="s">
        <v>48</v>
      </c>
      <c r="Q962" t="s">
        <v>49</v>
      </c>
      <c r="R962" t="s">
        <v>126</v>
      </c>
      <c r="S962" t="s">
        <v>1156</v>
      </c>
      <c r="T962" s="5">
        <v>29</v>
      </c>
      <c r="U962" s="6">
        <v>192.16</v>
      </c>
      <c r="V962" s="6">
        <v>121.11</v>
      </c>
      <c r="W962" s="8">
        <v>0</v>
      </c>
      <c r="X962" s="6">
        <f t="shared" ref="X962:X1001" si="75">T962*U962*(1-IF(ISBLANK(W962),0,W962))</f>
        <v>5572.64</v>
      </c>
      <c r="Y962" s="6">
        <f t="shared" ref="Y962:Y1001" si="76">T962*V962</f>
        <v>3512.19</v>
      </c>
      <c r="Z962" s="6">
        <f t="shared" ref="Z962:Z1001" si="77">X962-Y962</f>
        <v>2060.4500000000003</v>
      </c>
      <c r="AA962" t="s">
        <v>679</v>
      </c>
      <c r="AC962" s="5">
        <v>2</v>
      </c>
      <c r="AD962" t="s">
        <v>1140</v>
      </c>
      <c r="AE962" t="str">
        <f t="shared" ref="AE962:AE1001" si="78">TEXT(C962,"yyyy-mm")</f>
        <v>2024-08</v>
      </c>
      <c r="AF962" t="str">
        <f t="shared" ref="AF962:AF1001" si="79">"Q"&amp;ROUNDUP(MONTH(C962)/3,0)&amp;"-"&amp;YEAR(C962)</f>
        <v>Q3-2024</v>
      </c>
    </row>
    <row r="963" spans="1:32" x14ac:dyDescent="0.3">
      <c r="A963" t="s">
        <v>2269</v>
      </c>
      <c r="B963" s="5">
        <v>4</v>
      </c>
      <c r="C963" s="4">
        <v>45370</v>
      </c>
      <c r="D963" s="4">
        <v>45377</v>
      </c>
      <c r="E963" t="s">
        <v>606</v>
      </c>
      <c r="F963" t="s">
        <v>607</v>
      </c>
      <c r="G963" t="s">
        <v>65</v>
      </c>
      <c r="H963" t="s">
        <v>20</v>
      </c>
      <c r="I963" t="s">
        <v>112</v>
      </c>
      <c r="J963" t="s">
        <v>1158</v>
      </c>
      <c r="K963" t="s">
        <v>1159</v>
      </c>
      <c r="L963" t="s">
        <v>818</v>
      </c>
      <c r="M963" t="s">
        <v>795</v>
      </c>
      <c r="N963" t="s">
        <v>796</v>
      </c>
      <c r="O963" t="s">
        <v>819</v>
      </c>
      <c r="P963" t="s">
        <v>17</v>
      </c>
      <c r="Q963" t="s">
        <v>18</v>
      </c>
      <c r="R963" t="s">
        <v>1114</v>
      </c>
      <c r="S963" t="s">
        <v>1109</v>
      </c>
      <c r="T963" s="5">
        <v>7</v>
      </c>
      <c r="U963" s="6">
        <v>248.77</v>
      </c>
      <c r="V963" s="6">
        <v>197.79</v>
      </c>
      <c r="W963" s="8">
        <v>0</v>
      </c>
      <c r="X963" s="6">
        <f t="shared" si="75"/>
        <v>1741.39</v>
      </c>
      <c r="Y963" s="6">
        <f t="shared" si="76"/>
        <v>1384.53</v>
      </c>
      <c r="Z963" s="6">
        <f t="shared" si="77"/>
        <v>356.86000000000013</v>
      </c>
      <c r="AA963" t="s">
        <v>679</v>
      </c>
      <c r="AC963" s="5"/>
      <c r="AD963" t="s">
        <v>1105</v>
      </c>
      <c r="AE963" t="str">
        <f t="shared" si="78"/>
        <v>2024-03</v>
      </c>
      <c r="AF963" t="str">
        <f t="shared" si="79"/>
        <v>Q1-2024</v>
      </c>
    </row>
    <row r="964" spans="1:32" x14ac:dyDescent="0.3">
      <c r="A964" t="s">
        <v>2270</v>
      </c>
      <c r="B964" s="5">
        <v>3</v>
      </c>
      <c r="C964" s="4">
        <v>45883</v>
      </c>
      <c r="D964" s="4">
        <v>45886</v>
      </c>
      <c r="E964" t="s">
        <v>490</v>
      </c>
      <c r="F964" t="s">
        <v>491</v>
      </c>
      <c r="G964" t="s">
        <v>65</v>
      </c>
      <c r="H964" t="s">
        <v>23</v>
      </c>
      <c r="I964" t="s">
        <v>81</v>
      </c>
      <c r="J964" t="s">
        <v>1163</v>
      </c>
      <c r="K964" t="s">
        <v>1219</v>
      </c>
      <c r="L964" t="s">
        <v>830</v>
      </c>
      <c r="M964" t="s">
        <v>795</v>
      </c>
      <c r="N964" t="s">
        <v>796</v>
      </c>
      <c r="O964" t="s">
        <v>831</v>
      </c>
      <c r="P964" t="s">
        <v>39</v>
      </c>
      <c r="Q964" t="s">
        <v>40</v>
      </c>
      <c r="R964" t="s">
        <v>1088</v>
      </c>
      <c r="S964" t="s">
        <v>1109</v>
      </c>
      <c r="T964" s="5">
        <v>3</v>
      </c>
      <c r="U964" s="6">
        <v>182.76</v>
      </c>
      <c r="V964" s="6">
        <v>121.11</v>
      </c>
      <c r="W964" s="8">
        <v>0</v>
      </c>
      <c r="X964" s="6">
        <f t="shared" si="75"/>
        <v>548.28</v>
      </c>
      <c r="Y964" s="6">
        <f t="shared" si="76"/>
        <v>363.33</v>
      </c>
      <c r="Z964" s="6">
        <f t="shared" si="77"/>
        <v>184.95</v>
      </c>
      <c r="AA964" t="s">
        <v>679</v>
      </c>
      <c r="AC964" s="5"/>
      <c r="AD964" t="s">
        <v>1639</v>
      </c>
      <c r="AE964" t="str">
        <f t="shared" si="78"/>
        <v>2025-08</v>
      </c>
      <c r="AF964" t="str">
        <f t="shared" si="79"/>
        <v>Q3-2025</v>
      </c>
    </row>
    <row r="965" spans="1:32" x14ac:dyDescent="0.3">
      <c r="A965" t="s">
        <v>2271</v>
      </c>
      <c r="B965" s="5">
        <v>5</v>
      </c>
      <c r="C965" s="4">
        <v>45674</v>
      </c>
      <c r="D965" s="4">
        <v>45676</v>
      </c>
      <c r="E965" t="s">
        <v>565</v>
      </c>
      <c r="F965" t="s">
        <v>2272</v>
      </c>
      <c r="G965" t="s">
        <v>104</v>
      </c>
      <c r="H965" t="s">
        <v>41</v>
      </c>
      <c r="I965" t="s">
        <v>75</v>
      </c>
      <c r="J965" t="s">
        <v>1142</v>
      </c>
      <c r="K965" t="s">
        <v>1198</v>
      </c>
      <c r="L965" t="s">
        <v>686</v>
      </c>
      <c r="M965" t="s">
        <v>659</v>
      </c>
      <c r="N965" t="s">
        <v>660</v>
      </c>
      <c r="O965" t="s">
        <v>687</v>
      </c>
      <c r="P965" t="s">
        <v>53</v>
      </c>
      <c r="Q965" t="s">
        <v>54</v>
      </c>
      <c r="R965" t="s">
        <v>1088</v>
      </c>
      <c r="S965" t="s">
        <v>1109</v>
      </c>
      <c r="T965" s="5">
        <v>5</v>
      </c>
      <c r="U965" s="6">
        <v>7.18</v>
      </c>
      <c r="V965" s="6">
        <v>5</v>
      </c>
      <c r="W965" s="8">
        <v>0</v>
      </c>
      <c r="X965" s="6">
        <f t="shared" si="75"/>
        <v>35.9</v>
      </c>
      <c r="Y965" s="6">
        <f t="shared" si="76"/>
        <v>25</v>
      </c>
      <c r="Z965" s="6">
        <f t="shared" si="77"/>
        <v>10.899999999999999</v>
      </c>
      <c r="AA965" t="s">
        <v>679</v>
      </c>
      <c r="AC965" s="5">
        <v>4</v>
      </c>
      <c r="AD965" t="s">
        <v>1244</v>
      </c>
      <c r="AE965" t="str">
        <f t="shared" si="78"/>
        <v>2025-01</v>
      </c>
      <c r="AF965" t="str">
        <f t="shared" si="79"/>
        <v>Q1-2025</v>
      </c>
    </row>
    <row r="966" spans="1:32" x14ac:dyDescent="0.3">
      <c r="A966" t="s">
        <v>2273</v>
      </c>
      <c r="B966" s="5">
        <v>2</v>
      </c>
      <c r="C966" s="4">
        <v>45524</v>
      </c>
      <c r="D966" s="4">
        <v>45529</v>
      </c>
      <c r="E966" t="s">
        <v>503</v>
      </c>
      <c r="F966" t="s">
        <v>504</v>
      </c>
      <c r="G966" t="s">
        <v>65</v>
      </c>
      <c r="H966" t="s">
        <v>23</v>
      </c>
      <c r="I966" t="s">
        <v>109</v>
      </c>
      <c r="J966" t="s">
        <v>1145</v>
      </c>
      <c r="K966" t="s">
        <v>1246</v>
      </c>
      <c r="L966" t="s">
        <v>686</v>
      </c>
      <c r="M966" t="s">
        <v>659</v>
      </c>
      <c r="N966" t="s">
        <v>660</v>
      </c>
      <c r="O966" t="s">
        <v>687</v>
      </c>
      <c r="P966" t="s">
        <v>37</v>
      </c>
      <c r="Q966" t="s">
        <v>38</v>
      </c>
      <c r="R966" t="s">
        <v>1114</v>
      </c>
      <c r="S966" t="s">
        <v>1089</v>
      </c>
      <c r="T966" s="5">
        <v>11</v>
      </c>
      <c r="U966" s="6">
        <v>7.55</v>
      </c>
      <c r="V966" s="6">
        <v>5</v>
      </c>
      <c r="W966" s="8">
        <v>0</v>
      </c>
      <c r="X966" s="6">
        <f t="shared" si="75"/>
        <v>83.05</v>
      </c>
      <c r="Y966" s="6">
        <f t="shared" si="76"/>
        <v>55</v>
      </c>
      <c r="Z966" s="6">
        <f t="shared" si="77"/>
        <v>28.049999999999997</v>
      </c>
      <c r="AA966" t="s">
        <v>679</v>
      </c>
      <c r="AC966" s="5">
        <v>5</v>
      </c>
      <c r="AD966" t="s">
        <v>1096</v>
      </c>
      <c r="AE966" t="str">
        <f t="shared" si="78"/>
        <v>2024-08</v>
      </c>
      <c r="AF966" t="str">
        <f t="shared" si="79"/>
        <v>Q3-2024</v>
      </c>
    </row>
    <row r="967" spans="1:32" x14ac:dyDescent="0.3">
      <c r="A967" t="s">
        <v>2274</v>
      </c>
      <c r="B967" s="5">
        <v>4</v>
      </c>
      <c r="C967" s="4">
        <v>45680</v>
      </c>
      <c r="D967" s="4">
        <v>45689</v>
      </c>
      <c r="E967" t="s">
        <v>371</v>
      </c>
      <c r="F967" t="s">
        <v>372</v>
      </c>
      <c r="G967" t="s">
        <v>74</v>
      </c>
      <c r="H967" t="s">
        <v>20</v>
      </c>
      <c r="I967" t="s">
        <v>112</v>
      </c>
      <c r="J967" t="s">
        <v>1158</v>
      </c>
      <c r="K967" t="s">
        <v>1159</v>
      </c>
      <c r="L967" t="s">
        <v>970</v>
      </c>
      <c r="M967" t="s">
        <v>929</v>
      </c>
      <c r="N967" t="s">
        <v>971</v>
      </c>
      <c r="O967" t="s">
        <v>972</v>
      </c>
      <c r="P967" t="s">
        <v>32</v>
      </c>
      <c r="Q967" t="s">
        <v>33</v>
      </c>
      <c r="R967" t="s">
        <v>1114</v>
      </c>
      <c r="S967" t="s">
        <v>1095</v>
      </c>
      <c r="T967" s="5">
        <v>12</v>
      </c>
      <c r="U967" s="6">
        <v>178.29</v>
      </c>
      <c r="V967" s="6">
        <v>121.04</v>
      </c>
      <c r="W967" s="8">
        <v>9.9199999999999997E-2</v>
      </c>
      <c r="X967" s="6">
        <f t="shared" si="75"/>
        <v>1927.2435840000001</v>
      </c>
      <c r="Y967" s="6">
        <f t="shared" si="76"/>
        <v>1452.48</v>
      </c>
      <c r="Z967" s="6">
        <f t="shared" si="77"/>
        <v>474.76358400000004</v>
      </c>
      <c r="AA967" t="s">
        <v>679</v>
      </c>
      <c r="AC967" s="5">
        <v>3</v>
      </c>
      <c r="AE967" t="str">
        <f t="shared" si="78"/>
        <v>2025-01</v>
      </c>
      <c r="AF967" t="str">
        <f t="shared" si="79"/>
        <v>Q1-2025</v>
      </c>
    </row>
    <row r="968" spans="1:32" x14ac:dyDescent="0.3">
      <c r="A968" t="s">
        <v>2275</v>
      </c>
      <c r="B968" s="5">
        <v>2</v>
      </c>
      <c r="C968" s="4">
        <v>45320</v>
      </c>
      <c r="D968" s="4">
        <v>45333</v>
      </c>
      <c r="E968" t="s">
        <v>546</v>
      </c>
      <c r="F968" t="s">
        <v>547</v>
      </c>
      <c r="G968" t="s">
        <v>65</v>
      </c>
      <c r="H968" t="s">
        <v>31</v>
      </c>
      <c r="I968" t="s">
        <v>67</v>
      </c>
      <c r="J968" t="s">
        <v>1304</v>
      </c>
      <c r="K968" t="s">
        <v>1342</v>
      </c>
      <c r="L968" t="s">
        <v>893</v>
      </c>
      <c r="M968" t="s">
        <v>795</v>
      </c>
      <c r="N968" t="s">
        <v>837</v>
      </c>
      <c r="O968" t="s">
        <v>894</v>
      </c>
      <c r="P968" t="s">
        <v>32</v>
      </c>
      <c r="Q968" t="s">
        <v>33</v>
      </c>
      <c r="R968" t="s">
        <v>1088</v>
      </c>
      <c r="S968" t="s">
        <v>1109</v>
      </c>
      <c r="T968" s="5">
        <v>8</v>
      </c>
      <c r="U968" s="6">
        <v>175.77</v>
      </c>
      <c r="V968" s="6">
        <v>95.07</v>
      </c>
      <c r="W968" s="8">
        <v>0</v>
      </c>
      <c r="X968" s="6">
        <f t="shared" si="75"/>
        <v>1406.16</v>
      </c>
      <c r="Y968" s="6">
        <f t="shared" si="76"/>
        <v>760.56</v>
      </c>
      <c r="Z968" s="6">
        <f t="shared" si="77"/>
        <v>645.60000000000014</v>
      </c>
      <c r="AA968" t="s">
        <v>679</v>
      </c>
      <c r="AC968" s="5">
        <v>1</v>
      </c>
      <c r="AE968" t="str">
        <f t="shared" si="78"/>
        <v>2024-01</v>
      </c>
      <c r="AF968" t="str">
        <f t="shared" si="79"/>
        <v>Q1-2024</v>
      </c>
    </row>
    <row r="969" spans="1:32" x14ac:dyDescent="0.3">
      <c r="A969" t="s">
        <v>2276</v>
      </c>
      <c r="B969" s="5">
        <v>3</v>
      </c>
      <c r="C969" s="4">
        <v>45331</v>
      </c>
      <c r="D969" s="4">
        <v>45343</v>
      </c>
      <c r="E969" t="s">
        <v>481</v>
      </c>
      <c r="F969" t="s">
        <v>482</v>
      </c>
      <c r="G969" t="s">
        <v>104</v>
      </c>
      <c r="H969" t="s">
        <v>31</v>
      </c>
      <c r="I969" t="s">
        <v>160</v>
      </c>
      <c r="J969" t="s">
        <v>1125</v>
      </c>
      <c r="K969" t="s">
        <v>1386</v>
      </c>
      <c r="L969" t="s">
        <v>1054</v>
      </c>
      <c r="M969" t="s">
        <v>1002</v>
      </c>
      <c r="N969" t="s">
        <v>1034</v>
      </c>
      <c r="O969" t="s">
        <v>1055</v>
      </c>
      <c r="P969" t="s">
        <v>29</v>
      </c>
      <c r="Q969" t="s">
        <v>30</v>
      </c>
      <c r="R969" t="s">
        <v>1114</v>
      </c>
      <c r="S969" t="s">
        <v>1095</v>
      </c>
      <c r="T969" s="5">
        <v>14</v>
      </c>
      <c r="U969" s="6">
        <v>257.58999999999997</v>
      </c>
      <c r="V969" s="6">
        <v>167.38</v>
      </c>
      <c r="W969" s="8">
        <v>0</v>
      </c>
      <c r="X969" s="6">
        <f t="shared" si="75"/>
        <v>3606.2599999999998</v>
      </c>
      <c r="Y969" s="6">
        <f t="shared" si="76"/>
        <v>2343.3199999999997</v>
      </c>
      <c r="Z969" s="6">
        <f t="shared" si="77"/>
        <v>1262.94</v>
      </c>
      <c r="AA969" t="s">
        <v>679</v>
      </c>
      <c r="AC969" s="5">
        <v>2</v>
      </c>
      <c r="AD969" t="s">
        <v>1105</v>
      </c>
      <c r="AE969" t="str">
        <f t="shared" si="78"/>
        <v>2024-02</v>
      </c>
      <c r="AF969" t="str">
        <f t="shared" si="79"/>
        <v>Q1-2024</v>
      </c>
    </row>
    <row r="970" spans="1:32" x14ac:dyDescent="0.3">
      <c r="A970" t="s">
        <v>2277</v>
      </c>
      <c r="B970" s="5">
        <v>1</v>
      </c>
      <c r="C970" s="4">
        <v>45334</v>
      </c>
      <c r="D970" s="4">
        <v>45338</v>
      </c>
      <c r="E970" t="s">
        <v>636</v>
      </c>
      <c r="F970" t="s">
        <v>236</v>
      </c>
      <c r="G970" t="s">
        <v>74</v>
      </c>
      <c r="H970" t="s">
        <v>23</v>
      </c>
      <c r="I970" t="s">
        <v>93</v>
      </c>
      <c r="J970" t="s">
        <v>1450</v>
      </c>
      <c r="K970" t="s">
        <v>1506</v>
      </c>
      <c r="L970" t="s">
        <v>788</v>
      </c>
      <c r="M970" t="s">
        <v>659</v>
      </c>
      <c r="N970" t="s">
        <v>754</v>
      </c>
      <c r="O970" t="s">
        <v>789</v>
      </c>
      <c r="P970" t="s">
        <v>50</v>
      </c>
      <c r="Q970" t="s">
        <v>51</v>
      </c>
      <c r="R970" t="s">
        <v>1088</v>
      </c>
      <c r="S970" t="s">
        <v>1100</v>
      </c>
      <c r="T970" s="5">
        <v>20</v>
      </c>
      <c r="U970" s="6">
        <v>61.07</v>
      </c>
      <c r="V970" s="6">
        <v>46.29</v>
      </c>
      <c r="W970" s="8">
        <v>0.218</v>
      </c>
      <c r="X970" s="6">
        <f t="shared" si="75"/>
        <v>955.13480000000015</v>
      </c>
      <c r="Y970" s="6">
        <f t="shared" si="76"/>
        <v>925.8</v>
      </c>
      <c r="Z970" s="6">
        <f t="shared" si="77"/>
        <v>29.3348000000002</v>
      </c>
      <c r="AA970" t="s">
        <v>679</v>
      </c>
      <c r="AC970" s="5">
        <v>1</v>
      </c>
      <c r="AD970" t="s">
        <v>1659</v>
      </c>
      <c r="AE970" t="str">
        <f t="shared" si="78"/>
        <v>2024-02</v>
      </c>
      <c r="AF970" t="str">
        <f t="shared" si="79"/>
        <v>Q1-2024</v>
      </c>
    </row>
    <row r="971" spans="1:32" x14ac:dyDescent="0.3">
      <c r="A971" t="s">
        <v>2278</v>
      </c>
      <c r="B971" s="5">
        <v>4</v>
      </c>
      <c r="C971" s="4">
        <v>45580</v>
      </c>
      <c r="D971" s="4">
        <v>45586</v>
      </c>
      <c r="E971" t="s">
        <v>397</v>
      </c>
      <c r="F971" t="s">
        <v>398</v>
      </c>
      <c r="G971" t="s">
        <v>74</v>
      </c>
      <c r="H971" t="s">
        <v>31</v>
      </c>
      <c r="I971" t="s">
        <v>127</v>
      </c>
      <c r="J971" t="s">
        <v>1098</v>
      </c>
      <c r="K971" t="s">
        <v>1099</v>
      </c>
      <c r="L971" t="s">
        <v>708</v>
      </c>
      <c r="M971" t="s">
        <v>659</v>
      </c>
      <c r="N971" t="s">
        <v>660</v>
      </c>
      <c r="O971" t="s">
        <v>709</v>
      </c>
      <c r="P971" t="s">
        <v>39</v>
      </c>
      <c r="Q971" t="s">
        <v>40</v>
      </c>
      <c r="R971" t="s">
        <v>1114</v>
      </c>
      <c r="S971" t="s">
        <v>1156</v>
      </c>
      <c r="T971" s="5">
        <v>14</v>
      </c>
      <c r="U971" s="6">
        <v>7.71</v>
      </c>
      <c r="V971" s="6">
        <v>5</v>
      </c>
      <c r="W971" s="8">
        <v>0.152</v>
      </c>
      <c r="X971" s="6">
        <f t="shared" si="75"/>
        <v>91.533119999999997</v>
      </c>
      <c r="Y971" s="6">
        <f t="shared" si="76"/>
        <v>70</v>
      </c>
      <c r="Z971" s="6">
        <f t="shared" si="77"/>
        <v>21.533119999999997</v>
      </c>
      <c r="AA971" t="s">
        <v>679</v>
      </c>
      <c r="AC971" s="5">
        <v>5</v>
      </c>
      <c r="AE971" t="str">
        <f t="shared" si="78"/>
        <v>2024-10</v>
      </c>
      <c r="AF971" t="str">
        <f t="shared" si="79"/>
        <v>Q4-2024</v>
      </c>
    </row>
    <row r="972" spans="1:32" x14ac:dyDescent="0.3">
      <c r="A972" t="s">
        <v>2279</v>
      </c>
      <c r="B972" s="5">
        <v>2</v>
      </c>
      <c r="C972" s="4">
        <v>45674</v>
      </c>
      <c r="D972" s="4">
        <v>45680</v>
      </c>
      <c r="E972" t="s">
        <v>457</v>
      </c>
      <c r="F972" t="s">
        <v>458</v>
      </c>
      <c r="G972" t="s">
        <v>74</v>
      </c>
      <c r="H972" t="s">
        <v>23</v>
      </c>
      <c r="I972" t="s">
        <v>81</v>
      </c>
      <c r="J972" t="s">
        <v>1119</v>
      </c>
      <c r="K972" t="s">
        <v>1189</v>
      </c>
      <c r="L972" t="s">
        <v>1040</v>
      </c>
      <c r="M972" t="s">
        <v>1002</v>
      </c>
      <c r="N972" t="s">
        <v>1034</v>
      </c>
      <c r="O972" t="s">
        <v>1041</v>
      </c>
      <c r="P972" t="s">
        <v>24</v>
      </c>
      <c r="Q972" t="s">
        <v>25</v>
      </c>
      <c r="R972" t="s">
        <v>1114</v>
      </c>
      <c r="S972" t="s">
        <v>1156</v>
      </c>
      <c r="T972" s="5">
        <v>23</v>
      </c>
      <c r="U972" s="6">
        <v>57.12</v>
      </c>
      <c r="V972" s="6">
        <v>35.729999999999997</v>
      </c>
      <c r="W972" s="8">
        <v>0</v>
      </c>
      <c r="X972" s="6">
        <f t="shared" si="75"/>
        <v>1313.76</v>
      </c>
      <c r="Y972" s="6">
        <f t="shared" si="76"/>
        <v>821.79</v>
      </c>
      <c r="Z972" s="6">
        <f t="shared" si="77"/>
        <v>491.97</v>
      </c>
      <c r="AA972" t="s">
        <v>679</v>
      </c>
      <c r="AC972" s="5">
        <v>2</v>
      </c>
      <c r="AD972" t="s">
        <v>1096</v>
      </c>
      <c r="AE972" t="str">
        <f t="shared" si="78"/>
        <v>2025-01</v>
      </c>
      <c r="AF972" t="str">
        <f t="shared" si="79"/>
        <v>Q1-2025</v>
      </c>
    </row>
    <row r="973" spans="1:32" x14ac:dyDescent="0.3">
      <c r="A973" t="s">
        <v>2280</v>
      </c>
      <c r="B973" s="5">
        <v>2</v>
      </c>
      <c r="C973" s="4">
        <v>45365</v>
      </c>
      <c r="D973" s="4">
        <v>45369</v>
      </c>
      <c r="E973" t="s">
        <v>152</v>
      </c>
      <c r="F973" t="s">
        <v>153</v>
      </c>
      <c r="G973" t="s">
        <v>74</v>
      </c>
      <c r="H973" t="s">
        <v>20</v>
      </c>
      <c r="I973" t="s">
        <v>90</v>
      </c>
      <c r="J973" t="s">
        <v>1262</v>
      </c>
      <c r="K973" t="s">
        <v>1263</v>
      </c>
      <c r="L973" t="s">
        <v>677</v>
      </c>
      <c r="M973" t="s">
        <v>659</v>
      </c>
      <c r="N973" t="s">
        <v>660</v>
      </c>
      <c r="O973" t="s">
        <v>678</v>
      </c>
      <c r="P973" t="s">
        <v>29</v>
      </c>
      <c r="Q973" t="s">
        <v>30</v>
      </c>
      <c r="R973" t="s">
        <v>1094</v>
      </c>
      <c r="S973" t="s">
        <v>1095</v>
      </c>
      <c r="T973" s="5">
        <v>7</v>
      </c>
      <c r="U973" s="6">
        <v>75.22</v>
      </c>
      <c r="V973" s="6">
        <v>53.6</v>
      </c>
      <c r="W973" s="8">
        <v>0</v>
      </c>
      <c r="X973" s="6">
        <f t="shared" si="75"/>
        <v>526.54</v>
      </c>
      <c r="Y973" s="6">
        <f t="shared" si="76"/>
        <v>375.2</v>
      </c>
      <c r="Z973" s="6">
        <f t="shared" si="77"/>
        <v>151.33999999999997</v>
      </c>
      <c r="AA973" t="s">
        <v>679</v>
      </c>
      <c r="AC973" s="5">
        <v>3</v>
      </c>
      <c r="AD973" t="s">
        <v>1565</v>
      </c>
      <c r="AE973" t="str">
        <f t="shared" si="78"/>
        <v>2024-03</v>
      </c>
      <c r="AF973" t="str">
        <f t="shared" si="79"/>
        <v>Q1-2024</v>
      </c>
    </row>
    <row r="974" spans="1:32" x14ac:dyDescent="0.3">
      <c r="A974" t="s">
        <v>2281</v>
      </c>
      <c r="B974" s="5">
        <v>3</v>
      </c>
      <c r="C974" s="4">
        <v>45402</v>
      </c>
      <c r="D974" s="4">
        <v>45402</v>
      </c>
      <c r="E974" t="s">
        <v>252</v>
      </c>
      <c r="F974" t="s">
        <v>253</v>
      </c>
      <c r="G974" t="s">
        <v>65</v>
      </c>
      <c r="H974" t="s">
        <v>20</v>
      </c>
      <c r="I974" t="s">
        <v>71</v>
      </c>
      <c r="J974" t="s">
        <v>1112</v>
      </c>
      <c r="K974" t="s">
        <v>1266</v>
      </c>
      <c r="L974" t="s">
        <v>778</v>
      </c>
      <c r="M974" t="s">
        <v>659</v>
      </c>
      <c r="N974" t="s">
        <v>754</v>
      </c>
      <c r="O974" t="s">
        <v>779</v>
      </c>
      <c r="P974" t="s">
        <v>50</v>
      </c>
      <c r="Q974" t="s">
        <v>51</v>
      </c>
      <c r="R974" t="s">
        <v>1088</v>
      </c>
      <c r="S974" t="s">
        <v>1109</v>
      </c>
      <c r="T974" s="5">
        <v>26</v>
      </c>
      <c r="U974" s="6">
        <v>139.21</v>
      </c>
      <c r="V974" s="6">
        <v>73.75</v>
      </c>
      <c r="W974" s="8">
        <v>0.30609999999999998</v>
      </c>
      <c r="X974" s="6">
        <f t="shared" si="75"/>
        <v>2511.5432940000001</v>
      </c>
      <c r="Y974" s="6">
        <f t="shared" si="76"/>
        <v>1917.5</v>
      </c>
      <c r="Z974" s="6">
        <f t="shared" si="77"/>
        <v>594.04329400000006</v>
      </c>
      <c r="AA974" t="s">
        <v>679</v>
      </c>
      <c r="AC974" s="5">
        <v>1</v>
      </c>
      <c r="AD974" t="s">
        <v>1148</v>
      </c>
      <c r="AE974" t="str">
        <f t="shared" si="78"/>
        <v>2024-04</v>
      </c>
      <c r="AF974" t="str">
        <f t="shared" si="79"/>
        <v>Q2-2024</v>
      </c>
    </row>
    <row r="975" spans="1:32" x14ac:dyDescent="0.3">
      <c r="A975" t="s">
        <v>2282</v>
      </c>
      <c r="B975" s="5">
        <v>2</v>
      </c>
      <c r="C975" s="4">
        <v>45305</v>
      </c>
      <c r="D975" s="4">
        <v>45307</v>
      </c>
      <c r="E975" t="s">
        <v>457</v>
      </c>
      <c r="F975" t="s">
        <v>458</v>
      </c>
      <c r="G975" t="s">
        <v>74</v>
      </c>
      <c r="H975" t="s">
        <v>20</v>
      </c>
      <c r="I975" t="s">
        <v>112</v>
      </c>
      <c r="J975" t="s">
        <v>1158</v>
      </c>
      <c r="K975" t="s">
        <v>1320</v>
      </c>
      <c r="L975" t="s">
        <v>942</v>
      </c>
      <c r="M975" t="s">
        <v>929</v>
      </c>
      <c r="N975" t="s">
        <v>930</v>
      </c>
      <c r="O975" t="s">
        <v>943</v>
      </c>
      <c r="P975" t="s">
        <v>50</v>
      </c>
      <c r="Q975" t="s">
        <v>51</v>
      </c>
      <c r="R975" t="s">
        <v>1088</v>
      </c>
      <c r="S975" t="s">
        <v>1109</v>
      </c>
      <c r="T975" s="5">
        <v>18</v>
      </c>
      <c r="U975" s="6">
        <v>214.55</v>
      </c>
      <c r="V975" s="6">
        <v>173.45</v>
      </c>
      <c r="W975" s="8">
        <v>0</v>
      </c>
      <c r="X975" s="6">
        <f t="shared" si="75"/>
        <v>3861.9</v>
      </c>
      <c r="Y975" s="6">
        <f t="shared" si="76"/>
        <v>3122.1</v>
      </c>
      <c r="Z975" s="6">
        <f t="shared" si="77"/>
        <v>739.80000000000018</v>
      </c>
      <c r="AA975" t="s">
        <v>679</v>
      </c>
      <c r="AC975" s="5">
        <v>5</v>
      </c>
      <c r="AE975" t="str">
        <f t="shared" si="78"/>
        <v>2024-01</v>
      </c>
      <c r="AF975" t="str">
        <f t="shared" si="79"/>
        <v>Q1-2024</v>
      </c>
    </row>
    <row r="976" spans="1:32" x14ac:dyDescent="0.3">
      <c r="A976" t="s">
        <v>2283</v>
      </c>
      <c r="B976" s="5">
        <v>5</v>
      </c>
      <c r="C976" s="4">
        <v>45607</v>
      </c>
      <c r="D976" s="4">
        <v>45618</v>
      </c>
      <c r="E976" t="s">
        <v>161</v>
      </c>
      <c r="F976" t="s">
        <v>162</v>
      </c>
      <c r="G976" t="s">
        <v>65</v>
      </c>
      <c r="H976" t="s">
        <v>20</v>
      </c>
      <c r="I976" t="s">
        <v>71</v>
      </c>
      <c r="J976" t="s">
        <v>1112</v>
      </c>
      <c r="K976" t="s">
        <v>1178</v>
      </c>
      <c r="L976" t="s">
        <v>851</v>
      </c>
      <c r="M976" t="s">
        <v>795</v>
      </c>
      <c r="N976" t="s">
        <v>837</v>
      </c>
      <c r="O976" t="s">
        <v>852</v>
      </c>
      <c r="P976" t="s">
        <v>48</v>
      </c>
      <c r="Q976" t="s">
        <v>49</v>
      </c>
      <c r="R976" t="s">
        <v>1094</v>
      </c>
      <c r="S976" t="s">
        <v>1089</v>
      </c>
      <c r="T976" s="5">
        <v>9</v>
      </c>
      <c r="U976" s="6">
        <v>302.85000000000002</v>
      </c>
      <c r="V976" s="6">
        <v>255.07</v>
      </c>
      <c r="W976" s="8">
        <v>0</v>
      </c>
      <c r="X976" s="6">
        <f t="shared" si="75"/>
        <v>2725.65</v>
      </c>
      <c r="Y976" s="6">
        <f t="shared" si="76"/>
        <v>2295.63</v>
      </c>
      <c r="Z976" s="6">
        <f t="shared" si="77"/>
        <v>430.02</v>
      </c>
      <c r="AA976" t="s">
        <v>679</v>
      </c>
      <c r="AC976" s="5"/>
      <c r="AD976" t="s">
        <v>1096</v>
      </c>
      <c r="AE976" t="str">
        <f t="shared" si="78"/>
        <v>2024-11</v>
      </c>
      <c r="AF976" t="str">
        <f t="shared" si="79"/>
        <v>Q4-2024</v>
      </c>
    </row>
    <row r="977" spans="1:32" x14ac:dyDescent="0.3">
      <c r="A977" t="s">
        <v>2284</v>
      </c>
      <c r="B977" s="5">
        <v>1</v>
      </c>
      <c r="C977" s="4">
        <v>45497</v>
      </c>
      <c r="D977" s="4">
        <v>45505</v>
      </c>
      <c r="E977" t="s">
        <v>344</v>
      </c>
      <c r="F977" t="s">
        <v>345</v>
      </c>
      <c r="G977" t="s">
        <v>65</v>
      </c>
      <c r="H977" t="s">
        <v>41</v>
      </c>
      <c r="I977" t="s">
        <v>86</v>
      </c>
      <c r="J977" t="s">
        <v>1107</v>
      </c>
      <c r="K977" t="s">
        <v>1439</v>
      </c>
      <c r="L977" t="s">
        <v>1033</v>
      </c>
      <c r="M977" t="s">
        <v>1002</v>
      </c>
      <c r="N977" t="s">
        <v>1034</v>
      </c>
      <c r="O977" t="s">
        <v>1035</v>
      </c>
      <c r="P977" t="s">
        <v>42</v>
      </c>
      <c r="Q977" t="s">
        <v>43</v>
      </c>
      <c r="R977" t="s">
        <v>126</v>
      </c>
      <c r="S977" t="s">
        <v>1109</v>
      </c>
      <c r="T977" s="5">
        <v>18</v>
      </c>
      <c r="U977" s="6">
        <v>208.44</v>
      </c>
      <c r="V977" s="6">
        <v>113.68</v>
      </c>
      <c r="W977" s="8">
        <v>0</v>
      </c>
      <c r="X977" s="6">
        <f t="shared" si="75"/>
        <v>3751.92</v>
      </c>
      <c r="Y977" s="6">
        <f t="shared" si="76"/>
        <v>2046.2400000000002</v>
      </c>
      <c r="Z977" s="6">
        <f t="shared" si="77"/>
        <v>1705.6799999999998</v>
      </c>
      <c r="AA977" t="s">
        <v>679</v>
      </c>
      <c r="AC977" s="5">
        <v>2</v>
      </c>
      <c r="AD977" t="s">
        <v>1090</v>
      </c>
      <c r="AE977" t="str">
        <f t="shared" si="78"/>
        <v>2024-07</v>
      </c>
      <c r="AF977" t="str">
        <f t="shared" si="79"/>
        <v>Q3-2024</v>
      </c>
    </row>
    <row r="978" spans="1:32" x14ac:dyDescent="0.3">
      <c r="A978" t="s">
        <v>2285</v>
      </c>
      <c r="B978" s="5">
        <v>1</v>
      </c>
      <c r="C978" s="4">
        <v>45599</v>
      </c>
      <c r="D978" s="4">
        <v>45610</v>
      </c>
      <c r="E978" t="s">
        <v>281</v>
      </c>
      <c r="F978" t="s">
        <v>282</v>
      </c>
      <c r="G978" t="s">
        <v>80</v>
      </c>
      <c r="H978" t="s">
        <v>20</v>
      </c>
      <c r="I978" t="s">
        <v>90</v>
      </c>
      <c r="J978" t="s">
        <v>1262</v>
      </c>
      <c r="K978" t="s">
        <v>1297</v>
      </c>
      <c r="L978" t="s">
        <v>849</v>
      </c>
      <c r="M978" t="s">
        <v>795</v>
      </c>
      <c r="N978" t="s">
        <v>837</v>
      </c>
      <c r="O978" t="s">
        <v>850</v>
      </c>
      <c r="P978" t="s">
        <v>32</v>
      </c>
      <c r="Q978" t="s">
        <v>33</v>
      </c>
      <c r="R978" t="s">
        <v>1088</v>
      </c>
      <c r="S978" t="s">
        <v>1109</v>
      </c>
      <c r="T978" s="5">
        <v>2</v>
      </c>
      <c r="U978" s="6">
        <v>85.67</v>
      </c>
      <c r="V978" s="6">
        <v>67.12</v>
      </c>
      <c r="W978" s="8"/>
      <c r="X978" s="6">
        <f t="shared" si="75"/>
        <v>171.34</v>
      </c>
      <c r="Y978" s="6">
        <f t="shared" si="76"/>
        <v>134.24</v>
      </c>
      <c r="Z978" s="6">
        <f t="shared" si="77"/>
        <v>37.099999999999994</v>
      </c>
      <c r="AA978" t="s">
        <v>679</v>
      </c>
      <c r="AC978" s="5">
        <v>1</v>
      </c>
      <c r="AD978" t="s">
        <v>1123</v>
      </c>
      <c r="AE978" t="str">
        <f t="shared" si="78"/>
        <v>2024-11</v>
      </c>
      <c r="AF978" t="str">
        <f t="shared" si="79"/>
        <v>Q4-2024</v>
      </c>
    </row>
    <row r="979" spans="1:32" x14ac:dyDescent="0.3">
      <c r="A979" t="s">
        <v>2286</v>
      </c>
      <c r="B979" s="5">
        <v>4</v>
      </c>
      <c r="C979" s="4">
        <v>45666</v>
      </c>
      <c r="D979" s="4">
        <v>45675</v>
      </c>
      <c r="E979" t="s">
        <v>399</v>
      </c>
      <c r="F979" t="s">
        <v>400</v>
      </c>
      <c r="G979" t="s">
        <v>65</v>
      </c>
      <c r="H979" t="s">
        <v>31</v>
      </c>
      <c r="I979" t="s">
        <v>127</v>
      </c>
      <c r="J979" t="s">
        <v>1098</v>
      </c>
      <c r="K979" t="s">
        <v>1217</v>
      </c>
      <c r="L979" t="s">
        <v>1036</v>
      </c>
      <c r="M979" t="s">
        <v>1002</v>
      </c>
      <c r="N979" t="s">
        <v>1034</v>
      </c>
      <c r="O979" t="s">
        <v>1037</v>
      </c>
      <c r="P979" t="s">
        <v>34</v>
      </c>
      <c r="Q979" t="s">
        <v>35</v>
      </c>
      <c r="R979" t="s">
        <v>1088</v>
      </c>
      <c r="S979" t="s">
        <v>1089</v>
      </c>
      <c r="T979" s="5">
        <v>9</v>
      </c>
      <c r="U979" s="6">
        <v>188.59</v>
      </c>
      <c r="V979" s="6">
        <v>171.54</v>
      </c>
      <c r="W979" s="8">
        <v>0</v>
      </c>
      <c r="X979" s="6">
        <f t="shared" si="75"/>
        <v>1697.31</v>
      </c>
      <c r="Y979" s="6">
        <f t="shared" si="76"/>
        <v>1543.86</v>
      </c>
      <c r="Z979" s="6">
        <f t="shared" si="77"/>
        <v>153.45000000000005</v>
      </c>
      <c r="AA979" t="s">
        <v>679</v>
      </c>
      <c r="AC979" s="5"/>
      <c r="AD979" t="s">
        <v>1096</v>
      </c>
      <c r="AE979" t="str">
        <f t="shared" si="78"/>
        <v>2025-01</v>
      </c>
      <c r="AF979" t="str">
        <f t="shared" si="79"/>
        <v>Q1-2025</v>
      </c>
    </row>
    <row r="980" spans="1:32" x14ac:dyDescent="0.3">
      <c r="A980" t="s">
        <v>2287</v>
      </c>
      <c r="B980" s="5">
        <v>4</v>
      </c>
      <c r="C980" s="4">
        <v>45611</v>
      </c>
      <c r="D980" s="4">
        <v>45621</v>
      </c>
      <c r="E980" t="s">
        <v>188</v>
      </c>
      <c r="F980" t="s">
        <v>189</v>
      </c>
      <c r="G980" t="s">
        <v>74</v>
      </c>
      <c r="H980" t="s">
        <v>23</v>
      </c>
      <c r="I980" t="s">
        <v>109</v>
      </c>
      <c r="J980" t="s">
        <v>1300</v>
      </c>
      <c r="K980" t="s">
        <v>1360</v>
      </c>
      <c r="L980" t="s">
        <v>1056</v>
      </c>
      <c r="M980" t="s">
        <v>1002</v>
      </c>
      <c r="N980" t="s">
        <v>1034</v>
      </c>
      <c r="O980" t="s">
        <v>1057</v>
      </c>
      <c r="P980" t="s">
        <v>34</v>
      </c>
      <c r="Q980" t="s">
        <v>35</v>
      </c>
      <c r="R980" t="s">
        <v>126</v>
      </c>
      <c r="S980" t="s">
        <v>1095</v>
      </c>
      <c r="T980" s="5">
        <v>48</v>
      </c>
      <c r="U980" s="6">
        <v>211.28</v>
      </c>
      <c r="V980" s="6">
        <v>129.21</v>
      </c>
      <c r="W980" s="8">
        <v>0</v>
      </c>
      <c r="X980" s="6">
        <f t="shared" si="75"/>
        <v>10141.44</v>
      </c>
      <c r="Y980" s="6">
        <f t="shared" si="76"/>
        <v>6202.08</v>
      </c>
      <c r="Z980" s="6">
        <f t="shared" si="77"/>
        <v>3939.3600000000006</v>
      </c>
      <c r="AA980" t="s">
        <v>679</v>
      </c>
      <c r="AC980" s="5"/>
      <c r="AD980" t="s">
        <v>1123</v>
      </c>
      <c r="AE980" t="str">
        <f t="shared" si="78"/>
        <v>2024-11</v>
      </c>
      <c r="AF980" t="str">
        <f t="shared" si="79"/>
        <v>Q4-2024</v>
      </c>
    </row>
    <row r="981" spans="1:32" x14ac:dyDescent="0.3">
      <c r="A981" t="s">
        <v>2288</v>
      </c>
      <c r="B981" s="5">
        <v>5</v>
      </c>
      <c r="C981" s="4">
        <v>45425</v>
      </c>
      <c r="D981" s="4">
        <v>45427</v>
      </c>
      <c r="E981" t="s">
        <v>574</v>
      </c>
      <c r="F981" t="s">
        <v>400</v>
      </c>
      <c r="G981" t="s">
        <v>65</v>
      </c>
      <c r="H981" t="s">
        <v>31</v>
      </c>
      <c r="I981" t="s">
        <v>160</v>
      </c>
      <c r="J981" t="s">
        <v>1092</v>
      </c>
      <c r="K981" t="s">
        <v>1135</v>
      </c>
      <c r="L981" t="s">
        <v>1005</v>
      </c>
      <c r="M981" t="s">
        <v>1002</v>
      </c>
      <c r="N981" t="s">
        <v>1003</v>
      </c>
      <c r="O981" t="s">
        <v>1006</v>
      </c>
      <c r="P981" t="s">
        <v>48</v>
      </c>
      <c r="Q981" t="s">
        <v>49</v>
      </c>
      <c r="R981" t="s">
        <v>1088</v>
      </c>
      <c r="S981" t="s">
        <v>1156</v>
      </c>
      <c r="T981" s="5">
        <v>28</v>
      </c>
      <c r="U981" s="6">
        <v>117.41</v>
      </c>
      <c r="V981" s="6">
        <v>76.489999999999995</v>
      </c>
      <c r="W981" s="8">
        <v>0</v>
      </c>
      <c r="X981" s="6">
        <f t="shared" si="75"/>
        <v>3287.48</v>
      </c>
      <c r="Y981" s="6">
        <f t="shared" si="76"/>
        <v>2141.7199999999998</v>
      </c>
      <c r="Z981" s="6">
        <f t="shared" si="77"/>
        <v>1145.7600000000002</v>
      </c>
      <c r="AA981" t="s">
        <v>662</v>
      </c>
      <c r="AB981" t="s">
        <v>1240</v>
      </c>
      <c r="AC981" s="5">
        <v>2</v>
      </c>
      <c r="AD981" t="s">
        <v>1110</v>
      </c>
      <c r="AE981" t="str">
        <f t="shared" si="78"/>
        <v>2024-05</v>
      </c>
      <c r="AF981" t="str">
        <f t="shared" si="79"/>
        <v>Q2-2024</v>
      </c>
    </row>
    <row r="982" spans="1:32" x14ac:dyDescent="0.3">
      <c r="A982" t="s">
        <v>2289</v>
      </c>
      <c r="B982" s="5">
        <v>3</v>
      </c>
      <c r="C982" s="4">
        <v>45801</v>
      </c>
      <c r="D982" s="4">
        <v>45803</v>
      </c>
      <c r="E982" t="s">
        <v>619</v>
      </c>
      <c r="F982" t="s">
        <v>620</v>
      </c>
      <c r="G982" t="s">
        <v>74</v>
      </c>
      <c r="H982" t="s">
        <v>41</v>
      </c>
      <c r="I982" t="s">
        <v>86</v>
      </c>
      <c r="J982" t="s">
        <v>1086</v>
      </c>
      <c r="K982" t="s">
        <v>1234</v>
      </c>
      <c r="L982" t="s">
        <v>737</v>
      </c>
      <c r="M982" t="s">
        <v>659</v>
      </c>
      <c r="N982" t="s">
        <v>713</v>
      </c>
      <c r="O982" t="s">
        <v>738</v>
      </c>
      <c r="P982" t="s">
        <v>17</v>
      </c>
      <c r="Q982" t="s">
        <v>18</v>
      </c>
      <c r="R982" t="s">
        <v>1088</v>
      </c>
      <c r="S982" t="s">
        <v>1156</v>
      </c>
      <c r="T982" s="5">
        <v>12</v>
      </c>
      <c r="U982" s="6">
        <v>83</v>
      </c>
      <c r="V982" s="6">
        <v>57.7</v>
      </c>
      <c r="W982" s="8">
        <v>0</v>
      </c>
      <c r="X982" s="6">
        <f t="shared" si="75"/>
        <v>996</v>
      </c>
      <c r="Y982" s="6">
        <f t="shared" si="76"/>
        <v>692.40000000000009</v>
      </c>
      <c r="Z982" s="6">
        <f t="shared" si="77"/>
        <v>303.59999999999991</v>
      </c>
      <c r="AA982" t="s">
        <v>679</v>
      </c>
      <c r="AC982" s="5">
        <v>4</v>
      </c>
      <c r="AD982" t="s">
        <v>1335</v>
      </c>
      <c r="AE982" t="str">
        <f t="shared" si="78"/>
        <v>2025-05</v>
      </c>
      <c r="AF982" t="str">
        <f t="shared" si="79"/>
        <v>Q2-2025</v>
      </c>
    </row>
    <row r="983" spans="1:32" x14ac:dyDescent="0.3">
      <c r="A983" t="s">
        <v>2290</v>
      </c>
      <c r="B983" s="5">
        <v>2</v>
      </c>
      <c r="C983" s="4">
        <v>45342</v>
      </c>
      <c r="D983" s="4">
        <v>45347</v>
      </c>
      <c r="E983" t="s">
        <v>586</v>
      </c>
      <c r="F983" t="s">
        <v>2291</v>
      </c>
      <c r="G983" t="s">
        <v>80</v>
      </c>
      <c r="H983" t="s">
        <v>23</v>
      </c>
      <c r="I983" t="s">
        <v>81</v>
      </c>
      <c r="J983" t="s">
        <v>1119</v>
      </c>
      <c r="K983" t="s">
        <v>1291</v>
      </c>
      <c r="L983" t="s">
        <v>934</v>
      </c>
      <c r="M983" t="s">
        <v>929</v>
      </c>
      <c r="N983" t="s">
        <v>930</v>
      </c>
      <c r="O983" t="s">
        <v>935</v>
      </c>
      <c r="P983" t="s">
        <v>34</v>
      </c>
      <c r="Q983" t="s">
        <v>35</v>
      </c>
      <c r="R983" t="s">
        <v>1088</v>
      </c>
      <c r="S983" t="s">
        <v>1095</v>
      </c>
      <c r="T983" s="5">
        <v>30</v>
      </c>
      <c r="U983" s="6">
        <v>202.98</v>
      </c>
      <c r="V983" s="6">
        <v>147.27000000000001</v>
      </c>
      <c r="W983" s="8">
        <v>0.1191</v>
      </c>
      <c r="X983" s="6">
        <f t="shared" si="75"/>
        <v>5364.1524599999993</v>
      </c>
      <c r="Y983" s="6">
        <f t="shared" si="76"/>
        <v>4418.1000000000004</v>
      </c>
      <c r="Z983" s="6">
        <f t="shared" si="77"/>
        <v>946.05245999999897</v>
      </c>
      <c r="AA983" t="s">
        <v>679</v>
      </c>
      <c r="AC983" s="5">
        <v>4</v>
      </c>
      <c r="AD983" t="s">
        <v>1096</v>
      </c>
      <c r="AE983" t="str">
        <f t="shared" si="78"/>
        <v>2024-02</v>
      </c>
      <c r="AF983" t="str">
        <f t="shared" si="79"/>
        <v>Q1-2024</v>
      </c>
    </row>
    <row r="984" spans="1:32" x14ac:dyDescent="0.3">
      <c r="A984" t="s">
        <v>2292</v>
      </c>
      <c r="B984" s="5">
        <v>1</v>
      </c>
      <c r="C984" s="4">
        <v>45560</v>
      </c>
      <c r="D984" s="4">
        <v>45573</v>
      </c>
      <c r="E984" t="s">
        <v>577</v>
      </c>
      <c r="F984" t="s">
        <v>578</v>
      </c>
      <c r="G984" t="s">
        <v>74</v>
      </c>
      <c r="H984" t="s">
        <v>31</v>
      </c>
      <c r="I984" t="s">
        <v>127</v>
      </c>
      <c r="J984" t="s">
        <v>1098</v>
      </c>
      <c r="K984" t="s">
        <v>1217</v>
      </c>
      <c r="L984" t="s">
        <v>798</v>
      </c>
      <c r="M984" t="s">
        <v>795</v>
      </c>
      <c r="N984" t="s">
        <v>796</v>
      </c>
      <c r="O984" t="s">
        <v>799</v>
      </c>
      <c r="P984" t="s">
        <v>27</v>
      </c>
      <c r="Q984" t="s">
        <v>28</v>
      </c>
      <c r="R984" t="s">
        <v>1088</v>
      </c>
      <c r="S984" t="s">
        <v>1089</v>
      </c>
      <c r="T984" s="5">
        <v>9</v>
      </c>
      <c r="U984" s="6">
        <v>194.72</v>
      </c>
      <c r="V984" s="6">
        <v>120.52</v>
      </c>
      <c r="W984" s="8">
        <v>6.4399999999999999E-2</v>
      </c>
      <c r="X984" s="6">
        <f t="shared" si="75"/>
        <v>1639.6202880000001</v>
      </c>
      <c r="Y984" s="6">
        <f t="shared" si="76"/>
        <v>1084.68</v>
      </c>
      <c r="Z984" s="6">
        <f t="shared" si="77"/>
        <v>554.94028800000001</v>
      </c>
      <c r="AA984" t="s">
        <v>679</v>
      </c>
      <c r="AC984" s="5">
        <v>4</v>
      </c>
      <c r="AD984" t="s">
        <v>1105</v>
      </c>
      <c r="AE984" t="str">
        <f t="shared" si="78"/>
        <v>2024-09</v>
      </c>
      <c r="AF984" t="str">
        <f t="shared" si="79"/>
        <v>Q3-2024</v>
      </c>
    </row>
    <row r="985" spans="1:32" x14ac:dyDescent="0.3">
      <c r="A985" t="s">
        <v>2293</v>
      </c>
      <c r="B985" s="5">
        <v>5</v>
      </c>
      <c r="C985" s="4">
        <v>45935</v>
      </c>
      <c r="D985" s="4">
        <v>45948</v>
      </c>
      <c r="E985" t="s">
        <v>291</v>
      </c>
      <c r="F985" t="s">
        <v>292</v>
      </c>
      <c r="G985" t="s">
        <v>65</v>
      </c>
      <c r="H985" t="s">
        <v>41</v>
      </c>
      <c r="I985" t="s">
        <v>86</v>
      </c>
      <c r="J985" t="s">
        <v>1107</v>
      </c>
      <c r="K985" t="s">
        <v>1108</v>
      </c>
      <c r="L985" t="s">
        <v>727</v>
      </c>
      <c r="M985" t="s">
        <v>659</v>
      </c>
      <c r="N985" t="s">
        <v>713</v>
      </c>
      <c r="O985" t="s">
        <v>728</v>
      </c>
      <c r="P985" t="s">
        <v>53</v>
      </c>
      <c r="Q985" t="s">
        <v>54</v>
      </c>
      <c r="R985" t="s">
        <v>126</v>
      </c>
      <c r="S985" t="s">
        <v>1089</v>
      </c>
      <c r="T985" s="5">
        <v>3</v>
      </c>
      <c r="U985" s="6">
        <v>21.71</v>
      </c>
      <c r="V985" s="6">
        <v>13.85</v>
      </c>
      <c r="W985" s="8">
        <v>0</v>
      </c>
      <c r="X985" s="6">
        <f t="shared" si="75"/>
        <v>65.13</v>
      </c>
      <c r="Y985" s="6">
        <f t="shared" si="76"/>
        <v>41.55</v>
      </c>
      <c r="Z985" s="6">
        <f t="shared" si="77"/>
        <v>23.58</v>
      </c>
      <c r="AA985" t="s">
        <v>679</v>
      </c>
      <c r="AC985" s="5">
        <v>1</v>
      </c>
      <c r="AD985" t="s">
        <v>1096</v>
      </c>
      <c r="AE985" t="str">
        <f t="shared" si="78"/>
        <v>2025-10</v>
      </c>
      <c r="AF985" t="str">
        <f t="shared" si="79"/>
        <v>Q4-2025</v>
      </c>
    </row>
    <row r="986" spans="1:32" x14ac:dyDescent="0.3">
      <c r="A986" t="s">
        <v>2294</v>
      </c>
      <c r="B986" s="5">
        <v>1</v>
      </c>
      <c r="C986" s="4">
        <v>45509</v>
      </c>
      <c r="D986" s="4">
        <v>45514</v>
      </c>
      <c r="E986" t="s">
        <v>342</v>
      </c>
      <c r="F986" t="s">
        <v>343</v>
      </c>
      <c r="G986" t="s">
        <v>74</v>
      </c>
      <c r="H986" t="s">
        <v>31</v>
      </c>
      <c r="I986" t="s">
        <v>160</v>
      </c>
      <c r="J986" t="s">
        <v>1125</v>
      </c>
      <c r="K986" t="s">
        <v>1132</v>
      </c>
      <c r="L986" t="s">
        <v>749</v>
      </c>
      <c r="M986" t="s">
        <v>659</v>
      </c>
      <c r="N986" t="s">
        <v>713</v>
      </c>
      <c r="O986" t="s">
        <v>750</v>
      </c>
      <c r="P986" t="s">
        <v>46</v>
      </c>
      <c r="Q986" t="s">
        <v>47</v>
      </c>
      <c r="R986" t="s">
        <v>1094</v>
      </c>
      <c r="S986" t="s">
        <v>1109</v>
      </c>
      <c r="T986" s="5">
        <v>17</v>
      </c>
      <c r="U986" s="6">
        <v>9.61</v>
      </c>
      <c r="V986" s="6">
        <v>5</v>
      </c>
      <c r="W986" s="8">
        <v>0</v>
      </c>
      <c r="X986" s="6">
        <f t="shared" si="75"/>
        <v>163.37</v>
      </c>
      <c r="Y986" s="6">
        <f t="shared" si="76"/>
        <v>85</v>
      </c>
      <c r="Z986" s="6">
        <f t="shared" si="77"/>
        <v>78.37</v>
      </c>
      <c r="AA986" t="s">
        <v>679</v>
      </c>
      <c r="AC986" s="5">
        <v>4</v>
      </c>
      <c r="AD986" t="s">
        <v>1110</v>
      </c>
      <c r="AE986" t="str">
        <f t="shared" si="78"/>
        <v>2024-08</v>
      </c>
      <c r="AF986" t="str">
        <f t="shared" si="79"/>
        <v>Q3-2024</v>
      </c>
    </row>
    <row r="987" spans="1:32" x14ac:dyDescent="0.3">
      <c r="A987" t="s">
        <v>2295</v>
      </c>
      <c r="B987" s="5">
        <v>1</v>
      </c>
      <c r="C987" s="4">
        <v>45715</v>
      </c>
      <c r="D987" s="4">
        <v>45722</v>
      </c>
      <c r="E987" t="s">
        <v>140</v>
      </c>
      <c r="F987" t="s">
        <v>141</v>
      </c>
      <c r="G987" t="s">
        <v>65</v>
      </c>
      <c r="H987" t="s">
        <v>31</v>
      </c>
      <c r="I987" t="s">
        <v>160</v>
      </c>
      <c r="J987" t="s">
        <v>1125</v>
      </c>
      <c r="K987" t="s">
        <v>1386</v>
      </c>
      <c r="L987" t="s">
        <v>1009</v>
      </c>
      <c r="M987" t="s">
        <v>1002</v>
      </c>
      <c r="N987" t="s">
        <v>1003</v>
      </c>
      <c r="O987" t="s">
        <v>1010</v>
      </c>
      <c r="P987" t="s">
        <v>46</v>
      </c>
      <c r="Q987" t="s">
        <v>47</v>
      </c>
      <c r="R987" t="s">
        <v>1088</v>
      </c>
      <c r="S987" t="s">
        <v>1109</v>
      </c>
      <c r="T987" s="5">
        <v>15</v>
      </c>
      <c r="U987" s="6">
        <v>206.76</v>
      </c>
      <c r="V987" s="6">
        <v>126.23</v>
      </c>
      <c r="W987" s="8">
        <v>0.26690000000000003</v>
      </c>
      <c r="X987" s="6">
        <f t="shared" si="75"/>
        <v>2273.6363399999996</v>
      </c>
      <c r="Y987" s="6">
        <f t="shared" si="76"/>
        <v>1893.45</v>
      </c>
      <c r="Z987" s="6">
        <f t="shared" si="77"/>
        <v>380.18633999999952</v>
      </c>
      <c r="AA987" t="s">
        <v>679</v>
      </c>
      <c r="AC987" s="5"/>
      <c r="AD987" t="s">
        <v>1110</v>
      </c>
      <c r="AE987" t="str">
        <f t="shared" si="78"/>
        <v>2025-02</v>
      </c>
      <c r="AF987" t="str">
        <f t="shared" si="79"/>
        <v>Q1-2025</v>
      </c>
    </row>
    <row r="988" spans="1:32" x14ac:dyDescent="0.3">
      <c r="A988" t="s">
        <v>2296</v>
      </c>
      <c r="B988" s="5">
        <v>5</v>
      </c>
      <c r="C988" s="4">
        <v>45976</v>
      </c>
      <c r="D988" s="4">
        <v>45978</v>
      </c>
      <c r="E988" t="s">
        <v>245</v>
      </c>
      <c r="F988" t="s">
        <v>187</v>
      </c>
      <c r="G988" t="s">
        <v>74</v>
      </c>
      <c r="H988" t="s">
        <v>20</v>
      </c>
      <c r="I988" t="s">
        <v>71</v>
      </c>
      <c r="J988" t="s">
        <v>1166</v>
      </c>
      <c r="K988" t="s">
        <v>1436</v>
      </c>
      <c r="L988" t="s">
        <v>938</v>
      </c>
      <c r="M988" t="s">
        <v>929</v>
      </c>
      <c r="N988" t="s">
        <v>930</v>
      </c>
      <c r="O988" t="s">
        <v>939</v>
      </c>
      <c r="P988" t="s">
        <v>27</v>
      </c>
      <c r="Q988" t="s">
        <v>28</v>
      </c>
      <c r="R988" t="s">
        <v>1088</v>
      </c>
      <c r="S988" t="s">
        <v>1095</v>
      </c>
      <c r="T988" s="5">
        <v>2</v>
      </c>
      <c r="U988" s="6">
        <v>302.89</v>
      </c>
      <c r="V988" s="6">
        <v>175.97</v>
      </c>
      <c r="W988" s="8">
        <v>0</v>
      </c>
      <c r="X988" s="6">
        <f t="shared" si="75"/>
        <v>605.78</v>
      </c>
      <c r="Y988" s="6">
        <f t="shared" si="76"/>
        <v>351.94</v>
      </c>
      <c r="Z988" s="6">
        <f t="shared" si="77"/>
        <v>253.83999999999997</v>
      </c>
      <c r="AA988" t="s">
        <v>679</v>
      </c>
      <c r="AC988" s="5">
        <v>4</v>
      </c>
      <c r="AD988" t="s">
        <v>1105</v>
      </c>
      <c r="AE988" t="str">
        <f t="shared" si="78"/>
        <v>2025-11</v>
      </c>
      <c r="AF988" t="str">
        <f t="shared" si="79"/>
        <v>Q4-2025</v>
      </c>
    </row>
    <row r="989" spans="1:32" x14ac:dyDescent="0.3">
      <c r="A989" t="s">
        <v>2297</v>
      </c>
      <c r="B989" s="5">
        <v>5</v>
      </c>
      <c r="C989" s="4">
        <v>45705</v>
      </c>
      <c r="D989" s="4">
        <v>45709</v>
      </c>
      <c r="E989" t="s">
        <v>619</v>
      </c>
      <c r="F989" t="s">
        <v>620</v>
      </c>
      <c r="G989" t="s">
        <v>74</v>
      </c>
      <c r="H989" t="s">
        <v>20</v>
      </c>
      <c r="I989" t="s">
        <v>112</v>
      </c>
      <c r="J989" t="s">
        <v>1158</v>
      </c>
      <c r="K989" t="s">
        <v>1416</v>
      </c>
      <c r="L989" t="s">
        <v>808</v>
      </c>
      <c r="M989" t="s">
        <v>795</v>
      </c>
      <c r="N989" t="s">
        <v>796</v>
      </c>
      <c r="O989" t="s">
        <v>809</v>
      </c>
      <c r="P989" t="s">
        <v>42</v>
      </c>
      <c r="Q989" t="s">
        <v>43</v>
      </c>
      <c r="R989" t="s">
        <v>1088</v>
      </c>
      <c r="S989" t="s">
        <v>1156</v>
      </c>
      <c r="T989" s="5">
        <v>9</v>
      </c>
      <c r="U989" s="6">
        <v>183.09</v>
      </c>
      <c r="V989" s="6">
        <v>94.12</v>
      </c>
      <c r="W989" s="8">
        <v>0</v>
      </c>
      <c r="X989" s="6">
        <f t="shared" si="75"/>
        <v>1647.81</v>
      </c>
      <c r="Y989" s="6">
        <f t="shared" si="76"/>
        <v>847.08</v>
      </c>
      <c r="Z989" s="6">
        <f t="shared" si="77"/>
        <v>800.7299999999999</v>
      </c>
      <c r="AA989" t="s">
        <v>679</v>
      </c>
      <c r="AC989" s="5">
        <v>5</v>
      </c>
      <c r="AD989" t="s">
        <v>1110</v>
      </c>
      <c r="AE989" t="str">
        <f t="shared" si="78"/>
        <v>2025-02</v>
      </c>
      <c r="AF989" t="str">
        <f t="shared" si="79"/>
        <v>Q1-2025</v>
      </c>
    </row>
    <row r="990" spans="1:32" x14ac:dyDescent="0.3">
      <c r="A990" t="s">
        <v>2298</v>
      </c>
      <c r="B990" s="5">
        <v>4</v>
      </c>
      <c r="C990" s="4">
        <v>45578</v>
      </c>
      <c r="D990" s="4">
        <v>45586</v>
      </c>
      <c r="E990" t="s">
        <v>362</v>
      </c>
      <c r="F990" t="s">
        <v>363</v>
      </c>
      <c r="G990" t="s">
        <v>80</v>
      </c>
      <c r="H990" t="s">
        <v>23</v>
      </c>
      <c r="I990" t="s">
        <v>81</v>
      </c>
      <c r="J990" t="s">
        <v>1119</v>
      </c>
      <c r="K990" t="s">
        <v>1291</v>
      </c>
      <c r="L990" t="s">
        <v>995</v>
      </c>
      <c r="M990" t="s">
        <v>929</v>
      </c>
      <c r="N990" t="s">
        <v>971</v>
      </c>
      <c r="O990" t="s">
        <v>996</v>
      </c>
      <c r="P990" t="s">
        <v>29</v>
      </c>
      <c r="Q990" t="s">
        <v>30</v>
      </c>
      <c r="R990" t="s">
        <v>126</v>
      </c>
      <c r="S990" t="s">
        <v>1095</v>
      </c>
      <c r="T990" s="5">
        <v>46</v>
      </c>
      <c r="U990" s="6">
        <v>295.52999999999997</v>
      </c>
      <c r="V990" s="6">
        <v>139.47</v>
      </c>
      <c r="W990" s="8">
        <v>0</v>
      </c>
      <c r="X990" s="6">
        <f t="shared" si="75"/>
        <v>13594.38</v>
      </c>
      <c r="Y990" s="6">
        <f t="shared" si="76"/>
        <v>6415.62</v>
      </c>
      <c r="Z990" s="6">
        <f t="shared" si="77"/>
        <v>7178.7599999999993</v>
      </c>
      <c r="AA990" t="s">
        <v>679</v>
      </c>
      <c r="AC990" s="5"/>
      <c r="AD990" t="s">
        <v>1096</v>
      </c>
      <c r="AE990" t="str">
        <f t="shared" si="78"/>
        <v>2024-10</v>
      </c>
      <c r="AF990" t="str">
        <f t="shared" si="79"/>
        <v>Q4-2024</v>
      </c>
    </row>
    <row r="991" spans="1:32" x14ac:dyDescent="0.3">
      <c r="A991" t="s">
        <v>2299</v>
      </c>
      <c r="B991" s="5">
        <v>3</v>
      </c>
      <c r="C991" s="4">
        <v>45526</v>
      </c>
      <c r="D991" s="4">
        <v>45530</v>
      </c>
      <c r="E991" t="s">
        <v>441</v>
      </c>
      <c r="F991" t="s">
        <v>442</v>
      </c>
      <c r="G991" t="s">
        <v>84</v>
      </c>
      <c r="H991" t="s">
        <v>31</v>
      </c>
      <c r="I991" t="s">
        <v>67</v>
      </c>
      <c r="J991" t="s">
        <v>1304</v>
      </c>
      <c r="K991" t="s">
        <v>1342</v>
      </c>
      <c r="L991" t="s">
        <v>889</v>
      </c>
      <c r="M991" t="s">
        <v>795</v>
      </c>
      <c r="N991" t="s">
        <v>837</v>
      </c>
      <c r="O991" t="s">
        <v>890</v>
      </c>
      <c r="P991" t="s">
        <v>29</v>
      </c>
      <c r="Q991" t="s">
        <v>30</v>
      </c>
      <c r="R991" t="s">
        <v>1114</v>
      </c>
      <c r="S991" t="s">
        <v>1156</v>
      </c>
      <c r="T991" s="5">
        <v>12</v>
      </c>
      <c r="U991" s="6">
        <v>243.67</v>
      </c>
      <c r="V991" s="6">
        <v>145.66</v>
      </c>
      <c r="W991" s="8">
        <v>0</v>
      </c>
      <c r="X991" s="6">
        <f t="shared" si="75"/>
        <v>2924.04</v>
      </c>
      <c r="Y991" s="6">
        <f t="shared" si="76"/>
        <v>1747.92</v>
      </c>
      <c r="Z991" s="6">
        <f t="shared" si="77"/>
        <v>1176.1199999999999</v>
      </c>
      <c r="AA991" t="s">
        <v>679</v>
      </c>
      <c r="AC991" s="5">
        <v>2</v>
      </c>
      <c r="AE991" t="str">
        <f t="shared" si="78"/>
        <v>2024-08</v>
      </c>
      <c r="AF991" t="str">
        <f t="shared" si="79"/>
        <v>Q3-2024</v>
      </c>
    </row>
    <row r="992" spans="1:32" x14ac:dyDescent="0.3">
      <c r="A992" t="s">
        <v>2300</v>
      </c>
      <c r="B992" s="5">
        <v>4</v>
      </c>
      <c r="C992" s="4">
        <v>45493</v>
      </c>
      <c r="D992" s="4">
        <v>45506</v>
      </c>
      <c r="E992" t="s">
        <v>412</v>
      </c>
      <c r="F992" t="s">
        <v>413</v>
      </c>
      <c r="G992" t="s">
        <v>74</v>
      </c>
      <c r="H992" t="s">
        <v>41</v>
      </c>
      <c r="I992" t="s">
        <v>86</v>
      </c>
      <c r="J992" t="s">
        <v>1086</v>
      </c>
      <c r="K992" t="s">
        <v>1087</v>
      </c>
      <c r="L992" t="s">
        <v>737</v>
      </c>
      <c r="M992" t="s">
        <v>659</v>
      </c>
      <c r="N992" t="s">
        <v>713</v>
      </c>
      <c r="O992" t="s">
        <v>738</v>
      </c>
      <c r="P992" t="s">
        <v>24</v>
      </c>
      <c r="Q992" t="s">
        <v>25</v>
      </c>
      <c r="R992" t="s">
        <v>1094</v>
      </c>
      <c r="S992" t="s">
        <v>1089</v>
      </c>
      <c r="T992" s="5">
        <v>28</v>
      </c>
      <c r="U992" s="6">
        <v>64.67</v>
      </c>
      <c r="V992" s="6">
        <v>57.7</v>
      </c>
      <c r="W992" s="8">
        <v>0</v>
      </c>
      <c r="X992" s="6">
        <f t="shared" si="75"/>
        <v>1810.76</v>
      </c>
      <c r="Y992" s="6">
        <f t="shared" si="76"/>
        <v>1615.6000000000001</v>
      </c>
      <c r="Z992" s="6">
        <f t="shared" si="77"/>
        <v>195.15999999999985</v>
      </c>
      <c r="AA992" t="s">
        <v>679</v>
      </c>
      <c r="AC992" s="5">
        <v>3</v>
      </c>
      <c r="AD992" t="s">
        <v>1105</v>
      </c>
      <c r="AE992" t="str">
        <f t="shared" si="78"/>
        <v>2024-07</v>
      </c>
      <c r="AF992" t="str">
        <f t="shared" si="79"/>
        <v>Q3-2024</v>
      </c>
    </row>
    <row r="993" spans="1:32" x14ac:dyDescent="0.3">
      <c r="A993" t="s">
        <v>2301</v>
      </c>
      <c r="B993" s="5">
        <v>5</v>
      </c>
      <c r="C993" s="4">
        <v>45331</v>
      </c>
      <c r="D993" s="4">
        <v>45329</v>
      </c>
      <c r="E993" t="s">
        <v>281</v>
      </c>
      <c r="F993" t="s">
        <v>282</v>
      </c>
      <c r="G993" t="s">
        <v>80</v>
      </c>
      <c r="H993" t="s">
        <v>31</v>
      </c>
      <c r="I993" t="s">
        <v>160</v>
      </c>
      <c r="J993" t="s">
        <v>1125</v>
      </c>
      <c r="K993" t="s">
        <v>1386</v>
      </c>
      <c r="L993" t="s">
        <v>836</v>
      </c>
      <c r="M993" t="s">
        <v>795</v>
      </c>
      <c r="N993" t="s">
        <v>837</v>
      </c>
      <c r="O993" t="s">
        <v>838</v>
      </c>
      <c r="P993" t="s">
        <v>50</v>
      </c>
      <c r="Q993" t="s">
        <v>51</v>
      </c>
      <c r="R993" t="s">
        <v>1088</v>
      </c>
      <c r="S993" t="s">
        <v>1156</v>
      </c>
      <c r="T993" s="5">
        <v>10</v>
      </c>
      <c r="U993" s="6">
        <v>258.42</v>
      </c>
      <c r="V993" s="6">
        <v>145.32</v>
      </c>
      <c r="W993" s="8">
        <v>0</v>
      </c>
      <c r="X993" s="6">
        <f t="shared" si="75"/>
        <v>2584.2000000000003</v>
      </c>
      <c r="Y993" s="6">
        <f t="shared" si="76"/>
        <v>1453.1999999999998</v>
      </c>
      <c r="Z993" s="6">
        <f t="shared" si="77"/>
        <v>1131.0000000000005</v>
      </c>
      <c r="AA993" t="s">
        <v>679</v>
      </c>
      <c r="AC993" s="5">
        <v>1</v>
      </c>
      <c r="AD993" t="s">
        <v>1199</v>
      </c>
      <c r="AE993" t="str">
        <f t="shared" si="78"/>
        <v>2024-02</v>
      </c>
      <c r="AF993" t="str">
        <f t="shared" si="79"/>
        <v>Q1-2024</v>
      </c>
    </row>
    <row r="994" spans="1:32" x14ac:dyDescent="0.3">
      <c r="A994" t="s">
        <v>2302</v>
      </c>
      <c r="B994" s="5">
        <v>1</v>
      </c>
      <c r="C994" s="4">
        <v>45926</v>
      </c>
      <c r="D994" s="4">
        <v>45940</v>
      </c>
      <c r="E994" t="s">
        <v>352</v>
      </c>
      <c r="F994" t="s">
        <v>353</v>
      </c>
      <c r="G994" t="s">
        <v>74</v>
      </c>
      <c r="H994" t="s">
        <v>41</v>
      </c>
      <c r="I994" t="s">
        <v>86</v>
      </c>
      <c r="J994" t="s">
        <v>1107</v>
      </c>
      <c r="K994" t="s">
        <v>1439</v>
      </c>
      <c r="L994" t="s">
        <v>686</v>
      </c>
      <c r="M994" t="s">
        <v>659</v>
      </c>
      <c r="N994" t="s">
        <v>660</v>
      </c>
      <c r="O994" t="s">
        <v>687</v>
      </c>
      <c r="P994" t="s">
        <v>44</v>
      </c>
      <c r="Q994" t="s">
        <v>45</v>
      </c>
      <c r="R994" t="s">
        <v>1088</v>
      </c>
      <c r="S994" t="s">
        <v>1109</v>
      </c>
      <c r="T994" s="5">
        <v>8</v>
      </c>
      <c r="U994" s="6">
        <v>7.03</v>
      </c>
      <c r="V994" s="6">
        <v>5</v>
      </c>
      <c r="W994" s="8">
        <v>0</v>
      </c>
      <c r="X994" s="6">
        <f t="shared" si="75"/>
        <v>56.24</v>
      </c>
      <c r="Y994" s="6">
        <f t="shared" si="76"/>
        <v>40</v>
      </c>
      <c r="Z994" s="6">
        <f t="shared" si="77"/>
        <v>16.240000000000002</v>
      </c>
      <c r="AA994" t="s">
        <v>679</v>
      </c>
      <c r="AC994" s="5"/>
      <c r="AD994" t="s">
        <v>1110</v>
      </c>
      <c r="AE994" t="str">
        <f t="shared" si="78"/>
        <v>2025-09</v>
      </c>
      <c r="AF994" t="str">
        <f t="shared" si="79"/>
        <v>Q3-2025</v>
      </c>
    </row>
    <row r="995" spans="1:32" x14ac:dyDescent="0.3">
      <c r="A995" t="s">
        <v>2303</v>
      </c>
      <c r="B995" s="5">
        <v>1</v>
      </c>
      <c r="C995" s="4">
        <v>45471</v>
      </c>
      <c r="D995" s="4">
        <v>45472</v>
      </c>
      <c r="E995" t="s">
        <v>441</v>
      </c>
      <c r="F995" t="s">
        <v>442</v>
      </c>
      <c r="G995" t="s">
        <v>84</v>
      </c>
      <c r="H995" t="s">
        <v>31</v>
      </c>
      <c r="I995" t="s">
        <v>160</v>
      </c>
      <c r="J995" t="s">
        <v>1125</v>
      </c>
      <c r="K995" t="s">
        <v>1132</v>
      </c>
      <c r="L995" t="s">
        <v>788</v>
      </c>
      <c r="M995" t="s">
        <v>659</v>
      </c>
      <c r="N995" t="s">
        <v>754</v>
      </c>
      <c r="O995" t="s">
        <v>789</v>
      </c>
      <c r="P995" t="s">
        <v>50</v>
      </c>
      <c r="Q995" t="s">
        <v>51</v>
      </c>
      <c r="R995" t="s">
        <v>1088</v>
      </c>
      <c r="S995" t="s">
        <v>1095</v>
      </c>
      <c r="T995" s="5">
        <v>9</v>
      </c>
      <c r="U995" s="6">
        <v>69.64</v>
      </c>
      <c r="V995" s="6">
        <v>46.29</v>
      </c>
      <c r="W995" s="8">
        <v>0</v>
      </c>
      <c r="X995" s="6">
        <f t="shared" si="75"/>
        <v>626.76</v>
      </c>
      <c r="Y995" s="6">
        <f t="shared" si="76"/>
        <v>416.61</v>
      </c>
      <c r="Z995" s="6">
        <f t="shared" si="77"/>
        <v>210.14999999999998</v>
      </c>
      <c r="AA995" t="s">
        <v>679</v>
      </c>
      <c r="AC995" s="5">
        <v>4</v>
      </c>
      <c r="AD995" t="s">
        <v>1101</v>
      </c>
      <c r="AE995" t="str">
        <f t="shared" si="78"/>
        <v>2024-06</v>
      </c>
      <c r="AF995" t="str">
        <f t="shared" si="79"/>
        <v>Q2-2024</v>
      </c>
    </row>
    <row r="996" spans="1:32" x14ac:dyDescent="0.3">
      <c r="A996" t="s">
        <v>2304</v>
      </c>
      <c r="B996" s="5">
        <v>1</v>
      </c>
      <c r="C996" s="4">
        <v>45753</v>
      </c>
      <c r="D996" s="4">
        <v>45761</v>
      </c>
      <c r="E996" t="s">
        <v>100</v>
      </c>
      <c r="F996" t="s">
        <v>101</v>
      </c>
      <c r="G996" t="s">
        <v>74</v>
      </c>
      <c r="H996" t="s">
        <v>41</v>
      </c>
      <c r="I996" t="s">
        <v>75</v>
      </c>
      <c r="J996" t="s">
        <v>1142</v>
      </c>
      <c r="K996" t="s">
        <v>1143</v>
      </c>
      <c r="L996" t="s">
        <v>958</v>
      </c>
      <c r="M996" t="s">
        <v>929</v>
      </c>
      <c r="N996" t="s">
        <v>930</v>
      </c>
      <c r="O996" t="s">
        <v>959</v>
      </c>
      <c r="P996" t="s">
        <v>46</v>
      </c>
      <c r="Q996" t="s">
        <v>47</v>
      </c>
      <c r="R996" t="s">
        <v>1094</v>
      </c>
      <c r="S996" t="s">
        <v>1109</v>
      </c>
      <c r="T996" s="5">
        <v>14</v>
      </c>
      <c r="U996" s="6">
        <v>193.15</v>
      </c>
      <c r="V996" s="6">
        <v>114.63</v>
      </c>
      <c r="W996" s="8">
        <v>0</v>
      </c>
      <c r="X996" s="6">
        <f t="shared" si="75"/>
        <v>2704.1</v>
      </c>
      <c r="Y996" s="6">
        <f t="shared" si="76"/>
        <v>1604.82</v>
      </c>
      <c r="Z996" s="6">
        <f t="shared" si="77"/>
        <v>1099.28</v>
      </c>
      <c r="AA996" t="s">
        <v>679</v>
      </c>
      <c r="AC996" s="5">
        <v>5</v>
      </c>
      <c r="AD996" t="s">
        <v>1110</v>
      </c>
      <c r="AE996" t="str">
        <f t="shared" si="78"/>
        <v>2025-04</v>
      </c>
      <c r="AF996" t="str">
        <f t="shared" si="79"/>
        <v>Q2-2025</v>
      </c>
    </row>
    <row r="997" spans="1:32" x14ac:dyDescent="0.3">
      <c r="A997" t="s">
        <v>2305</v>
      </c>
      <c r="B997" s="5">
        <v>4</v>
      </c>
      <c r="C997" s="4">
        <v>45579</v>
      </c>
      <c r="D997" s="4">
        <v>45588</v>
      </c>
      <c r="E997" t="s">
        <v>592</v>
      </c>
      <c r="F997" t="s">
        <v>593</v>
      </c>
      <c r="G997" t="s">
        <v>74</v>
      </c>
      <c r="H997" t="s">
        <v>20</v>
      </c>
      <c r="I997" t="s">
        <v>71</v>
      </c>
      <c r="J997" t="s">
        <v>1112</v>
      </c>
      <c r="K997" t="s">
        <v>1266</v>
      </c>
      <c r="L997" t="s">
        <v>962</v>
      </c>
      <c r="M997" t="s">
        <v>929</v>
      </c>
      <c r="N997" t="s">
        <v>930</v>
      </c>
      <c r="O997" t="s">
        <v>963</v>
      </c>
      <c r="P997" t="s">
        <v>37</v>
      </c>
      <c r="Q997" t="s">
        <v>38</v>
      </c>
      <c r="R997" t="s">
        <v>1088</v>
      </c>
      <c r="S997" t="s">
        <v>1095</v>
      </c>
      <c r="T997" s="5">
        <v>9</v>
      </c>
      <c r="U997" s="6">
        <v>173.5</v>
      </c>
      <c r="V997" s="6">
        <v>108.41</v>
      </c>
      <c r="W997" s="8">
        <v>0</v>
      </c>
      <c r="X997" s="6">
        <f t="shared" si="75"/>
        <v>1561.5</v>
      </c>
      <c r="Y997" s="6">
        <f t="shared" si="76"/>
        <v>975.68999999999994</v>
      </c>
      <c r="Z997" s="6">
        <f t="shared" si="77"/>
        <v>585.81000000000006</v>
      </c>
      <c r="AA997" t="s">
        <v>679</v>
      </c>
      <c r="AC997" s="5"/>
      <c r="AD997" t="s">
        <v>1694</v>
      </c>
      <c r="AE997" t="str">
        <f t="shared" si="78"/>
        <v>2024-10</v>
      </c>
      <c r="AF997" t="str">
        <f t="shared" si="79"/>
        <v>Q4-2024</v>
      </c>
    </row>
    <row r="998" spans="1:32" x14ac:dyDescent="0.3">
      <c r="A998" t="s">
        <v>2306</v>
      </c>
      <c r="B998" s="5">
        <v>4</v>
      </c>
      <c r="C998" s="4">
        <v>45401</v>
      </c>
      <c r="D998" s="4">
        <v>45406</v>
      </c>
      <c r="E998" t="s">
        <v>630</v>
      </c>
      <c r="F998" t="s">
        <v>331</v>
      </c>
      <c r="G998" t="s">
        <v>65</v>
      </c>
      <c r="H998" t="s">
        <v>20</v>
      </c>
      <c r="I998" t="s">
        <v>90</v>
      </c>
      <c r="J998" t="s">
        <v>1171</v>
      </c>
      <c r="K998" t="s">
        <v>1379</v>
      </c>
      <c r="L998" t="s">
        <v>802</v>
      </c>
      <c r="M998" t="s">
        <v>795</v>
      </c>
      <c r="N998" t="s">
        <v>796</v>
      </c>
      <c r="O998" t="s">
        <v>803</v>
      </c>
      <c r="P998" t="s">
        <v>48</v>
      </c>
      <c r="Q998" t="s">
        <v>49</v>
      </c>
      <c r="R998" t="s">
        <v>1114</v>
      </c>
      <c r="S998" t="s">
        <v>1089</v>
      </c>
      <c r="T998" s="5">
        <v>13</v>
      </c>
      <c r="U998" s="6">
        <v>259.44</v>
      </c>
      <c r="V998" s="6">
        <v>169.93</v>
      </c>
      <c r="W998" s="8">
        <v>0</v>
      </c>
      <c r="X998" s="6">
        <f t="shared" si="75"/>
        <v>3372.72</v>
      </c>
      <c r="Y998" s="6">
        <f t="shared" si="76"/>
        <v>2209.09</v>
      </c>
      <c r="Z998" s="6">
        <f t="shared" si="77"/>
        <v>1163.6299999999997</v>
      </c>
      <c r="AA998" t="s">
        <v>679</v>
      </c>
      <c r="AC998" s="5">
        <v>4</v>
      </c>
      <c r="AD998" t="s">
        <v>1090</v>
      </c>
      <c r="AE998" t="str">
        <f t="shared" si="78"/>
        <v>2024-04</v>
      </c>
      <c r="AF998" t="str">
        <f t="shared" si="79"/>
        <v>Q2-2024</v>
      </c>
    </row>
    <row r="999" spans="1:32" x14ac:dyDescent="0.3">
      <c r="A999" t="s">
        <v>2307</v>
      </c>
      <c r="B999" s="5">
        <v>1</v>
      </c>
      <c r="C999" s="4">
        <v>45423</v>
      </c>
      <c r="D999" s="4">
        <v>45428</v>
      </c>
      <c r="E999" t="s">
        <v>540</v>
      </c>
      <c r="F999" t="s">
        <v>541</v>
      </c>
      <c r="G999" t="s">
        <v>65</v>
      </c>
      <c r="H999" t="s">
        <v>41</v>
      </c>
      <c r="I999" t="s">
        <v>86</v>
      </c>
      <c r="J999" t="s">
        <v>1107</v>
      </c>
      <c r="K999" t="s">
        <v>1108</v>
      </c>
      <c r="L999" t="s">
        <v>800</v>
      </c>
      <c r="M999" t="s">
        <v>795</v>
      </c>
      <c r="N999" t="s">
        <v>796</v>
      </c>
      <c r="O999" t="s">
        <v>801</v>
      </c>
      <c r="P999" t="s">
        <v>27</v>
      </c>
      <c r="Q999" t="s">
        <v>28</v>
      </c>
      <c r="R999" t="s">
        <v>1114</v>
      </c>
      <c r="S999" t="s">
        <v>1089</v>
      </c>
      <c r="T999" s="5">
        <v>20</v>
      </c>
      <c r="U999" s="6">
        <v>255.54</v>
      </c>
      <c r="V999" s="6">
        <v>166.88</v>
      </c>
      <c r="W999" s="8">
        <v>0</v>
      </c>
      <c r="X999" s="6">
        <f t="shared" si="75"/>
        <v>5110.8</v>
      </c>
      <c r="Y999" s="6">
        <f t="shared" si="76"/>
        <v>3337.6</v>
      </c>
      <c r="Z999" s="6">
        <f t="shared" si="77"/>
        <v>1773.2000000000003</v>
      </c>
      <c r="AA999" t="s">
        <v>679</v>
      </c>
      <c r="AC999" s="5">
        <v>3</v>
      </c>
      <c r="AD999" t="s">
        <v>1140</v>
      </c>
      <c r="AE999" t="str">
        <f t="shared" si="78"/>
        <v>2024-05</v>
      </c>
      <c r="AF999" t="str">
        <f t="shared" si="79"/>
        <v>Q2-2024</v>
      </c>
    </row>
    <row r="1000" spans="1:32" x14ac:dyDescent="0.3">
      <c r="A1000" t="s">
        <v>2308</v>
      </c>
      <c r="B1000" s="5">
        <v>4</v>
      </c>
      <c r="C1000" s="4">
        <v>45613</v>
      </c>
      <c r="D1000" s="4">
        <v>45614</v>
      </c>
      <c r="E1000" t="s">
        <v>414</v>
      </c>
      <c r="F1000" t="s">
        <v>415</v>
      </c>
      <c r="G1000" t="s">
        <v>84</v>
      </c>
      <c r="H1000" t="s">
        <v>31</v>
      </c>
      <c r="I1000" t="s">
        <v>127</v>
      </c>
      <c r="J1000" t="s">
        <v>1116</v>
      </c>
      <c r="K1000" t="s">
        <v>1153</v>
      </c>
      <c r="L1000" t="s">
        <v>1013</v>
      </c>
      <c r="M1000" t="s">
        <v>1002</v>
      </c>
      <c r="N1000" t="s">
        <v>1003</v>
      </c>
      <c r="O1000" t="s">
        <v>1014</v>
      </c>
      <c r="P1000" t="s">
        <v>32</v>
      </c>
      <c r="Q1000" t="s">
        <v>33</v>
      </c>
      <c r="R1000" t="s">
        <v>1088</v>
      </c>
      <c r="S1000" t="s">
        <v>1089</v>
      </c>
      <c r="T1000" s="5">
        <v>15</v>
      </c>
      <c r="U1000" s="6">
        <v>131.66</v>
      </c>
      <c r="V1000" s="6">
        <v>75.239999999999995</v>
      </c>
      <c r="W1000" s="8">
        <v>0</v>
      </c>
      <c r="X1000" s="6">
        <f t="shared" si="75"/>
        <v>1974.8999999999999</v>
      </c>
      <c r="Y1000" s="6">
        <f t="shared" si="76"/>
        <v>1128.5999999999999</v>
      </c>
      <c r="Z1000" s="6">
        <f t="shared" si="77"/>
        <v>846.3</v>
      </c>
      <c r="AA1000" t="s">
        <v>679</v>
      </c>
      <c r="AC1000" s="5"/>
      <c r="AD1000" t="s">
        <v>1090</v>
      </c>
      <c r="AE1000" t="str">
        <f t="shared" si="78"/>
        <v>2024-11</v>
      </c>
      <c r="AF1000" t="str">
        <f t="shared" si="79"/>
        <v>Q4-2024</v>
      </c>
    </row>
    <row r="1001" spans="1:32" x14ac:dyDescent="0.3">
      <c r="A1001" t="s">
        <v>2309</v>
      </c>
      <c r="B1001" s="5">
        <v>4</v>
      </c>
      <c r="C1001" s="4">
        <v>45709</v>
      </c>
      <c r="D1001" s="4">
        <v>45709</v>
      </c>
      <c r="E1001" t="s">
        <v>601</v>
      </c>
      <c r="F1001" t="s">
        <v>602</v>
      </c>
      <c r="G1001" t="s">
        <v>65</v>
      </c>
      <c r="H1001" t="s">
        <v>31</v>
      </c>
      <c r="I1001" t="s">
        <v>160</v>
      </c>
      <c r="J1001" t="s">
        <v>1125</v>
      </c>
      <c r="K1001" t="s">
        <v>1386</v>
      </c>
      <c r="L1001" t="s">
        <v>877</v>
      </c>
      <c r="M1001" t="s">
        <v>795</v>
      </c>
      <c r="N1001" t="s">
        <v>837</v>
      </c>
      <c r="O1001" t="s">
        <v>878</v>
      </c>
      <c r="P1001" t="s">
        <v>24</v>
      </c>
      <c r="Q1001" t="s">
        <v>25</v>
      </c>
      <c r="R1001" t="s">
        <v>1088</v>
      </c>
      <c r="S1001" t="s">
        <v>1156</v>
      </c>
      <c r="T1001" s="5">
        <v>20</v>
      </c>
      <c r="U1001" s="6">
        <v>189.22</v>
      </c>
      <c r="V1001" s="6">
        <v>103.46</v>
      </c>
      <c r="W1001" s="8">
        <v>5.3600000000000002E-2</v>
      </c>
      <c r="X1001" s="6">
        <f t="shared" si="75"/>
        <v>3581.5561600000001</v>
      </c>
      <c r="Y1001" s="6">
        <f t="shared" si="76"/>
        <v>2069.1999999999998</v>
      </c>
      <c r="Z1001" s="6">
        <f t="shared" si="77"/>
        <v>1512.3561600000003</v>
      </c>
      <c r="AA1001" t="s">
        <v>679</v>
      </c>
      <c r="AC1001" s="5">
        <v>4</v>
      </c>
      <c r="AD1001" t="s">
        <v>1123</v>
      </c>
      <c r="AE1001" t="str">
        <f t="shared" si="78"/>
        <v>2025-02</v>
      </c>
      <c r="AF1001" t="str">
        <f t="shared" si="79"/>
        <v>Q1-2025</v>
      </c>
    </row>
  </sheetData>
  <dataValidations count="4">
    <dataValidation type="list" allowBlank="1" sqref="R2:R1001" xr:uid="{00000000-0002-0000-0400-000000000000}">
      <formula1>"Online,Partner,Direct,Retail"</formula1>
    </dataValidation>
    <dataValidation type="list" allowBlank="1" sqref="S2:S1001" xr:uid="{00000000-0002-0000-0400-000001000000}">
      <formula1>"Credit Card,ACH,Invoice,PayPal,Wire"</formula1>
    </dataValidation>
    <dataValidation type="list" allowBlank="1" sqref="AA2:AA1001" xr:uid="{00000000-0002-0000-0400-000002000000}">
      <formula1>"Yes,No"</formula1>
    </dataValidation>
    <dataValidation type="list" allowBlank="1" sqref="G2:G1001" xr:uid="{00000000-0002-0000-0400-000003000000}">
      <formula1>"Consumer,SMB,Enterprise,Government,Education"</formula1>
    </dataValidation>
  </dataValidation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SalesReps</vt:lpstr>
      <vt:lpstr>Customers</vt:lpstr>
      <vt:lpstr>Products</vt:lpstr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George S</cp:lastModifiedBy>
  <dcterms:created xsi:type="dcterms:W3CDTF">2026-01-05T13:50:56Z</dcterms:created>
  <dcterms:modified xsi:type="dcterms:W3CDTF">2026-01-26T07:52:04Z</dcterms:modified>
</cp:coreProperties>
</file>